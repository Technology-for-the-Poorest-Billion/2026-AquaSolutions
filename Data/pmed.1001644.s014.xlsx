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000" yWindow="1340" windowWidth="18160" windowHeight="13120" firstSheet="1" activeTab="1"/>
  </bookViews>
  <sheets>
    <sheet name="Characteristics" sheetId="1" state="hidden" r:id="rId1"/>
    <sheet name="Water quality database" sheetId="2" r:id="rId2"/>
    <sheet name="Sheet1" sheetId="3" r:id="rId3"/>
  </sheets>
  <definedNames>
    <definedName name="_xlnm._FilterDatabase" localSheetId="1" hidden="1">'Water quality database'!$A$1:$AU$556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3" i="3"/>
  <c r="S3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E26" i="2"/>
  <c r="S129" i="2"/>
  <c r="S331" i="2"/>
  <c r="S430" i="2"/>
  <c r="T150" i="2"/>
  <c r="AH150" i="2"/>
  <c r="T151" i="2"/>
  <c r="AH151" i="2"/>
  <c r="AF203" i="2"/>
  <c r="AE203" i="2"/>
  <c r="AD553" i="2"/>
  <c r="AC553" i="2"/>
  <c r="S549" i="2"/>
  <c r="S548" i="2"/>
  <c r="S547" i="2"/>
  <c r="S546" i="2"/>
  <c r="S545" i="2"/>
  <c r="T544" i="2"/>
  <c r="S544" i="2"/>
  <c r="S541" i="2"/>
  <c r="AF539" i="2"/>
  <c r="AE539" i="2"/>
  <c r="AD539" i="2"/>
  <c r="S539" i="2"/>
  <c r="AG527" i="2"/>
  <c r="AF527" i="2"/>
  <c r="AC527" i="2"/>
  <c r="S527" i="2"/>
  <c r="AG524" i="2"/>
  <c r="AK523" i="2"/>
  <c r="AG523" i="2"/>
  <c r="AK522" i="2"/>
  <c r="AG522" i="2"/>
  <c r="AK521" i="2"/>
  <c r="AG521" i="2"/>
  <c r="T520" i="2"/>
  <c r="S517" i="2"/>
  <c r="S516" i="2"/>
  <c r="S515" i="2"/>
  <c r="S510" i="2"/>
  <c r="S508" i="2"/>
  <c r="S505" i="2"/>
  <c r="S504" i="2"/>
  <c r="S503" i="2"/>
  <c r="S498" i="2"/>
  <c r="S497" i="2"/>
  <c r="S496" i="2"/>
  <c r="S495" i="2"/>
  <c r="AF494" i="2"/>
  <c r="AE494" i="2"/>
  <c r="AD494" i="2"/>
  <c r="AC494" i="2"/>
  <c r="AF492" i="2"/>
  <c r="AE492" i="2"/>
  <c r="AF491" i="2"/>
  <c r="AE491" i="2"/>
  <c r="AD491" i="2"/>
  <c r="AC491" i="2"/>
  <c r="AF490" i="2"/>
  <c r="AE490" i="2"/>
  <c r="AD490" i="2"/>
  <c r="AC490" i="2"/>
  <c r="AE489" i="2"/>
  <c r="AD489" i="2"/>
  <c r="AC489" i="2"/>
  <c r="S483" i="2"/>
  <c r="S478" i="2"/>
  <c r="AD475" i="2"/>
  <c r="AC475" i="2"/>
  <c r="AE475" i="2"/>
  <c r="S475" i="2"/>
  <c r="AD474" i="2"/>
  <c r="AC474" i="2"/>
  <c r="AE474" i="2"/>
  <c r="S474" i="2"/>
  <c r="S466" i="2"/>
  <c r="S465" i="2"/>
  <c r="S463" i="2"/>
  <c r="S462" i="2"/>
  <c r="S461" i="2"/>
  <c r="AG460" i="2"/>
  <c r="S459" i="2"/>
  <c r="AF456" i="2"/>
  <c r="AE456" i="2"/>
  <c r="AD456" i="2"/>
  <c r="AC456" i="2"/>
  <c r="S456" i="2"/>
  <c r="AF455" i="2"/>
  <c r="AE455" i="2"/>
  <c r="AD455" i="2"/>
  <c r="AC455" i="2"/>
  <c r="S455" i="2"/>
  <c r="S452" i="2"/>
  <c r="S450" i="2"/>
  <c r="S449" i="2"/>
  <c r="S442" i="2"/>
  <c r="AF441" i="2"/>
  <c r="AE441" i="2"/>
  <c r="AD441" i="2"/>
  <c r="AC441" i="2"/>
  <c r="S110" i="2"/>
  <c r="S109" i="2"/>
  <c r="AF435" i="2"/>
  <c r="AE435" i="2"/>
  <c r="AD435" i="2"/>
  <c r="AC435" i="2"/>
  <c r="S435" i="2"/>
  <c r="AF433" i="2"/>
  <c r="AE433" i="2"/>
  <c r="AD433" i="2"/>
  <c r="AC433" i="2"/>
  <c r="S433" i="2"/>
  <c r="S431" i="2"/>
  <c r="S425" i="2"/>
  <c r="S424" i="2"/>
  <c r="S422" i="2"/>
  <c r="S414" i="2"/>
  <c r="AC413" i="2"/>
  <c r="AC412" i="2"/>
  <c r="S411" i="2"/>
  <c r="S410" i="2"/>
  <c r="AG409" i="2"/>
  <c r="AG408" i="2"/>
  <c r="S408" i="2"/>
  <c r="S407" i="2"/>
  <c r="S406" i="2"/>
  <c r="AD405" i="2"/>
  <c r="AE405" i="2"/>
  <c r="AF405" i="2"/>
  <c r="S405" i="2"/>
  <c r="AD404" i="2"/>
  <c r="AE404" i="2"/>
  <c r="AF404" i="2"/>
  <c r="S404" i="2"/>
  <c r="AD403" i="2"/>
  <c r="AE403" i="2"/>
  <c r="S403" i="2"/>
  <c r="AE402" i="2"/>
  <c r="S402" i="2"/>
  <c r="AE401" i="2"/>
  <c r="S401" i="2"/>
  <c r="S400" i="2"/>
  <c r="S394" i="2"/>
  <c r="S393" i="2"/>
  <c r="S392" i="2"/>
  <c r="S391" i="2"/>
  <c r="S390" i="2"/>
  <c r="S382" i="2"/>
  <c r="S380" i="2"/>
  <c r="AH379" i="2"/>
  <c r="S379" i="2"/>
  <c r="S378" i="2"/>
  <c r="S377" i="2"/>
  <c r="T376" i="2"/>
  <c r="S373" i="2"/>
  <c r="S372" i="2"/>
  <c r="S371" i="2"/>
  <c r="S370" i="2"/>
  <c r="S369" i="2"/>
  <c r="S368" i="2"/>
  <c r="S367" i="2"/>
  <c r="S366" i="2"/>
  <c r="S365" i="2"/>
  <c r="AD357" i="2"/>
  <c r="AC357" i="2"/>
  <c r="S357" i="2"/>
  <c r="S356" i="2"/>
  <c r="AG355" i="2"/>
  <c r="AE355" i="2"/>
  <c r="AD355" i="2"/>
  <c r="S355" i="2"/>
  <c r="AC355" i="2"/>
  <c r="AG347" i="2"/>
  <c r="AD347" i="2"/>
  <c r="AC347" i="2"/>
  <c r="S347" i="2"/>
  <c r="S340" i="2"/>
  <c r="S337" i="2"/>
  <c r="S334" i="2"/>
  <c r="S333" i="2"/>
  <c r="S332" i="2"/>
  <c r="AE327" i="2"/>
  <c r="AD327" i="2"/>
  <c r="AC327" i="2"/>
  <c r="AG320" i="2"/>
  <c r="S320" i="2"/>
  <c r="S317" i="2"/>
  <c r="S316" i="2"/>
  <c r="S315" i="2"/>
  <c r="T309" i="2"/>
  <c r="S309" i="2"/>
  <c r="S307" i="2"/>
  <c r="S303" i="2"/>
  <c r="S302" i="2"/>
  <c r="AG299" i="2"/>
  <c r="AE299" i="2"/>
  <c r="AD299" i="2"/>
  <c r="AC299" i="2"/>
  <c r="S299" i="2"/>
  <c r="S298" i="2"/>
  <c r="S296" i="2"/>
  <c r="AC296" i="2"/>
  <c r="AE296" i="2"/>
  <c r="AF296" i="2"/>
  <c r="S295" i="2"/>
  <c r="AC295" i="2"/>
  <c r="AE295" i="2"/>
  <c r="AF295" i="2"/>
  <c r="AF291" i="2"/>
  <c r="S291" i="2"/>
  <c r="AC291" i="2"/>
  <c r="AD291" i="2"/>
  <c r="AD290" i="2"/>
  <c r="S290" i="2"/>
  <c r="AC290" i="2"/>
  <c r="S288" i="2"/>
  <c r="S285" i="2"/>
  <c r="S284" i="2"/>
  <c r="S277" i="2"/>
  <c r="AF275" i="2"/>
  <c r="AE275" i="2"/>
  <c r="AD275" i="2"/>
  <c r="S274" i="2"/>
  <c r="S273" i="2"/>
  <c r="AF272" i="2"/>
  <c r="AE272" i="2"/>
  <c r="AD272" i="2"/>
  <c r="AC272" i="2"/>
  <c r="S272" i="2"/>
  <c r="S271" i="2"/>
  <c r="S270" i="2"/>
  <c r="AG268" i="2"/>
  <c r="S268" i="2"/>
  <c r="S267" i="2"/>
  <c r="S266" i="2"/>
  <c r="AG262" i="2"/>
  <c r="S262" i="2"/>
  <c r="AJ261" i="2"/>
  <c r="AF261" i="2"/>
  <c r="AE261" i="2"/>
  <c r="AD261" i="2"/>
  <c r="AF260" i="2"/>
  <c r="AE260" i="2"/>
  <c r="AD260" i="2"/>
  <c r="S260" i="2"/>
  <c r="AC260" i="2"/>
  <c r="AF259" i="2"/>
  <c r="AE259" i="2"/>
  <c r="AD259" i="2"/>
  <c r="AC259" i="2"/>
  <c r="S259" i="2"/>
  <c r="AF258" i="2"/>
  <c r="AE258" i="2"/>
  <c r="AD258" i="2"/>
  <c r="AC258" i="2"/>
  <c r="S258" i="2"/>
  <c r="AF257" i="2"/>
  <c r="AE257" i="2"/>
  <c r="AD257" i="2"/>
  <c r="AC257" i="2"/>
  <c r="S257" i="2"/>
  <c r="AF255" i="2"/>
  <c r="AE255" i="2"/>
  <c r="AD255" i="2"/>
  <c r="AC255" i="2"/>
  <c r="S255" i="2"/>
  <c r="S254" i="2"/>
  <c r="AF253" i="2"/>
  <c r="AE253" i="2"/>
  <c r="AF252" i="2"/>
  <c r="AE252" i="2"/>
  <c r="AD252" i="2"/>
  <c r="S252" i="2"/>
  <c r="S251" i="2"/>
  <c r="S250" i="2"/>
  <c r="AH249" i="2"/>
  <c r="AG249" i="2"/>
  <c r="AE249" i="2"/>
  <c r="AD249" i="2"/>
  <c r="AC249" i="2"/>
  <c r="S249" i="2"/>
  <c r="S248" i="2"/>
  <c r="S247" i="2"/>
  <c r="S246" i="2"/>
  <c r="AH245" i="2"/>
  <c r="AH244" i="2"/>
  <c r="S244" i="2"/>
  <c r="AH243" i="2"/>
  <c r="AH242" i="2"/>
  <c r="T242" i="2"/>
  <c r="S242" i="2"/>
  <c r="AE241" i="2"/>
  <c r="AD241" i="2"/>
  <c r="AC241" i="2"/>
  <c r="S241" i="2"/>
  <c r="AE240" i="2"/>
  <c r="AD240" i="2"/>
  <c r="AC240" i="2"/>
  <c r="S240" i="2"/>
  <c r="AE239" i="2"/>
  <c r="AD239" i="2"/>
  <c r="AC239" i="2"/>
  <c r="S239" i="2"/>
  <c r="T237" i="2"/>
  <c r="S232" i="2"/>
  <c r="AF229" i="2"/>
  <c r="AE229" i="2"/>
  <c r="AD229" i="2"/>
  <c r="AC229" i="2"/>
  <c r="S228" i="2"/>
  <c r="AE215" i="2"/>
  <c r="AD215" i="2"/>
  <c r="AC215" i="2"/>
  <c r="S215" i="2"/>
  <c r="S210" i="2"/>
  <c r="S209" i="2"/>
  <c r="S208" i="2"/>
  <c r="AF206" i="2"/>
  <c r="S206" i="2"/>
  <c r="S200" i="2"/>
  <c r="S199" i="2"/>
  <c r="S195" i="2"/>
  <c r="S194" i="2"/>
  <c r="S193" i="2"/>
  <c r="S192" i="2"/>
  <c r="T191" i="2"/>
  <c r="S191" i="2"/>
  <c r="S190" i="2"/>
  <c r="AF189" i="2"/>
  <c r="AE189" i="2"/>
  <c r="AF188" i="2"/>
  <c r="AE188" i="2"/>
  <c r="AD188" i="2"/>
  <c r="AC188" i="2"/>
  <c r="S188" i="2"/>
  <c r="AF187" i="2"/>
  <c r="AE187" i="2"/>
  <c r="AD187" i="2"/>
  <c r="AC187" i="2"/>
  <c r="S187" i="2"/>
  <c r="AF180" i="2"/>
  <c r="AE180" i="2"/>
  <c r="AD180" i="2"/>
  <c r="S180" i="2"/>
  <c r="AC180" i="2"/>
  <c r="AG179" i="2"/>
  <c r="AC179" i="2"/>
  <c r="S179" i="2"/>
  <c r="T176" i="2"/>
  <c r="AF173" i="2"/>
  <c r="S173" i="2"/>
  <c r="AF172" i="2"/>
  <c r="S172" i="2"/>
  <c r="S171" i="2"/>
  <c r="S170" i="2"/>
  <c r="S157" i="2"/>
  <c r="S154" i="2"/>
  <c r="S153" i="2"/>
  <c r="AF152" i="2"/>
  <c r="AE152" i="2"/>
  <c r="AD152" i="2"/>
  <c r="S152" i="2"/>
  <c r="AC152" i="2"/>
  <c r="AG141" i="2"/>
  <c r="S139" i="2"/>
  <c r="S138" i="2"/>
  <c r="S134" i="2"/>
  <c r="AF132" i="2"/>
  <c r="AE132" i="2"/>
  <c r="AD132" i="2"/>
  <c r="AC132" i="2"/>
  <c r="S131" i="2"/>
  <c r="T128" i="2"/>
  <c r="S128" i="2"/>
  <c r="S127" i="2"/>
  <c r="S126" i="2"/>
  <c r="AF114" i="2"/>
  <c r="AE114" i="2"/>
  <c r="AD114" i="2"/>
  <c r="AC114" i="2"/>
  <c r="S114" i="2"/>
  <c r="S111" i="2"/>
  <c r="AF107" i="2"/>
  <c r="AE107" i="2"/>
  <c r="AD107" i="2"/>
  <c r="AI100" i="2"/>
  <c r="S100" i="2"/>
  <c r="S99" i="2"/>
  <c r="AD98" i="2"/>
  <c r="AG94" i="2"/>
  <c r="S94" i="2"/>
  <c r="S89" i="2"/>
  <c r="S88" i="2"/>
  <c r="AF84" i="2"/>
  <c r="T84" i="2"/>
  <c r="S83" i="2"/>
  <c r="S82" i="2"/>
  <c r="S81" i="2"/>
  <c r="S80" i="2"/>
  <c r="S345" i="2"/>
  <c r="S218" i="2"/>
  <c r="AE16" i="2"/>
  <c r="AD16" i="2"/>
  <c r="AC16" i="2"/>
  <c r="S16" i="2"/>
  <c r="S72" i="2"/>
  <c r="AG28" i="2"/>
  <c r="AJ71" i="2"/>
  <c r="AC76" i="2"/>
  <c r="S74" i="2"/>
  <c r="AE73" i="2"/>
  <c r="AF72" i="2"/>
  <c r="AE72" i="2"/>
  <c r="AC37" i="2"/>
  <c r="AD37" i="2"/>
  <c r="AE37" i="2"/>
  <c r="AF37" i="2"/>
  <c r="AC36" i="2"/>
  <c r="AD36" i="2"/>
  <c r="AE36" i="2"/>
  <c r="S23" i="2"/>
  <c r="AC23" i="2"/>
  <c r="AE23" i="2"/>
  <c r="S22" i="2"/>
  <c r="AC22" i="2"/>
  <c r="AE22" i="2"/>
  <c r="S21" i="2"/>
  <c r="AC21" i="2"/>
  <c r="AE21" i="2"/>
  <c r="AH17" i="2"/>
  <c r="S76" i="2"/>
  <c r="AF24" i="2"/>
  <c r="AE24" i="2"/>
  <c r="AD24" i="2"/>
  <c r="AC24" i="2"/>
  <c r="S56" i="2"/>
  <c r="AF27" i="2"/>
  <c r="AE27" i="2"/>
  <c r="AD27" i="2"/>
  <c r="AC27" i="2"/>
  <c r="S14" i="2"/>
  <c r="S15" i="2"/>
  <c r="S11" i="2"/>
  <c r="S13" i="2"/>
  <c r="S12" i="2"/>
  <c r="S65" i="2"/>
  <c r="S67" i="2"/>
  <c r="S66" i="2"/>
  <c r="S46" i="2"/>
  <c r="S44" i="2"/>
  <c r="S25" i="2"/>
  <c r="S10" i="2"/>
  <c r="S53" i="2"/>
  <c r="S3" i="2"/>
  <c r="AF59" i="2"/>
  <c r="S70" i="2"/>
  <c r="S49" i="2"/>
  <c r="AC72" i="2"/>
  <c r="AD72" i="2"/>
</calcChain>
</file>

<file path=xl/sharedStrings.xml><?xml version="1.0" encoding="utf-8"?>
<sst xmlns="http://schemas.openxmlformats.org/spreadsheetml/2006/main" count="18732" uniqueCount="630">
  <si>
    <t>Setting</t>
  </si>
  <si>
    <t>Design</t>
  </si>
  <si>
    <t>Quality</t>
  </si>
  <si>
    <t>Study</t>
  </si>
  <si>
    <t>Representative sample</t>
  </si>
  <si>
    <t>Intervention study</t>
  </si>
  <si>
    <t>Method comparison</t>
  </si>
  <si>
    <t>Sampling focused on disease cases</t>
  </si>
  <si>
    <t>Refereed journal</t>
  </si>
  <si>
    <t>Both</t>
  </si>
  <si>
    <t>Ethiopia</t>
  </si>
  <si>
    <t>Jordan</t>
  </si>
  <si>
    <t>Nicaragua</t>
  </si>
  <si>
    <t>Nigeria</t>
  </si>
  <si>
    <t>Tajikistan</t>
  </si>
  <si>
    <t>Y</t>
  </si>
  <si>
    <t>N</t>
  </si>
  <si>
    <t>Godfrey et al 2011</t>
  </si>
  <si>
    <t>India</t>
  </si>
  <si>
    <t>TTC</t>
  </si>
  <si>
    <t>?</t>
  </si>
  <si>
    <t>Hutton</t>
  </si>
  <si>
    <t>As, TTC</t>
  </si>
  <si>
    <t>Wright et al 2004</t>
  </si>
  <si>
    <t>Rural</t>
  </si>
  <si>
    <t>South Africa</t>
  </si>
  <si>
    <t>TC/EC</t>
  </si>
  <si>
    <t>Bangladesh</t>
  </si>
  <si>
    <t>Mihdhdir 2009</t>
  </si>
  <si>
    <t>Vollard 2005</t>
  </si>
  <si>
    <t>Urban</t>
  </si>
  <si>
    <t>Indonesia</t>
  </si>
  <si>
    <t>Jakarta</t>
  </si>
  <si>
    <t>EC</t>
  </si>
  <si>
    <t>Country</t>
  </si>
  <si>
    <t>Saudi Arabia</t>
  </si>
  <si>
    <t>Mecca</t>
  </si>
  <si>
    <t>Thailand</t>
  </si>
  <si>
    <t>Ghana</t>
  </si>
  <si>
    <t>Various</t>
  </si>
  <si>
    <t>Research notes</t>
  </si>
  <si>
    <t>JMP classification</t>
  </si>
  <si>
    <t>NA</t>
  </si>
  <si>
    <t>Improved</t>
  </si>
  <si>
    <t>Representative</t>
  </si>
  <si>
    <t>Madhya Pradesh (Indore Zone)</t>
  </si>
  <si>
    <t>Sudan</t>
  </si>
  <si>
    <t>Palestine</t>
  </si>
  <si>
    <t>Bottled</t>
  </si>
  <si>
    <t>Pakistan</t>
  </si>
  <si>
    <t>Protected Spring</t>
  </si>
  <si>
    <t>Protected dug well</t>
  </si>
  <si>
    <t>Properzi 2010</t>
  </si>
  <si>
    <t>Ince et al. 2010</t>
  </si>
  <si>
    <t>Tadesse et al. 2010</t>
  </si>
  <si>
    <t>Aldana 2010</t>
  </si>
  <si>
    <t>Aliev et al 2010</t>
  </si>
  <si>
    <t>Sri Lanka</t>
  </si>
  <si>
    <t>Yemen</t>
  </si>
  <si>
    <t>Mozambique</t>
  </si>
  <si>
    <t>Unimproved</t>
  </si>
  <si>
    <t>Sachet</t>
  </si>
  <si>
    <t>Piped</t>
  </si>
  <si>
    <t>Peru</t>
  </si>
  <si>
    <t>South Korea</t>
  </si>
  <si>
    <t>Ecuador</t>
  </si>
  <si>
    <t>Urban?</t>
  </si>
  <si>
    <t>Mexico</t>
  </si>
  <si>
    <t>Tanzania</t>
  </si>
  <si>
    <t>Brazil</t>
  </si>
  <si>
    <t>-</t>
  </si>
  <si>
    <t>Fiji</t>
  </si>
  <si>
    <t>Household</t>
  </si>
  <si>
    <t>Uganda</t>
  </si>
  <si>
    <t>Maldives</t>
  </si>
  <si>
    <t>Benin</t>
  </si>
  <si>
    <t>Zambia</t>
  </si>
  <si>
    <t>Zimbabwe</t>
  </si>
  <si>
    <t>MDG Region</t>
  </si>
  <si>
    <t>&lt;1</t>
  </si>
  <si>
    <t>Mean</t>
  </si>
  <si>
    <t>Median</t>
  </si>
  <si>
    <t>Range</t>
  </si>
  <si>
    <t xml:space="preserve">MDG Regions are: NA (Northern Africa),  SSA (Sub-Saharan Africa), LAC (Latin American and the Carribbean), CCA (Caucus and Central Asia), EA (Eastern Asia), SA (Southern Asia), SEA (South East Asia), WA (Western Asia) and O (Oceanian) </t>
  </si>
  <si>
    <t>SA</t>
  </si>
  <si>
    <t>Table: Characteristics of the included studies</t>
  </si>
  <si>
    <t>% Improved sanitation</t>
  </si>
  <si>
    <t>Sanitation facility</t>
  </si>
  <si>
    <t>NS</t>
  </si>
  <si>
    <t>See JMP</t>
  </si>
  <si>
    <t>Area</t>
  </si>
  <si>
    <t>Natonwide</t>
  </si>
  <si>
    <t>MDG region</t>
  </si>
  <si>
    <t>Urban/Rural</t>
  </si>
  <si>
    <t xml:space="preserve">Specific covers things like IDP camp, schools etc. </t>
  </si>
  <si>
    <t>Extra-hh?</t>
  </si>
  <si>
    <r>
      <rPr>
        <b/>
        <sz val="12"/>
        <color theme="1"/>
        <rFont val="Calibri"/>
        <family val="2"/>
        <scheme val="minor"/>
      </rPr>
      <t>Notes:</t>
    </r>
  </si>
  <si>
    <t>Sanitation facility when microbial water quality is provided</t>
  </si>
  <si>
    <t>NS (not specified) - these will be blanks in the final report</t>
  </si>
  <si>
    <t>TTC, As, F Sanitary Risk</t>
  </si>
  <si>
    <t xml:space="preserve"> Parameters</t>
  </si>
  <si>
    <t>included in reference Mihdhdir - find</t>
  </si>
  <si>
    <t>Sampling point</t>
  </si>
  <si>
    <t>Source &amp; POU</t>
  </si>
  <si>
    <t xml:space="preserve">"sampling point" - "source" means the point at which the water is collected by an individual, "POU" is either from a storage container or just before drinking. "Groundwater" can be used for arsenic/fluoride. </t>
  </si>
  <si>
    <t>SSA</t>
  </si>
  <si>
    <t>LAC</t>
  </si>
  <si>
    <t>CCA</t>
  </si>
  <si>
    <t>SEA</t>
  </si>
  <si>
    <t>Turkey</t>
  </si>
  <si>
    <t>16-4680 (Summer)</t>
  </si>
  <si>
    <t>Malawi</t>
  </si>
  <si>
    <t>0-&gt;1000</t>
  </si>
  <si>
    <t>Pritchard et al.  2007</t>
  </si>
  <si>
    <t>Blantyre, Chiradzulu, and Mulanje</t>
  </si>
  <si>
    <t>15-4020</t>
  </si>
  <si>
    <t>Pritchard et al.  2008</t>
  </si>
  <si>
    <t>Source</t>
  </si>
  <si>
    <t xml:space="preserve">Balaka, Chikwawa and Zomba </t>
  </si>
  <si>
    <t>TTC, As, F</t>
  </si>
  <si>
    <t>Psutka et al. 2011</t>
  </si>
  <si>
    <t xml:space="preserve">Lusaka </t>
  </si>
  <si>
    <t>Guatemala</t>
  </si>
  <si>
    <t>Lebanon</t>
  </si>
  <si>
    <t>Honduras</t>
  </si>
  <si>
    <t xml:space="preserve"> Philippines</t>
  </si>
  <si>
    <t>Warner et al. 2008</t>
  </si>
  <si>
    <t>Nepal</t>
  </si>
  <si>
    <t>0-800</t>
  </si>
  <si>
    <t>0-81</t>
  </si>
  <si>
    <t>0-750</t>
  </si>
  <si>
    <t>EC, As, F?</t>
  </si>
  <si>
    <t xml:space="preserve">Zimbabwe </t>
  </si>
  <si>
    <t xml:space="preserve">0–98 </t>
  </si>
  <si>
    <t>Kenya</t>
  </si>
  <si>
    <t>Malaysia</t>
  </si>
  <si>
    <t xml:space="preserve">Guinea-Bissau </t>
  </si>
  <si>
    <t>0-5000</t>
  </si>
  <si>
    <t>Lesotho</t>
  </si>
  <si>
    <t>Unprotected Spring</t>
  </si>
  <si>
    <t>0-387</t>
  </si>
  <si>
    <t xml:space="preserve">Sri Lanka </t>
  </si>
  <si>
    <t>Sierra Leone</t>
  </si>
  <si>
    <t>Cameroon</t>
  </si>
  <si>
    <t>2-1100</t>
  </si>
  <si>
    <t>0-57</t>
  </si>
  <si>
    <t>Egypt</t>
  </si>
  <si>
    <t>WA</t>
  </si>
  <si>
    <t>O</t>
  </si>
  <si>
    <t>EA</t>
  </si>
  <si>
    <t>Dominican Republic</t>
  </si>
  <si>
    <t>Liberia</t>
  </si>
  <si>
    <t>Trinidad</t>
  </si>
  <si>
    <t>2-161</t>
  </si>
  <si>
    <t>five - 92</t>
  </si>
  <si>
    <t>South Africa &amp; Zimbabwe</t>
  </si>
  <si>
    <t>Papua New Guinea</t>
  </si>
  <si>
    <t>&lt;1 - 900</t>
  </si>
  <si>
    <t>&lt;1 - 204</t>
  </si>
  <si>
    <t>0-56</t>
  </si>
  <si>
    <t>Iran</t>
  </si>
  <si>
    <t>Philippines</t>
  </si>
  <si>
    <t>6 to TNTC</t>
  </si>
  <si>
    <t>36 to TNTC</t>
  </si>
  <si>
    <t>0-2400</t>
  </si>
  <si>
    <t>Bolivia</t>
  </si>
  <si>
    <t>Emergencies</t>
  </si>
  <si>
    <t>Tanker truck</t>
  </si>
  <si>
    <t>Selection described</t>
  </si>
  <si>
    <t>Quality Control</t>
  </si>
  <si>
    <t>Handling minimum criteria</t>
  </si>
  <si>
    <t>Sanitary Risk</t>
  </si>
  <si>
    <t>Region specified</t>
  </si>
  <si>
    <t>Colombia</t>
  </si>
  <si>
    <t>0-200</t>
  </si>
  <si>
    <t>Yes</t>
  </si>
  <si>
    <t>&lt;1-&gt;180</t>
  </si>
  <si>
    <t>&lt;1 - 180</t>
  </si>
  <si>
    <t>0-&gt;2000</t>
  </si>
  <si>
    <t>Study design</t>
  </si>
  <si>
    <t>Trained technician</t>
  </si>
  <si>
    <t>0-&gt;3200</t>
  </si>
  <si>
    <t>0-&gt;200.5</t>
  </si>
  <si>
    <t>Diagnostic</t>
  </si>
  <si>
    <t>0-300</t>
  </si>
  <si>
    <t>0-10000</t>
  </si>
  <si>
    <t>0-50000</t>
  </si>
  <si>
    <t>1-60800</t>
  </si>
  <si>
    <t>53-55000</t>
  </si>
  <si>
    <t>Intervention</t>
  </si>
  <si>
    <t>Study quality rating</t>
  </si>
  <si>
    <t>0-20</t>
  </si>
  <si>
    <t>0-350000</t>
  </si>
  <si>
    <t>0-70</t>
  </si>
  <si>
    <t>26-350</t>
  </si>
  <si>
    <t>&lt;2-9</t>
  </si>
  <si>
    <t>0-1100</t>
  </si>
  <si>
    <t>0-2000</t>
  </si>
  <si>
    <t>0-1200</t>
  </si>
  <si>
    <t>Botswana</t>
  </si>
  <si>
    <t>0-15</t>
  </si>
  <si>
    <t>0-13</t>
  </si>
  <si>
    <t>0-90</t>
  </si>
  <si>
    <t>0-120</t>
  </si>
  <si>
    <t>0-270</t>
  </si>
  <si>
    <t>Mali</t>
  </si>
  <si>
    <t>0-1248</t>
  </si>
  <si>
    <t>0-1414</t>
  </si>
  <si>
    <t>0-3</t>
  </si>
  <si>
    <t>Not classified</t>
  </si>
  <si>
    <t>Borehole or Tubewell</t>
  </si>
  <si>
    <t>Our classification</t>
  </si>
  <si>
    <t>1-196</t>
  </si>
  <si>
    <t>Cohort</t>
  </si>
  <si>
    <t>Guinea</t>
  </si>
  <si>
    <t>50-183000</t>
  </si>
  <si>
    <t>370-154000</t>
  </si>
  <si>
    <t>0-28</t>
  </si>
  <si>
    <t>Cambodia</t>
  </si>
  <si>
    <t>Morocco</t>
  </si>
  <si>
    <t>Libya</t>
  </si>
  <si>
    <t>0 - 10000</t>
  </si>
  <si>
    <t>Burkina Faso</t>
  </si>
  <si>
    <t>Venezuela</t>
  </si>
  <si>
    <t>0-7</t>
  </si>
  <si>
    <t>se =10.5</t>
  </si>
  <si>
    <t>se=1.7</t>
  </si>
  <si>
    <t>0-24</t>
  </si>
  <si>
    <t>0-&gt;1800</t>
  </si>
  <si>
    <t>Gambia</t>
  </si>
  <si>
    <t>100-8000</t>
  </si>
  <si>
    <t>3-130</t>
  </si>
  <si>
    <t>300-3000</t>
  </si>
  <si>
    <t>0-38</t>
  </si>
  <si>
    <t>0-88</t>
  </si>
  <si>
    <t>If piped (P), treated?</t>
  </si>
  <si>
    <t>0-160</t>
  </si>
  <si>
    <t>0-15000</t>
  </si>
  <si>
    <t>0-640</t>
  </si>
  <si>
    <t>0.25-&gt;2419</t>
  </si>
  <si>
    <t>Côte d’Ivoire</t>
  </si>
  <si>
    <t>&lt;1-3300</t>
  </si>
  <si>
    <t>0-9.0 × 103</t>
  </si>
  <si>
    <t>Mail</t>
  </si>
  <si>
    <t>1-540</t>
  </si>
  <si>
    <t>&lt;1 to &gt;2419</t>
  </si>
  <si>
    <t xml:space="preserve">Zambia </t>
  </si>
  <si>
    <t>Not reported</t>
  </si>
  <si>
    <t>0-6790</t>
  </si>
  <si>
    <t>6-280</t>
  </si>
  <si>
    <t>Method described</t>
  </si>
  <si>
    <t>Handling described</t>
  </si>
  <si>
    <t>China</t>
  </si>
  <si>
    <t>Wu</t>
  </si>
  <si>
    <t>Qi</t>
  </si>
  <si>
    <t>Chen</t>
  </si>
  <si>
    <t>Zhang</t>
  </si>
  <si>
    <t>Cui</t>
  </si>
  <si>
    <t>Pan</t>
  </si>
  <si>
    <t>Lin</t>
  </si>
  <si>
    <t>Long</t>
  </si>
  <si>
    <t>Yao</t>
  </si>
  <si>
    <t>0-TNTC</t>
  </si>
  <si>
    <t>0-600</t>
  </si>
  <si>
    <t>2-35000</t>
  </si>
  <si>
    <t>460-54000</t>
  </si>
  <si>
    <t>9-1700</t>
  </si>
  <si>
    <t>Includes Cis</t>
  </si>
  <si>
    <t>Afghanistan</t>
  </si>
  <si>
    <t>Haiti</t>
  </si>
  <si>
    <t>0-1000</t>
  </si>
  <si>
    <t>&lt;2-40</t>
  </si>
  <si>
    <t>&lt;2=&gt;1600</t>
  </si>
  <si>
    <t>5-&gt;1800</t>
  </si>
  <si>
    <t>Unclear</t>
  </si>
  <si>
    <t>Mixed</t>
  </si>
  <si>
    <t>Abdellah</t>
  </si>
  <si>
    <t>Abera</t>
  </si>
  <si>
    <t>Abu Amr</t>
  </si>
  <si>
    <t>Abusafa</t>
  </si>
  <si>
    <t>Addo</t>
  </si>
  <si>
    <t>Admassu</t>
  </si>
  <si>
    <t>Agard</t>
  </si>
  <si>
    <t>Ahmad</t>
  </si>
  <si>
    <t>Ahmed</t>
  </si>
  <si>
    <t>Ahouassi</t>
  </si>
  <si>
    <t>Akoachere</t>
  </si>
  <si>
    <t>Albert</t>
  </si>
  <si>
    <t>Aldana</t>
  </si>
  <si>
    <t>Aliev</t>
  </si>
  <si>
    <t>Al-Khatib</t>
  </si>
  <si>
    <t>Alves</t>
  </si>
  <si>
    <t>Amouei</t>
  </si>
  <si>
    <t>Ampofo</t>
  </si>
  <si>
    <t>An</t>
  </si>
  <si>
    <t>Andrade</t>
  </si>
  <si>
    <t>Arnold</t>
  </si>
  <si>
    <t>Augustinos</t>
  </si>
  <si>
    <t>Austin</t>
  </si>
  <si>
    <t>Awuah</t>
  </si>
  <si>
    <t>Ayantobo</t>
  </si>
  <si>
    <t>Aydin</t>
  </si>
  <si>
    <t>Bahram</t>
  </si>
  <si>
    <t>Baig</t>
  </si>
  <si>
    <t>Baker</t>
  </si>
  <si>
    <t>Barbosa</t>
  </si>
  <si>
    <t>Barthiban</t>
  </si>
  <si>
    <t>Bartram</t>
  </si>
  <si>
    <t>Begum</t>
  </si>
  <si>
    <t>Besser</t>
  </si>
  <si>
    <t>Bharath</t>
  </si>
  <si>
    <t>Bordalo</t>
  </si>
  <si>
    <t>Bracho</t>
  </si>
  <si>
    <t>Carrasco</t>
  </si>
  <si>
    <t>Caylak</t>
  </si>
  <si>
    <t>Chaidez</t>
  </si>
  <si>
    <t>Chemuliti</t>
  </si>
  <si>
    <t>Clasen</t>
  </si>
  <si>
    <t>Coloru</t>
  </si>
  <si>
    <t>Copeland</t>
  </si>
  <si>
    <t>Costello</t>
  </si>
  <si>
    <t>Cronin</t>
  </si>
  <si>
    <t>da Silva</t>
  </si>
  <si>
    <t>Dada</t>
  </si>
  <si>
    <t>Daoud</t>
  </si>
  <si>
    <t>de Siqueira</t>
  </si>
  <si>
    <t>Degbey</t>
  </si>
  <si>
    <t>Desmarchelier</t>
  </si>
  <si>
    <t>Devoto</t>
  </si>
  <si>
    <t>Dongol</t>
  </si>
  <si>
    <t>Egwari</t>
  </si>
  <si>
    <t>Ehlers</t>
  </si>
  <si>
    <t>Ejechi</t>
  </si>
  <si>
    <t>Eldin</t>
  </si>
  <si>
    <t>El Salam</t>
  </si>
  <si>
    <t>Empereur-Bissonnet</t>
  </si>
  <si>
    <t>Escamilla</t>
  </si>
  <si>
    <t>Eschol</t>
  </si>
  <si>
    <t>Esterhuizen</t>
  </si>
  <si>
    <t>Falcone-Dias</t>
  </si>
  <si>
    <t>Farache-Filho</t>
  </si>
  <si>
    <t>Ferguson</t>
  </si>
  <si>
    <t>Ferretti</t>
  </si>
  <si>
    <t>Fiore</t>
  </si>
  <si>
    <t>Firth</t>
  </si>
  <si>
    <t>Flores-Abuxapqui</t>
  </si>
  <si>
    <t>Frischknecht</t>
  </si>
  <si>
    <t>Garode</t>
  </si>
  <si>
    <t>Gaytan</t>
  </si>
  <si>
    <t>Geilnas</t>
  </si>
  <si>
    <t>Genthe</t>
  </si>
  <si>
    <t>Ghenghesh</t>
  </si>
  <si>
    <t>Godfrey</t>
  </si>
  <si>
    <t>Gonul</t>
  </si>
  <si>
    <t>Gorter</t>
  </si>
  <si>
    <t>Grimason</t>
  </si>
  <si>
    <t>Guedes</t>
  </si>
  <si>
    <t>Gundry</t>
  </si>
  <si>
    <t>Gupta</t>
  </si>
  <si>
    <t>Gwimbi</t>
  </si>
  <si>
    <t>Haruna</t>
  </si>
  <si>
    <t>Hashmi</t>
  </si>
  <si>
    <t>Henry</t>
  </si>
  <si>
    <t>Herath</t>
  </si>
  <si>
    <t>Hira-Smith</t>
  </si>
  <si>
    <t>Holm</t>
  </si>
  <si>
    <t>Holt</t>
  </si>
  <si>
    <t>Hoque</t>
  </si>
  <si>
    <t>Horak</t>
  </si>
  <si>
    <t>Howard</t>
  </si>
  <si>
    <t>Hubbard</t>
  </si>
  <si>
    <t>Hussain</t>
  </si>
  <si>
    <t>Ince</t>
  </si>
  <si>
    <t>Isaac-Marques</t>
  </si>
  <si>
    <t>Islam</t>
  </si>
  <si>
    <t>Jagals</t>
  </si>
  <si>
    <t>Jayatilleke</t>
  </si>
  <si>
    <t>Jimmy</t>
  </si>
  <si>
    <t>Joya</t>
  </si>
  <si>
    <t>Junaidu</t>
  </si>
  <si>
    <t>Kanyerere</t>
  </si>
  <si>
    <t>Karim</t>
  </si>
  <si>
    <t>Karnchanawong</t>
  </si>
  <si>
    <t>Kassenga</t>
  </si>
  <si>
    <t>Kerala State</t>
  </si>
  <si>
    <t>Khadse</t>
  </si>
  <si>
    <t>Khan</t>
  </si>
  <si>
    <t>Khush</t>
  </si>
  <si>
    <t>Kimani-Murage</t>
  </si>
  <si>
    <t>Kiptum</t>
  </si>
  <si>
    <t>Klasen</t>
  </si>
  <si>
    <t>Knappett</t>
  </si>
  <si>
    <t>Knight</t>
  </si>
  <si>
    <t>Korfali</t>
  </si>
  <si>
    <t>Kravitz</t>
  </si>
  <si>
    <t>Kremer</t>
  </si>
  <si>
    <t>Kromoredjo</t>
  </si>
  <si>
    <t>Lacey</t>
  </si>
  <si>
    <t>Lal</t>
  </si>
  <si>
    <t>Lantagne</t>
  </si>
  <si>
    <t>Leber</t>
  </si>
  <si>
    <t>Leiter</t>
  </si>
  <si>
    <t>Levy</t>
  </si>
  <si>
    <t>Lira</t>
  </si>
  <si>
    <t>Lloyd</t>
  </si>
  <si>
    <t>Luby</t>
  </si>
  <si>
    <t>Lukacs</t>
  </si>
  <si>
    <t>Machdar</t>
  </si>
  <si>
    <t>Macy</t>
  </si>
  <si>
    <t>Magan</t>
  </si>
  <si>
    <t>Magrath</t>
  </si>
  <si>
    <t>Mah</t>
  </si>
  <si>
    <t>Mahasneh</t>
  </si>
  <si>
    <t>Mahfouz</t>
  </si>
  <si>
    <t>Maiga</t>
  </si>
  <si>
    <t>Mamo</t>
  </si>
  <si>
    <t>Mane</t>
  </si>
  <si>
    <t>Matsinhe</t>
  </si>
  <si>
    <t>Mazengia</t>
  </si>
  <si>
    <t>Mertens</t>
  </si>
  <si>
    <t>Metwali</t>
  </si>
  <si>
    <t>Michelina</t>
  </si>
  <si>
    <t>Moazeni</t>
  </si>
  <si>
    <t>Moe</t>
  </si>
  <si>
    <t>Momba</t>
  </si>
  <si>
    <t>Mora-Bueno</t>
  </si>
  <si>
    <t>Morgan</t>
  </si>
  <si>
    <t>Moshtaghi</t>
  </si>
  <si>
    <t>Mosley</t>
  </si>
  <si>
    <t>Moyo</t>
  </si>
  <si>
    <t>Mpenyana-Monyatsi</t>
  </si>
  <si>
    <t>Mukhopadhyay</t>
  </si>
  <si>
    <t>Muzuga</t>
  </si>
  <si>
    <t>Mzuga</t>
  </si>
  <si>
    <t>Nascimento</t>
  </si>
  <si>
    <t>NEERI</t>
  </si>
  <si>
    <t>Nikaeen</t>
  </si>
  <si>
    <t>Nogueira</t>
  </si>
  <si>
    <t>Nunes</t>
  </si>
  <si>
    <t>Nyanchaga</t>
  </si>
  <si>
    <t>Obiri-Danso</t>
  </si>
  <si>
    <t>Ogan</t>
  </si>
  <si>
    <t>Okagbue</t>
  </si>
  <si>
    <t>Okioga</t>
  </si>
  <si>
    <t>Okura</t>
  </si>
  <si>
    <t>Olaoye</t>
  </si>
  <si>
    <t>Oloruntoba</t>
  </si>
  <si>
    <t>Omar</t>
  </si>
  <si>
    <t>Omer</t>
  </si>
  <si>
    <t>Onifade</t>
  </si>
  <si>
    <t>Opisa</t>
  </si>
  <si>
    <t>Opryszko</t>
  </si>
  <si>
    <t>Ordinioha</t>
  </si>
  <si>
    <t>Oyedeji</t>
  </si>
  <si>
    <t>Pant</t>
  </si>
  <si>
    <t>Parker</t>
  </si>
  <si>
    <t>Pathak</t>
  </si>
  <si>
    <t>Patrick</t>
  </si>
  <si>
    <t>Pickering</t>
  </si>
  <si>
    <t>Pinfold</t>
  </si>
  <si>
    <t>Piranha</t>
  </si>
  <si>
    <t>Platenburg</t>
  </si>
  <si>
    <t>Potgieiter</t>
  </si>
  <si>
    <t>Potgieter</t>
  </si>
  <si>
    <t>Pradhan</t>
  </si>
  <si>
    <t>Pritchard</t>
  </si>
  <si>
    <t>Properzi</t>
  </si>
  <si>
    <t>Putri</t>
  </si>
  <si>
    <t>Quick</t>
  </si>
  <si>
    <t>Radaideh</t>
  </si>
  <si>
    <t>Rainey</t>
  </si>
  <si>
    <t>Ramteke</t>
  </si>
  <si>
    <t>Rao</t>
  </si>
  <si>
    <t>Rawat</t>
  </si>
  <si>
    <t>Razzolini</t>
  </si>
  <si>
    <t>Rejith</t>
  </si>
  <si>
    <t>Rheinheimer</t>
  </si>
  <si>
    <t>Rosa</t>
  </si>
  <si>
    <t>Rufener</t>
  </si>
  <si>
    <t>Sampson</t>
  </si>
  <si>
    <t>Sant-Anna</t>
  </si>
  <si>
    <t>Sasikaran</t>
  </si>
  <si>
    <t>Schaffner</t>
  </si>
  <si>
    <t>Semerjian</t>
  </si>
  <si>
    <t>Shaheed</t>
  </si>
  <si>
    <t>Shaikh</t>
  </si>
  <si>
    <t>Shakya</t>
  </si>
  <si>
    <t>Shar</t>
  </si>
  <si>
    <t>Sharma</t>
  </si>
  <si>
    <t>Silva</t>
  </si>
  <si>
    <t>Simango</t>
  </si>
  <si>
    <t>Simiyu</t>
  </si>
  <si>
    <t>Singh</t>
  </si>
  <si>
    <t>Smith</t>
  </si>
  <si>
    <t>Soto</t>
  </si>
  <si>
    <t>Souza-Coelho</t>
  </si>
  <si>
    <t>Stoler</t>
  </si>
  <si>
    <t>Sutton</t>
  </si>
  <si>
    <t>Tabor</t>
  </si>
  <si>
    <t>Tadesse</t>
  </si>
  <si>
    <t>Tambekar</t>
  </si>
  <si>
    <t>Taylor</t>
  </si>
  <si>
    <t>Tewari</t>
  </si>
  <si>
    <t>Tillet</t>
  </si>
  <si>
    <t>Tole</t>
  </si>
  <si>
    <t>Trevett</t>
  </si>
  <si>
    <t>Uhl</t>
  </si>
  <si>
    <t>Vaccari</t>
  </si>
  <si>
    <t>Valente</t>
  </si>
  <si>
    <t>Van Geen</t>
  </si>
  <si>
    <t>Vanderslice</t>
  </si>
  <si>
    <t>Varghese</t>
  </si>
  <si>
    <t>Vidal</t>
  </si>
  <si>
    <t>Vollaard</t>
  </si>
  <si>
    <t>Warner</t>
  </si>
  <si>
    <t>Watts</t>
  </si>
  <si>
    <t>Welch</t>
  </si>
  <si>
    <t>Williams</t>
  </si>
  <si>
    <t>Wright</t>
  </si>
  <si>
    <t>Xavier</t>
  </si>
  <si>
    <t>Yasin</t>
  </si>
  <si>
    <t>Yassin</t>
  </si>
  <si>
    <t>Yongsi</t>
  </si>
  <si>
    <t>Zeenat</t>
  </si>
  <si>
    <t>Zeilhofer</t>
  </si>
  <si>
    <t>Zuin</t>
  </si>
  <si>
    <t>Database ID</t>
  </si>
  <si>
    <t>Year of publication</t>
  </si>
  <si>
    <t>First author or Organisation</t>
  </si>
  <si>
    <t>JMP Source Definition</t>
  </si>
  <si>
    <t>Parameter assessed</t>
  </si>
  <si>
    <t>Longitudinal (&gt;6 months)</t>
  </si>
  <si>
    <t>Massoud</t>
  </si>
  <si>
    <t>Broshears</t>
  </si>
  <si>
    <t>0-&gt;200</t>
  </si>
  <si>
    <t>0-50</t>
  </si>
  <si>
    <t>0-2</t>
  </si>
  <si>
    <t>0-100</t>
  </si>
  <si>
    <t>1-&gt;200</t>
  </si>
  <si>
    <t>Camara</t>
  </si>
  <si>
    <t>32-960</t>
  </si>
  <si>
    <t>0-4</t>
  </si>
  <si>
    <t>Reddy</t>
  </si>
  <si>
    <t>Phatthararangrong</t>
  </si>
  <si>
    <t xml:space="preserve">Oswald </t>
  </si>
  <si>
    <t>Guillemin</t>
  </si>
  <si>
    <t>Cardoso</t>
  </si>
  <si>
    <t>Sanitaryriskscore</t>
  </si>
  <si>
    <t>No</t>
  </si>
  <si>
    <t>Randomized selection described</t>
  </si>
  <si>
    <t>0 - 71</t>
  </si>
  <si>
    <t>0 - 1800</t>
  </si>
  <si>
    <t>Miranzadeh</t>
  </si>
  <si>
    <t>TBC</t>
  </si>
  <si>
    <t>Coelho</t>
  </si>
  <si>
    <t>Nwosu</t>
  </si>
  <si>
    <t>Myanmar</t>
  </si>
  <si>
    <t>Oo</t>
  </si>
  <si>
    <t>Shrestha</t>
  </si>
  <si>
    <t>0-334.5</t>
  </si>
  <si>
    <t>0-609</t>
  </si>
  <si>
    <t>Handzel</t>
  </si>
  <si>
    <t>Income-group</t>
  </si>
  <si>
    <t>Low</t>
  </si>
  <si>
    <t>High</t>
  </si>
  <si>
    <t>Upper-middle</t>
  </si>
  <si>
    <t>Lower-middle</t>
  </si>
  <si>
    <t>Java (Indonesia)</t>
  </si>
  <si>
    <t>Chung</t>
  </si>
  <si>
    <t>Guimaraes</t>
  </si>
  <si>
    <t>Aga</t>
  </si>
  <si>
    <t>0-30</t>
  </si>
  <si>
    <t>Jung</t>
  </si>
  <si>
    <t>Norton</t>
  </si>
  <si>
    <t>Itama</t>
  </si>
  <si>
    <t>Republic of Korea</t>
  </si>
  <si>
    <t>81-161</t>
  </si>
  <si>
    <t>Al-Salaymeh</t>
  </si>
  <si>
    <t>Miranda</t>
  </si>
  <si>
    <t>Jiban Singh</t>
  </si>
  <si>
    <t>Abu Mayla</t>
  </si>
  <si>
    <t>dos Reis</t>
  </si>
  <si>
    <t>Kilanko-Oluwasanya</t>
  </si>
  <si>
    <t>Kumpel</t>
  </si>
  <si>
    <t>de Sá</t>
  </si>
  <si>
    <t>0-14</t>
  </si>
  <si>
    <t>Accredited lab</t>
  </si>
  <si>
    <t>Season described</t>
  </si>
  <si>
    <t>External review</t>
  </si>
  <si>
    <t>Noncompliance</t>
  </si>
  <si>
    <t>Number</t>
  </si>
  <si>
    <t>Randomised selection</t>
  </si>
  <si>
    <t>Urban or rural</t>
  </si>
  <si>
    <t>Risk classification &lt;1 per 100 ml</t>
  </si>
  <si>
    <t>Risk classification 1-10 per 100 ml</t>
  </si>
  <si>
    <t>Risk classification 10-100 per 100 ml</t>
  </si>
  <si>
    <t>Risk classification &gt;100 per 100 ml</t>
  </si>
  <si>
    <t>Geometric ean</t>
  </si>
  <si>
    <t>Variance</t>
  </si>
  <si>
    <t>Standard deviation</t>
  </si>
  <si>
    <t>Extrahousehold</t>
  </si>
  <si>
    <t>WHOstandard form used</t>
  </si>
  <si>
    <t>Point of Sampling specified</t>
  </si>
  <si>
    <t>Longitudinal survey</t>
  </si>
  <si>
    <t>Cross-sectional survey</t>
  </si>
  <si>
    <t>Case control</t>
  </si>
  <si>
    <t>Treated</t>
  </si>
  <si>
    <t>Not treated</t>
  </si>
  <si>
    <t>Rainwater harvesting</t>
  </si>
  <si>
    <t>Unprotected dug well</t>
  </si>
  <si>
    <t>Point of use: bottled</t>
  </si>
  <si>
    <t>Unspecified spring</t>
  </si>
  <si>
    <t>Unspecified dug well</t>
  </si>
  <si>
    <t>Thermotolerant coliform</t>
  </si>
  <si>
    <t>E. coli</t>
  </si>
  <si>
    <t>Dry</t>
  </si>
  <si>
    <t>Season (wet or dry)</t>
  </si>
  <si>
    <t>Wet</t>
  </si>
  <si>
    <t>Point of use: borehole or tubewell</t>
  </si>
  <si>
    <t>Point of use: Unspecified spring</t>
  </si>
  <si>
    <t>Point of use: unspecified dug well</t>
  </si>
  <si>
    <t>Point of use: Piped</t>
  </si>
  <si>
    <t>Point of use: protected dug well</t>
  </si>
  <si>
    <t>Point of use: Rainwater harvesting</t>
  </si>
  <si>
    <t>Point of use: Tanker truck</t>
  </si>
  <si>
    <t>Point of use: unprotected dug well</t>
  </si>
  <si>
    <t>Point of use: Borehole or Tubewell</t>
  </si>
  <si>
    <t>Point of use protected spring</t>
  </si>
  <si>
    <t>Point of use: unprotected spring</t>
  </si>
  <si>
    <t>Elala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</si>
</sst>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9"/>
      <color theme="1"/>
      <name val="AdvEPSTIM"/>
    </font>
    <font>
      <sz val="7"/>
      <color theme="1"/>
      <name val="AdvGulliv"/>
    </font>
    <font>
      <sz val="10"/>
      <color theme="1"/>
      <name val="AdvOT2e364b11"/>
    </font>
    <font>
      <sz val="12"/>
      <color rgb="FF111111"/>
      <name val="Calibri"/>
      <family val="2"/>
    </font>
    <font>
      <sz val="12"/>
      <name val="Calibri"/>
      <family val="2"/>
    </font>
    <font>
      <i/>
      <sz val="12"/>
      <color theme="1"/>
      <name val="Calibri"/>
      <family val="2"/>
      <scheme val="minor"/>
    </font>
    <font>
      <sz val="12"/>
      <color theme="1"/>
      <name val="Calibri (Body)"/>
    </font>
    <font>
      <strike/>
      <sz val="12"/>
      <color theme="1"/>
      <name val="Calibri"/>
      <family val="2"/>
      <scheme val="minor"/>
    </font>
    <font>
      <sz val="12"/>
      <color rgb="FF000000"/>
      <name val="Calibri"/>
    </font>
    <font>
      <sz val="8"/>
      <color theme="1"/>
      <name val="Calibri"/>
      <scheme val="minor"/>
    </font>
    <font>
      <i/>
      <sz val="12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188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9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7" fillId="2" borderId="0" xfId="0" applyFont="1" applyFill="1"/>
    <xf numFmtId="0" fontId="4" fillId="2" borderId="0" xfId="0" applyFont="1" applyFill="1"/>
    <xf numFmtId="0" fontId="5" fillId="2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1" xfId="0" applyFill="1" applyBorder="1"/>
    <xf numFmtId="0" fontId="1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wrapText="1"/>
    </xf>
    <xf numFmtId="0" fontId="13" fillId="0" borderId="0" xfId="0" applyFont="1"/>
    <xf numFmtId="0" fontId="14" fillId="0" borderId="0" xfId="0" applyFont="1"/>
    <xf numFmtId="9" fontId="0" fillId="2" borderId="2" xfId="0" applyNumberFormat="1" applyFill="1" applyBorder="1"/>
    <xf numFmtId="0" fontId="15" fillId="0" borderId="0" xfId="0" applyFont="1"/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10" fontId="0" fillId="2" borderId="0" xfId="0" applyNumberFormat="1" applyFill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9" fontId="0" fillId="2" borderId="0" xfId="0" applyNumberFormat="1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9" fontId="0" fillId="2" borderId="0" xfId="25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NumberFormat="1" applyFont="1" applyFill="1" applyAlignment="1">
      <alignment horizontal="left" vertical="center" wrapText="1"/>
    </xf>
    <xf numFmtId="0" fontId="10" fillId="2" borderId="0" xfId="0" applyNumberFormat="1" applyFont="1" applyFill="1" applyAlignment="1">
      <alignment horizontal="left" vertical="center"/>
    </xf>
    <xf numFmtId="2" fontId="0" fillId="2" borderId="0" xfId="25" applyNumberFormat="1" applyFont="1" applyFill="1" applyAlignment="1">
      <alignment horizontal="left" vertical="center"/>
    </xf>
    <xf numFmtId="2" fontId="10" fillId="2" borderId="0" xfId="0" applyNumberFormat="1" applyFont="1" applyFill="1" applyAlignment="1">
      <alignment horizontal="left" vertical="center"/>
    </xf>
    <xf numFmtId="17" fontId="0" fillId="2" borderId="0" xfId="0" applyNumberFormat="1" applyFill="1" applyAlignment="1">
      <alignment horizontal="left" vertical="center"/>
    </xf>
    <xf numFmtId="0" fontId="11" fillId="2" borderId="0" xfId="0" applyFont="1" applyFill="1" applyAlignment="1">
      <alignment horizontal="left" vertical="center" textRotation="90"/>
    </xf>
    <xf numFmtId="16" fontId="11" fillId="2" borderId="0" xfId="0" applyNumberFormat="1" applyFont="1" applyFill="1" applyAlignment="1">
      <alignment horizontal="left" vertical="center" textRotation="90"/>
    </xf>
    <xf numFmtId="2" fontId="11" fillId="2" borderId="0" xfId="0" applyNumberFormat="1" applyFont="1" applyFill="1" applyAlignment="1">
      <alignment horizontal="left" vertical="center" textRotation="90" wrapText="1"/>
    </xf>
    <xf numFmtId="0" fontId="11" fillId="2" borderId="0" xfId="0" applyNumberFormat="1" applyFont="1" applyFill="1" applyAlignment="1">
      <alignment horizontal="left" vertical="center" textRotation="90" wrapText="1"/>
    </xf>
    <xf numFmtId="0" fontId="0" fillId="0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1" fillId="2" borderId="0" xfId="0" applyFont="1" applyFill="1" applyAlignment="1">
      <alignment horizontal="center" vertical="center" textRotation="90"/>
    </xf>
    <xf numFmtId="0" fontId="0" fillId="2" borderId="0" xfId="0" applyNumberFormat="1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2" fontId="0" fillId="2" borderId="0" xfId="0" quotePrefix="1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" fontId="11" fillId="2" borderId="0" xfId="0" applyNumberFormat="1" applyFont="1" applyFill="1" applyAlignment="1">
      <alignment horizontal="left" vertical="center" textRotation="90"/>
    </xf>
    <xf numFmtId="1" fontId="0" fillId="2" borderId="0" xfId="0" applyNumberFormat="1" applyFill="1" applyAlignment="1">
      <alignment horizontal="left" vertical="center"/>
    </xf>
    <xf numFmtId="1" fontId="11" fillId="2" borderId="0" xfId="0" applyNumberFormat="1" applyFont="1" applyFill="1" applyAlignment="1">
      <alignment horizontal="left" vertical="center" textRotation="90" wrapText="1"/>
    </xf>
    <xf numFmtId="0" fontId="21" fillId="3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/>
    </xf>
    <xf numFmtId="0" fontId="0" fillId="9" borderId="0" xfId="0" applyFill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2" fontId="0" fillId="2" borderId="0" xfId="0" applyNumberFormat="1" applyFill="1" applyBorder="1" applyAlignment="1">
      <alignment horizontal="left" vertical="center"/>
    </xf>
    <xf numFmtId="1" fontId="0" fillId="2" borderId="0" xfId="0" applyNumberFormat="1" applyFill="1" applyBorder="1" applyAlignment="1">
      <alignment horizontal="left" vertical="center"/>
    </xf>
    <xf numFmtId="2" fontId="0" fillId="2" borderId="0" xfId="0" applyNumberFormat="1" applyFont="1" applyFill="1" applyAlignment="1">
      <alignment horizontal="left" vertical="center"/>
    </xf>
    <xf numFmtId="1" fontId="0" fillId="2" borderId="0" xfId="0" applyNumberFormat="1" applyFont="1" applyFill="1" applyAlignment="1">
      <alignment horizontal="left" vertical="center"/>
    </xf>
    <xf numFmtId="0" fontId="0" fillId="2" borderId="0" xfId="25" applyNumberFormat="1" applyFont="1" applyFill="1" applyAlignment="1">
      <alignment horizontal="left" vertical="center"/>
    </xf>
    <xf numFmtId="1" fontId="0" fillId="2" borderId="0" xfId="25" applyNumberFormat="1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0" fillId="2" borderId="0" xfId="25" applyNumberFormat="1" applyFont="1" applyFill="1" applyAlignment="1">
      <alignment horizontal="center" vertical="center"/>
    </xf>
    <xf numFmtId="9" fontId="0" fillId="2" borderId="0" xfId="25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 textRotation="90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25" applyNumberFormat="1" applyFont="1" applyFill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2" fontId="19" fillId="2" borderId="0" xfId="25" applyNumberFormat="1" applyFont="1" applyFill="1" applyAlignment="1">
      <alignment horizontal="center" vertical="center"/>
    </xf>
    <xf numFmtId="2" fontId="17" fillId="2" borderId="0" xfId="25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textRotation="90"/>
    </xf>
    <xf numFmtId="0" fontId="10" fillId="2" borderId="0" xfId="0" applyFont="1" applyFill="1" applyAlignment="1">
      <alignment horizontal="left"/>
    </xf>
    <xf numFmtId="9" fontId="10" fillId="2" borderId="0" xfId="25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textRotation="90" wrapText="1"/>
    </xf>
    <xf numFmtId="1" fontId="0" fillId="2" borderId="0" xfId="0" applyNumberForma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718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Followed Hyperlink" xfId="2507" builtinId="9" hidden="1"/>
    <cellStyle name="Followed Hyperlink" xfId="2509" builtinId="9" hidden="1"/>
    <cellStyle name="Followed Hyperlink" xfId="2511" builtinId="9" hidden="1"/>
    <cellStyle name="Followed Hyperlink" xfId="2513" builtinId="9" hidden="1"/>
    <cellStyle name="Followed Hyperlink" xfId="2515" builtinId="9" hidden="1"/>
    <cellStyle name="Followed Hyperlink" xfId="2517" builtinId="9" hidden="1"/>
    <cellStyle name="Followed Hyperlink" xfId="2519" builtinId="9" hidden="1"/>
    <cellStyle name="Followed Hyperlink" xfId="2521" builtinId="9" hidden="1"/>
    <cellStyle name="Followed Hyperlink" xfId="2523" builtinId="9" hidden="1"/>
    <cellStyle name="Followed Hyperlink" xfId="2525" builtinId="9" hidden="1"/>
    <cellStyle name="Followed Hyperlink" xfId="2527" builtinId="9" hidden="1"/>
    <cellStyle name="Followed Hyperlink" xfId="2529" builtinId="9" hidden="1"/>
    <cellStyle name="Followed Hyperlink" xfId="2531" builtinId="9" hidden="1"/>
    <cellStyle name="Followed Hyperlink" xfId="2533" builtinId="9" hidden="1"/>
    <cellStyle name="Followed Hyperlink" xfId="2535" builtinId="9" hidden="1"/>
    <cellStyle name="Followed Hyperlink" xfId="2537" builtinId="9" hidden="1"/>
    <cellStyle name="Followed Hyperlink" xfId="2539" builtinId="9" hidden="1"/>
    <cellStyle name="Followed Hyperlink" xfId="2541" builtinId="9" hidden="1"/>
    <cellStyle name="Followed Hyperlink" xfId="2543" builtinId="9" hidden="1"/>
    <cellStyle name="Followed Hyperlink" xfId="2545" builtinId="9" hidden="1"/>
    <cellStyle name="Followed Hyperlink" xfId="2547" builtinId="9" hidden="1"/>
    <cellStyle name="Followed Hyperlink" xfId="2549" builtinId="9" hidden="1"/>
    <cellStyle name="Followed Hyperlink" xfId="2551" builtinId="9" hidden="1"/>
    <cellStyle name="Followed Hyperlink" xfId="2553" builtinId="9" hidden="1"/>
    <cellStyle name="Followed Hyperlink" xfId="2555" builtinId="9" hidden="1"/>
    <cellStyle name="Followed Hyperlink" xfId="2557" builtinId="9" hidden="1"/>
    <cellStyle name="Followed Hyperlink" xfId="2559" builtinId="9" hidden="1"/>
    <cellStyle name="Followed Hyperlink" xfId="2561" builtinId="9" hidden="1"/>
    <cellStyle name="Followed Hyperlink" xfId="2563" builtinId="9" hidden="1"/>
    <cellStyle name="Followed Hyperlink" xfId="2565" builtinId="9" hidden="1"/>
    <cellStyle name="Followed Hyperlink" xfId="2567" builtinId="9" hidden="1"/>
    <cellStyle name="Followed Hyperlink" xfId="2569" builtinId="9" hidden="1"/>
    <cellStyle name="Followed Hyperlink" xfId="2571" builtinId="9" hidden="1"/>
    <cellStyle name="Followed Hyperlink" xfId="2573" builtinId="9" hidden="1"/>
    <cellStyle name="Followed Hyperlink" xfId="2575" builtinId="9" hidden="1"/>
    <cellStyle name="Followed Hyperlink" xfId="2577" builtinId="9" hidden="1"/>
    <cellStyle name="Followed Hyperlink" xfId="2579" builtinId="9" hidden="1"/>
    <cellStyle name="Followed Hyperlink" xfId="2581" builtinId="9" hidden="1"/>
    <cellStyle name="Followed Hyperlink" xfId="2583" builtinId="9" hidden="1"/>
    <cellStyle name="Followed Hyperlink" xfId="2585" builtinId="9" hidden="1"/>
    <cellStyle name="Followed Hyperlink" xfId="2587" builtinId="9" hidden="1"/>
    <cellStyle name="Followed Hyperlink" xfId="2589" builtinId="9" hidden="1"/>
    <cellStyle name="Followed Hyperlink" xfId="2591" builtinId="9" hidden="1"/>
    <cellStyle name="Followed Hyperlink" xfId="2593" builtinId="9" hidden="1"/>
    <cellStyle name="Followed Hyperlink" xfId="2595" builtinId="9" hidden="1"/>
    <cellStyle name="Followed Hyperlink" xfId="2597" builtinId="9" hidden="1"/>
    <cellStyle name="Followed Hyperlink" xfId="2599" builtinId="9" hidden="1"/>
    <cellStyle name="Followed Hyperlink" xfId="2601" builtinId="9" hidden="1"/>
    <cellStyle name="Followed Hyperlink" xfId="2603" builtinId="9" hidden="1"/>
    <cellStyle name="Followed Hyperlink" xfId="2605" builtinId="9" hidden="1"/>
    <cellStyle name="Followed Hyperlink" xfId="2607" builtinId="9" hidden="1"/>
    <cellStyle name="Followed Hyperlink" xfId="2609" builtinId="9" hidden="1"/>
    <cellStyle name="Followed Hyperlink" xfId="2611" builtinId="9" hidden="1"/>
    <cellStyle name="Followed Hyperlink" xfId="2613" builtinId="9" hidden="1"/>
    <cellStyle name="Followed Hyperlink" xfId="2615" builtinId="9" hidden="1"/>
    <cellStyle name="Followed Hyperlink" xfId="2617" builtinId="9" hidden="1"/>
    <cellStyle name="Followed Hyperlink" xfId="2619" builtinId="9" hidden="1"/>
    <cellStyle name="Followed Hyperlink" xfId="2621" builtinId="9" hidden="1"/>
    <cellStyle name="Followed Hyperlink" xfId="2623" builtinId="9" hidden="1"/>
    <cellStyle name="Followed Hyperlink" xfId="2625" builtinId="9" hidden="1"/>
    <cellStyle name="Followed Hyperlink" xfId="2627" builtinId="9" hidden="1"/>
    <cellStyle name="Followed Hyperlink" xfId="2629" builtinId="9" hidden="1"/>
    <cellStyle name="Followed Hyperlink" xfId="2631" builtinId="9" hidden="1"/>
    <cellStyle name="Followed Hyperlink" xfId="2633" builtinId="9" hidden="1"/>
    <cellStyle name="Followed Hyperlink" xfId="2635" builtinId="9" hidden="1"/>
    <cellStyle name="Followed Hyperlink" xfId="2637" builtinId="9" hidden="1"/>
    <cellStyle name="Followed Hyperlink" xfId="2639" builtinId="9" hidden="1"/>
    <cellStyle name="Followed Hyperlink" xfId="2641" builtinId="9" hidden="1"/>
    <cellStyle name="Followed Hyperlink" xfId="2643" builtinId="9" hidden="1"/>
    <cellStyle name="Followed Hyperlink" xfId="2645" builtinId="9" hidden="1"/>
    <cellStyle name="Followed Hyperlink" xfId="2647" builtinId="9" hidden="1"/>
    <cellStyle name="Followed Hyperlink" xfId="2649" builtinId="9" hidden="1"/>
    <cellStyle name="Followed Hyperlink" xfId="2651" builtinId="9" hidden="1"/>
    <cellStyle name="Followed Hyperlink" xfId="2653" builtinId="9" hidden="1"/>
    <cellStyle name="Followed Hyperlink" xfId="2655" builtinId="9" hidden="1"/>
    <cellStyle name="Followed Hyperlink" xfId="2657" builtinId="9" hidden="1"/>
    <cellStyle name="Followed Hyperlink" xfId="2659" builtinId="9" hidden="1"/>
    <cellStyle name="Followed Hyperlink" xfId="2661" builtinId="9" hidden="1"/>
    <cellStyle name="Followed Hyperlink" xfId="2663" builtinId="9" hidden="1"/>
    <cellStyle name="Followed Hyperlink" xfId="2665" builtinId="9" hidden="1"/>
    <cellStyle name="Followed Hyperlink" xfId="2667" builtinId="9" hidden="1"/>
    <cellStyle name="Followed Hyperlink" xfId="2669" builtinId="9" hidden="1"/>
    <cellStyle name="Followed Hyperlink" xfId="2671" builtinId="9" hidden="1"/>
    <cellStyle name="Followed Hyperlink" xfId="2673" builtinId="9" hidden="1"/>
    <cellStyle name="Followed Hyperlink" xfId="2675" builtinId="9" hidden="1"/>
    <cellStyle name="Followed Hyperlink" xfId="2677" builtinId="9" hidden="1"/>
    <cellStyle name="Followed Hyperlink" xfId="2679" builtinId="9" hidden="1"/>
    <cellStyle name="Followed Hyperlink" xfId="2681" builtinId="9" hidden="1"/>
    <cellStyle name="Followed Hyperlink" xfId="2683" builtinId="9" hidden="1"/>
    <cellStyle name="Followed Hyperlink" xfId="2685" builtinId="9" hidden="1"/>
    <cellStyle name="Followed Hyperlink" xfId="2687" builtinId="9" hidden="1"/>
    <cellStyle name="Followed Hyperlink" xfId="2689" builtinId="9" hidden="1"/>
    <cellStyle name="Followed Hyperlink" xfId="2691" builtinId="9" hidden="1"/>
    <cellStyle name="Followed Hyperlink" xfId="2693" builtinId="9" hidden="1"/>
    <cellStyle name="Followed Hyperlink" xfId="2695" builtinId="9" hidden="1"/>
    <cellStyle name="Followed Hyperlink" xfId="2697" builtinId="9" hidden="1"/>
    <cellStyle name="Followed Hyperlink" xfId="2699" builtinId="9" hidden="1"/>
    <cellStyle name="Followed Hyperlink" xfId="2701" builtinId="9" hidden="1"/>
    <cellStyle name="Followed Hyperlink" xfId="2703" builtinId="9" hidden="1"/>
    <cellStyle name="Followed Hyperlink" xfId="2705" builtinId="9" hidden="1"/>
    <cellStyle name="Followed Hyperlink" xfId="2707" builtinId="9" hidden="1"/>
    <cellStyle name="Followed Hyperlink" xfId="2709" builtinId="9" hidden="1"/>
    <cellStyle name="Followed Hyperlink" xfId="2711" builtinId="9" hidden="1"/>
    <cellStyle name="Followed Hyperlink" xfId="2713" builtinId="9" hidden="1"/>
    <cellStyle name="Followed Hyperlink" xfId="2715" builtinId="9" hidden="1"/>
    <cellStyle name="Followed Hyperlink" xfId="2717" builtinId="9" hidden="1"/>
    <cellStyle name="Followed Hyperlink" xfId="2719" builtinId="9" hidden="1"/>
    <cellStyle name="Followed Hyperlink" xfId="2721" builtinId="9" hidden="1"/>
    <cellStyle name="Followed Hyperlink" xfId="2723" builtinId="9" hidden="1"/>
    <cellStyle name="Followed Hyperlink" xfId="2725" builtinId="9" hidden="1"/>
    <cellStyle name="Followed Hyperlink" xfId="2727" builtinId="9" hidden="1"/>
    <cellStyle name="Followed Hyperlink" xfId="2729" builtinId="9" hidden="1"/>
    <cellStyle name="Followed Hyperlink" xfId="2731" builtinId="9" hidden="1"/>
    <cellStyle name="Followed Hyperlink" xfId="2733" builtinId="9" hidden="1"/>
    <cellStyle name="Followed Hyperlink" xfId="2735" builtinId="9" hidden="1"/>
    <cellStyle name="Followed Hyperlink" xfId="2737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771" builtinId="9" hidden="1"/>
    <cellStyle name="Followed Hyperlink" xfId="2773" builtinId="9" hidden="1"/>
    <cellStyle name="Followed Hyperlink" xfId="2775" builtinId="9" hidden="1"/>
    <cellStyle name="Followed Hyperlink" xfId="2777" builtinId="9" hidden="1"/>
    <cellStyle name="Followed Hyperlink" xfId="2779" builtinId="9" hidden="1"/>
    <cellStyle name="Followed Hyperlink" xfId="2781" builtinId="9" hidden="1"/>
    <cellStyle name="Followed Hyperlink" xfId="2783" builtinId="9" hidden="1"/>
    <cellStyle name="Followed Hyperlink" xfId="2785" builtinId="9" hidden="1"/>
    <cellStyle name="Followed Hyperlink" xfId="2787" builtinId="9" hidden="1"/>
    <cellStyle name="Followed Hyperlink" xfId="2789" builtinId="9" hidden="1"/>
    <cellStyle name="Followed Hyperlink" xfId="2791" builtinId="9" hidden="1"/>
    <cellStyle name="Followed Hyperlink" xfId="2793" builtinId="9" hidden="1"/>
    <cellStyle name="Followed Hyperlink" xfId="2795" builtinId="9" hidden="1"/>
    <cellStyle name="Followed Hyperlink" xfId="2797" builtinId="9" hidden="1"/>
    <cellStyle name="Followed Hyperlink" xfId="2799" builtinId="9" hidden="1"/>
    <cellStyle name="Followed Hyperlink" xfId="2801" builtinId="9" hidden="1"/>
    <cellStyle name="Followed Hyperlink" xfId="2803" builtinId="9" hidden="1"/>
    <cellStyle name="Followed Hyperlink" xfId="2805" builtinId="9" hidden="1"/>
    <cellStyle name="Followed Hyperlink" xfId="2807" builtinId="9" hidden="1"/>
    <cellStyle name="Followed Hyperlink" xfId="2809" builtinId="9" hidden="1"/>
    <cellStyle name="Followed Hyperlink" xfId="2811" builtinId="9" hidden="1"/>
    <cellStyle name="Followed Hyperlink" xfId="2813" builtinId="9" hidden="1"/>
    <cellStyle name="Followed Hyperlink" xfId="2815" builtinId="9" hidden="1"/>
    <cellStyle name="Followed Hyperlink" xfId="2817" builtinId="9" hidden="1"/>
    <cellStyle name="Followed Hyperlink" xfId="2819" builtinId="9" hidden="1"/>
    <cellStyle name="Followed Hyperlink" xfId="2821" builtinId="9" hidden="1"/>
    <cellStyle name="Followed Hyperlink" xfId="2823" builtinId="9" hidden="1"/>
    <cellStyle name="Followed Hyperlink" xfId="2825" builtinId="9" hidden="1"/>
    <cellStyle name="Followed Hyperlink" xfId="2827" builtinId="9" hidden="1"/>
    <cellStyle name="Followed Hyperlink" xfId="2829" builtinId="9" hidden="1"/>
    <cellStyle name="Followed Hyperlink" xfId="2831" builtinId="9" hidden="1"/>
    <cellStyle name="Followed Hyperlink" xfId="2833" builtinId="9" hidden="1"/>
    <cellStyle name="Followed Hyperlink" xfId="2835" builtinId="9" hidden="1"/>
    <cellStyle name="Followed Hyperlink" xfId="2837" builtinId="9" hidden="1"/>
    <cellStyle name="Followed Hyperlink" xfId="2839" builtinId="9" hidden="1"/>
    <cellStyle name="Followed Hyperlink" xfId="2841" builtinId="9" hidden="1"/>
    <cellStyle name="Followed Hyperlink" xfId="2843" builtinId="9" hidden="1"/>
    <cellStyle name="Followed Hyperlink" xfId="2845" builtinId="9" hidden="1"/>
    <cellStyle name="Followed Hyperlink" xfId="2847" builtinId="9" hidden="1"/>
    <cellStyle name="Followed Hyperlink" xfId="2849" builtinId="9" hidden="1"/>
    <cellStyle name="Followed Hyperlink" xfId="2851" builtinId="9" hidden="1"/>
    <cellStyle name="Followed Hyperlink" xfId="2853" builtinId="9" hidden="1"/>
    <cellStyle name="Followed Hyperlink" xfId="2855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7" builtinId="9" hidden="1"/>
    <cellStyle name="Followed Hyperlink" xfId="2889" builtinId="9" hidden="1"/>
    <cellStyle name="Followed Hyperlink" xfId="2891" builtinId="9" hidden="1"/>
    <cellStyle name="Followed Hyperlink" xfId="2893" builtinId="9" hidden="1"/>
    <cellStyle name="Followed Hyperlink" xfId="2895" builtinId="9" hidden="1"/>
    <cellStyle name="Followed Hyperlink" xfId="2897" builtinId="9" hidden="1"/>
    <cellStyle name="Followed Hyperlink" xfId="2899" builtinId="9" hidden="1"/>
    <cellStyle name="Followed Hyperlink" xfId="2901" builtinId="9" hidden="1"/>
    <cellStyle name="Followed Hyperlink" xfId="2903" builtinId="9" hidden="1"/>
    <cellStyle name="Followed Hyperlink" xfId="2905" builtinId="9" hidden="1"/>
    <cellStyle name="Followed Hyperlink" xfId="2907" builtinId="9" hidden="1"/>
    <cellStyle name="Followed Hyperlink" xfId="2909" builtinId="9" hidden="1"/>
    <cellStyle name="Followed Hyperlink" xfId="2911" builtinId="9" hidden="1"/>
    <cellStyle name="Followed Hyperlink" xfId="2913" builtinId="9" hidden="1"/>
    <cellStyle name="Followed Hyperlink" xfId="2915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7" builtinId="9" hidden="1"/>
    <cellStyle name="Followed Hyperlink" xfId="2949" builtinId="9" hidden="1"/>
    <cellStyle name="Followed Hyperlink" xfId="2951" builtinId="9" hidden="1"/>
    <cellStyle name="Followed Hyperlink" xfId="2953" builtinId="9" hidden="1"/>
    <cellStyle name="Followed Hyperlink" xfId="2955" builtinId="9" hidden="1"/>
    <cellStyle name="Followed Hyperlink" xfId="2957" builtinId="9" hidden="1"/>
    <cellStyle name="Followed Hyperlink" xfId="2959" builtinId="9" hidden="1"/>
    <cellStyle name="Followed Hyperlink" xfId="2961" builtinId="9" hidden="1"/>
    <cellStyle name="Followed Hyperlink" xfId="2963" builtinId="9" hidden="1"/>
    <cellStyle name="Followed Hyperlink" xfId="2965" builtinId="9" hidden="1"/>
    <cellStyle name="Followed Hyperlink" xfId="2967" builtinId="9" hidden="1"/>
    <cellStyle name="Followed Hyperlink" xfId="2969" builtinId="9" hidden="1"/>
    <cellStyle name="Followed Hyperlink" xfId="2971" builtinId="9" hidden="1"/>
    <cellStyle name="Followed Hyperlink" xfId="2973" builtinId="9" hidden="1"/>
    <cellStyle name="Followed Hyperlink" xfId="2975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7" builtinId="9" hidden="1"/>
    <cellStyle name="Followed Hyperlink" xfId="3009" builtinId="9" hidden="1"/>
    <cellStyle name="Followed Hyperlink" xfId="3011" builtinId="9" hidden="1"/>
    <cellStyle name="Followed Hyperlink" xfId="3013" builtinId="9" hidden="1"/>
    <cellStyle name="Followed Hyperlink" xfId="3015" builtinId="9" hidden="1"/>
    <cellStyle name="Followed Hyperlink" xfId="3017" builtinId="9" hidden="1"/>
    <cellStyle name="Followed Hyperlink" xfId="3019" builtinId="9" hidden="1"/>
    <cellStyle name="Followed Hyperlink" xfId="3021" builtinId="9" hidden="1"/>
    <cellStyle name="Followed Hyperlink" xfId="3023" builtinId="9" hidden="1"/>
    <cellStyle name="Followed Hyperlink" xfId="3025" builtinId="9" hidden="1"/>
    <cellStyle name="Followed Hyperlink" xfId="3027" builtinId="9" hidden="1"/>
    <cellStyle name="Followed Hyperlink" xfId="3029" builtinId="9" hidden="1"/>
    <cellStyle name="Followed Hyperlink" xfId="3031" builtinId="9" hidden="1"/>
    <cellStyle name="Followed Hyperlink" xfId="3033" builtinId="9" hidden="1"/>
    <cellStyle name="Followed Hyperlink" xfId="3035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3" builtinId="9" hidden="1"/>
    <cellStyle name="Followed Hyperlink" xfId="3045" builtinId="9" hidden="1"/>
    <cellStyle name="Followed Hyperlink" xfId="3047" builtinId="9" hidden="1"/>
    <cellStyle name="Followed Hyperlink" xfId="3049" builtinId="9" hidden="1"/>
    <cellStyle name="Followed Hyperlink" xfId="3051" builtinId="9" hidden="1"/>
    <cellStyle name="Followed Hyperlink" xfId="3053" builtinId="9" hidden="1"/>
    <cellStyle name="Followed Hyperlink" xfId="3055" builtinId="9" hidden="1"/>
    <cellStyle name="Followed Hyperlink" xfId="3057" builtinId="9" hidden="1"/>
    <cellStyle name="Followed Hyperlink" xfId="3059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7" builtinId="9" hidden="1"/>
    <cellStyle name="Followed Hyperlink" xfId="3069" builtinId="9" hidden="1"/>
    <cellStyle name="Followed Hyperlink" xfId="3071" builtinId="9" hidden="1"/>
    <cellStyle name="Followed Hyperlink" xfId="3073" builtinId="9" hidden="1"/>
    <cellStyle name="Followed Hyperlink" xfId="3075" builtinId="9" hidden="1"/>
    <cellStyle name="Followed Hyperlink" xfId="3077" builtinId="9" hidden="1"/>
    <cellStyle name="Followed Hyperlink" xfId="3079" builtinId="9" hidden="1"/>
    <cellStyle name="Followed Hyperlink" xfId="3081" builtinId="9" hidden="1"/>
    <cellStyle name="Followed Hyperlink" xfId="3083" builtinId="9" hidden="1"/>
    <cellStyle name="Followed Hyperlink" xfId="3085" builtinId="9" hidden="1"/>
    <cellStyle name="Followed Hyperlink" xfId="3087" builtinId="9" hidden="1"/>
    <cellStyle name="Followed Hyperlink" xfId="3089" builtinId="9" hidden="1"/>
    <cellStyle name="Followed Hyperlink" xfId="3091" builtinId="9" hidden="1"/>
    <cellStyle name="Followed Hyperlink" xfId="3093" builtinId="9" hidden="1"/>
    <cellStyle name="Followed Hyperlink" xfId="3095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7" builtinId="9" hidden="1"/>
    <cellStyle name="Followed Hyperlink" xfId="3129" builtinId="9" hidden="1"/>
    <cellStyle name="Followed Hyperlink" xfId="3131" builtinId="9" hidden="1"/>
    <cellStyle name="Followed Hyperlink" xfId="3133" builtinId="9" hidden="1"/>
    <cellStyle name="Followed Hyperlink" xfId="3135" builtinId="9" hidden="1"/>
    <cellStyle name="Followed Hyperlink" xfId="3137" builtinId="9" hidden="1"/>
    <cellStyle name="Followed Hyperlink" xfId="3139" builtinId="9" hidden="1"/>
    <cellStyle name="Followed Hyperlink" xfId="3141" builtinId="9" hidden="1"/>
    <cellStyle name="Followed Hyperlink" xfId="3143" builtinId="9" hidden="1"/>
    <cellStyle name="Followed Hyperlink" xfId="3145" builtinId="9" hidden="1"/>
    <cellStyle name="Followed Hyperlink" xfId="3147" builtinId="9" hidden="1"/>
    <cellStyle name="Followed Hyperlink" xfId="3149" builtinId="9" hidden="1"/>
    <cellStyle name="Followed Hyperlink" xfId="3151" builtinId="9" hidden="1"/>
    <cellStyle name="Followed Hyperlink" xfId="3153" builtinId="9" hidden="1"/>
    <cellStyle name="Followed Hyperlink" xfId="3155" builtinId="9" hidden="1"/>
    <cellStyle name="Followed Hyperlink" xfId="3157" builtinId="9" hidden="1"/>
    <cellStyle name="Followed Hyperlink" xfId="3159" builtinId="9" hidden="1"/>
    <cellStyle name="Followed Hyperlink" xfId="3161" builtinId="9" hidden="1"/>
    <cellStyle name="Followed Hyperlink" xfId="3163" builtinId="9" hidden="1"/>
    <cellStyle name="Followed Hyperlink" xfId="3165" builtinId="9" hidden="1"/>
    <cellStyle name="Followed Hyperlink" xfId="3167" builtinId="9" hidden="1"/>
    <cellStyle name="Followed Hyperlink" xfId="3169" builtinId="9" hidden="1"/>
    <cellStyle name="Followed Hyperlink" xfId="3171" builtinId="9" hidden="1"/>
    <cellStyle name="Followed Hyperlink" xfId="3173" builtinId="9" hidden="1"/>
    <cellStyle name="Followed Hyperlink" xfId="3175" builtinId="9" hidden="1"/>
    <cellStyle name="Followed Hyperlink" xfId="3177" builtinId="9" hidden="1"/>
    <cellStyle name="Followed Hyperlink" xfId="3179" builtinId="9" hidden="1"/>
    <cellStyle name="Followed Hyperlink" xfId="3181" builtinId="9" hidden="1"/>
    <cellStyle name="Followed Hyperlink" xfId="3183" builtinId="9" hidden="1"/>
    <cellStyle name="Followed Hyperlink" xfId="3185" builtinId="9" hidden="1"/>
    <cellStyle name="Followed Hyperlink" xfId="3187" builtinId="9" hidden="1"/>
    <cellStyle name="Followed Hyperlink" xfId="3189" builtinId="9" hidden="1"/>
    <cellStyle name="Followed Hyperlink" xfId="3191" builtinId="9" hidden="1"/>
    <cellStyle name="Followed Hyperlink" xfId="3193" builtinId="9" hidden="1"/>
    <cellStyle name="Followed Hyperlink" xfId="3195" builtinId="9" hidden="1"/>
    <cellStyle name="Followed Hyperlink" xfId="3197" builtinId="9" hidden="1"/>
    <cellStyle name="Followed Hyperlink" xfId="3199" builtinId="9" hidden="1"/>
    <cellStyle name="Followed Hyperlink" xfId="3201" builtinId="9" hidden="1"/>
    <cellStyle name="Followed Hyperlink" xfId="3203" builtinId="9" hidden="1"/>
    <cellStyle name="Followed Hyperlink" xfId="3205" builtinId="9" hidden="1"/>
    <cellStyle name="Followed Hyperlink" xfId="3207" builtinId="9" hidden="1"/>
    <cellStyle name="Followed Hyperlink" xfId="3209" builtinId="9" hidden="1"/>
    <cellStyle name="Followed Hyperlink" xfId="3211" builtinId="9" hidden="1"/>
    <cellStyle name="Followed Hyperlink" xfId="3213" builtinId="9" hidden="1"/>
    <cellStyle name="Followed Hyperlink" xfId="3215" builtinId="9" hidden="1"/>
    <cellStyle name="Followed Hyperlink" xfId="3217" builtinId="9" hidden="1"/>
    <cellStyle name="Followed Hyperlink" xfId="3219" builtinId="9" hidden="1"/>
    <cellStyle name="Followed Hyperlink" xfId="3221" builtinId="9" hidden="1"/>
    <cellStyle name="Followed Hyperlink" xfId="3223" builtinId="9" hidden="1"/>
    <cellStyle name="Followed Hyperlink" xfId="3225" builtinId="9" hidden="1"/>
    <cellStyle name="Followed Hyperlink" xfId="3227" builtinId="9" hidden="1"/>
    <cellStyle name="Followed Hyperlink" xfId="3229" builtinId="9" hidden="1"/>
    <cellStyle name="Followed Hyperlink" xfId="3231" builtinId="9" hidden="1"/>
    <cellStyle name="Followed Hyperlink" xfId="3233" builtinId="9" hidden="1"/>
    <cellStyle name="Followed Hyperlink" xfId="3235" builtinId="9" hidden="1"/>
    <cellStyle name="Followed Hyperlink" xfId="3237" builtinId="9" hidden="1"/>
    <cellStyle name="Followed Hyperlink" xfId="3239" builtinId="9" hidden="1"/>
    <cellStyle name="Followed Hyperlink" xfId="3241" builtinId="9" hidden="1"/>
    <cellStyle name="Followed Hyperlink" xfId="3243" builtinId="9" hidden="1"/>
    <cellStyle name="Followed Hyperlink" xfId="3245" builtinId="9" hidden="1"/>
    <cellStyle name="Followed Hyperlink" xfId="3247" builtinId="9" hidden="1"/>
    <cellStyle name="Followed Hyperlink" xfId="3249" builtinId="9" hidden="1"/>
    <cellStyle name="Followed Hyperlink" xfId="3251" builtinId="9" hidden="1"/>
    <cellStyle name="Followed Hyperlink" xfId="3253" builtinId="9" hidden="1"/>
    <cellStyle name="Followed Hyperlink" xfId="3255" builtinId="9" hidden="1"/>
    <cellStyle name="Followed Hyperlink" xfId="3257" builtinId="9" hidden="1"/>
    <cellStyle name="Followed Hyperlink" xfId="3259" builtinId="9" hidden="1"/>
    <cellStyle name="Followed Hyperlink" xfId="3261" builtinId="9" hidden="1"/>
    <cellStyle name="Followed Hyperlink" xfId="3263" builtinId="9" hidden="1"/>
    <cellStyle name="Followed Hyperlink" xfId="3265" builtinId="9" hidden="1"/>
    <cellStyle name="Followed Hyperlink" xfId="3267" builtinId="9" hidden="1"/>
    <cellStyle name="Followed Hyperlink" xfId="3269" builtinId="9" hidden="1"/>
    <cellStyle name="Followed Hyperlink" xfId="3271" builtinId="9" hidden="1"/>
    <cellStyle name="Followed Hyperlink" xfId="3273" builtinId="9" hidden="1"/>
    <cellStyle name="Followed Hyperlink" xfId="3275" builtinId="9" hidden="1"/>
    <cellStyle name="Followed Hyperlink" xfId="3277" builtinId="9" hidden="1"/>
    <cellStyle name="Followed Hyperlink" xfId="3279" builtinId="9" hidden="1"/>
    <cellStyle name="Followed Hyperlink" xfId="3281" builtinId="9" hidden="1"/>
    <cellStyle name="Followed Hyperlink" xfId="3283" builtinId="9" hidden="1"/>
    <cellStyle name="Followed Hyperlink" xfId="3285" builtinId="9" hidden="1"/>
    <cellStyle name="Followed Hyperlink" xfId="3287" builtinId="9" hidden="1"/>
    <cellStyle name="Followed Hyperlink" xfId="3289" builtinId="9" hidden="1"/>
    <cellStyle name="Followed Hyperlink" xfId="3291" builtinId="9" hidden="1"/>
    <cellStyle name="Followed Hyperlink" xfId="3293" builtinId="9" hidden="1"/>
    <cellStyle name="Followed Hyperlink" xfId="3295" builtinId="9" hidden="1"/>
    <cellStyle name="Followed Hyperlink" xfId="3297" builtinId="9" hidden="1"/>
    <cellStyle name="Followed Hyperlink" xfId="3299" builtinId="9" hidden="1"/>
    <cellStyle name="Followed Hyperlink" xfId="3301" builtinId="9" hidden="1"/>
    <cellStyle name="Followed Hyperlink" xfId="3303" builtinId="9" hidden="1"/>
    <cellStyle name="Followed Hyperlink" xfId="3305" builtinId="9" hidden="1"/>
    <cellStyle name="Followed Hyperlink" xfId="3307" builtinId="9" hidden="1"/>
    <cellStyle name="Followed Hyperlink" xfId="3309" builtinId="9" hidden="1"/>
    <cellStyle name="Followed Hyperlink" xfId="3311" builtinId="9" hidden="1"/>
    <cellStyle name="Followed Hyperlink" xfId="3313" builtinId="9" hidden="1"/>
    <cellStyle name="Followed Hyperlink" xfId="3315" builtinId="9" hidden="1"/>
    <cellStyle name="Followed Hyperlink" xfId="3317" builtinId="9" hidden="1"/>
    <cellStyle name="Followed Hyperlink" xfId="3319" builtinId="9" hidden="1"/>
    <cellStyle name="Followed Hyperlink" xfId="3321" builtinId="9" hidden="1"/>
    <cellStyle name="Followed Hyperlink" xfId="3323" builtinId="9" hidden="1"/>
    <cellStyle name="Followed Hyperlink" xfId="3325" builtinId="9" hidden="1"/>
    <cellStyle name="Followed Hyperlink" xfId="3327" builtinId="9" hidden="1"/>
    <cellStyle name="Followed Hyperlink" xfId="3329" builtinId="9" hidden="1"/>
    <cellStyle name="Followed Hyperlink" xfId="3331" builtinId="9" hidden="1"/>
    <cellStyle name="Followed Hyperlink" xfId="3333" builtinId="9" hidden="1"/>
    <cellStyle name="Followed Hyperlink" xfId="3335" builtinId="9" hidden="1"/>
    <cellStyle name="Followed Hyperlink" xfId="3337" builtinId="9" hidden="1"/>
    <cellStyle name="Followed Hyperlink" xfId="3339" builtinId="9" hidden="1"/>
    <cellStyle name="Followed Hyperlink" xfId="3341" builtinId="9" hidden="1"/>
    <cellStyle name="Followed Hyperlink" xfId="3343" builtinId="9" hidden="1"/>
    <cellStyle name="Followed Hyperlink" xfId="3345" builtinId="9" hidden="1"/>
    <cellStyle name="Followed Hyperlink" xfId="3347" builtinId="9" hidden="1"/>
    <cellStyle name="Followed Hyperlink" xfId="3349" builtinId="9" hidden="1"/>
    <cellStyle name="Followed Hyperlink" xfId="3351" builtinId="9" hidden="1"/>
    <cellStyle name="Followed Hyperlink" xfId="3353" builtinId="9" hidden="1"/>
    <cellStyle name="Followed Hyperlink" xfId="3355" builtinId="9" hidden="1"/>
    <cellStyle name="Followed Hyperlink" xfId="3357" builtinId="9" hidden="1"/>
    <cellStyle name="Followed Hyperlink" xfId="3359" builtinId="9" hidden="1"/>
    <cellStyle name="Followed Hyperlink" xfId="3361" builtinId="9" hidden="1"/>
    <cellStyle name="Followed Hyperlink" xfId="3363" builtinId="9" hidden="1"/>
    <cellStyle name="Followed Hyperlink" xfId="3365" builtinId="9" hidden="1"/>
    <cellStyle name="Followed Hyperlink" xfId="3367" builtinId="9" hidden="1"/>
    <cellStyle name="Followed Hyperlink" xfId="3369" builtinId="9" hidden="1"/>
    <cellStyle name="Followed Hyperlink" xfId="3371" builtinId="9" hidden="1"/>
    <cellStyle name="Followed Hyperlink" xfId="3373" builtinId="9" hidden="1"/>
    <cellStyle name="Followed Hyperlink" xfId="3375" builtinId="9" hidden="1"/>
    <cellStyle name="Followed Hyperlink" xfId="3377" builtinId="9" hidden="1"/>
    <cellStyle name="Followed Hyperlink" xfId="3379" builtinId="9" hidden="1"/>
    <cellStyle name="Followed Hyperlink" xfId="3381" builtinId="9" hidden="1"/>
    <cellStyle name="Followed Hyperlink" xfId="3383" builtinId="9" hidden="1"/>
    <cellStyle name="Followed Hyperlink" xfId="3385" builtinId="9" hidden="1"/>
    <cellStyle name="Followed Hyperlink" xfId="3387" builtinId="9" hidden="1"/>
    <cellStyle name="Followed Hyperlink" xfId="3389" builtinId="9" hidden="1"/>
    <cellStyle name="Followed Hyperlink" xfId="3391" builtinId="9" hidden="1"/>
    <cellStyle name="Followed Hyperlink" xfId="3393" builtinId="9" hidden="1"/>
    <cellStyle name="Followed Hyperlink" xfId="3395" builtinId="9" hidden="1"/>
    <cellStyle name="Followed Hyperlink" xfId="3397" builtinId="9" hidden="1"/>
    <cellStyle name="Followed Hyperlink" xfId="3399" builtinId="9" hidden="1"/>
    <cellStyle name="Followed Hyperlink" xfId="3401" builtinId="9" hidden="1"/>
    <cellStyle name="Followed Hyperlink" xfId="3403" builtinId="9" hidden="1"/>
    <cellStyle name="Followed Hyperlink" xfId="3405" builtinId="9" hidden="1"/>
    <cellStyle name="Followed Hyperlink" xfId="3407" builtinId="9" hidden="1"/>
    <cellStyle name="Followed Hyperlink" xfId="3409" builtinId="9" hidden="1"/>
    <cellStyle name="Followed Hyperlink" xfId="3411" builtinId="9" hidden="1"/>
    <cellStyle name="Followed Hyperlink" xfId="3413" builtinId="9" hidden="1"/>
    <cellStyle name="Followed Hyperlink" xfId="3415" builtinId="9" hidden="1"/>
    <cellStyle name="Followed Hyperlink" xfId="3417" builtinId="9" hidden="1"/>
    <cellStyle name="Followed Hyperlink" xfId="3419" builtinId="9" hidden="1"/>
    <cellStyle name="Followed Hyperlink" xfId="3421" builtinId="9" hidden="1"/>
    <cellStyle name="Followed Hyperlink" xfId="3423" builtinId="9" hidden="1"/>
    <cellStyle name="Followed Hyperlink" xfId="3425" builtinId="9" hidden="1"/>
    <cellStyle name="Followed Hyperlink" xfId="3427" builtinId="9" hidden="1"/>
    <cellStyle name="Followed Hyperlink" xfId="3429" builtinId="9" hidden="1"/>
    <cellStyle name="Followed Hyperlink" xfId="3431" builtinId="9" hidden="1"/>
    <cellStyle name="Followed Hyperlink" xfId="3433" builtinId="9" hidden="1"/>
    <cellStyle name="Followed Hyperlink" xfId="3435" builtinId="9" hidden="1"/>
    <cellStyle name="Followed Hyperlink" xfId="3437" builtinId="9" hidden="1"/>
    <cellStyle name="Followed Hyperlink" xfId="3439" builtinId="9" hidden="1"/>
    <cellStyle name="Followed Hyperlink" xfId="3441" builtinId="9" hidden="1"/>
    <cellStyle name="Followed Hyperlink" xfId="3443" builtinId="9" hidden="1"/>
    <cellStyle name="Followed Hyperlink" xfId="3445" builtinId="9" hidden="1"/>
    <cellStyle name="Followed Hyperlink" xfId="3447" builtinId="9" hidden="1"/>
    <cellStyle name="Followed Hyperlink" xfId="3449" builtinId="9" hidden="1"/>
    <cellStyle name="Followed Hyperlink" xfId="3451" builtinId="9" hidden="1"/>
    <cellStyle name="Followed Hyperlink" xfId="3453" builtinId="9" hidden="1"/>
    <cellStyle name="Followed Hyperlink" xfId="3455" builtinId="9" hidden="1"/>
    <cellStyle name="Followed Hyperlink" xfId="3457" builtinId="9" hidden="1"/>
    <cellStyle name="Followed Hyperlink" xfId="3459" builtinId="9" hidden="1"/>
    <cellStyle name="Followed Hyperlink" xfId="3461" builtinId="9" hidden="1"/>
    <cellStyle name="Followed Hyperlink" xfId="3463" builtinId="9" hidden="1"/>
    <cellStyle name="Followed Hyperlink" xfId="3465" builtinId="9" hidden="1"/>
    <cellStyle name="Followed Hyperlink" xfId="3467" builtinId="9" hidden="1"/>
    <cellStyle name="Followed Hyperlink" xfId="3469" builtinId="9" hidden="1"/>
    <cellStyle name="Followed Hyperlink" xfId="3471" builtinId="9" hidden="1"/>
    <cellStyle name="Followed Hyperlink" xfId="3473" builtinId="9" hidden="1"/>
    <cellStyle name="Followed Hyperlink" xfId="3475" builtinId="9" hidden="1"/>
    <cellStyle name="Followed Hyperlink" xfId="3477" builtinId="9" hidden="1"/>
    <cellStyle name="Followed Hyperlink" xfId="3479" builtinId="9" hidden="1"/>
    <cellStyle name="Followed Hyperlink" xfId="3481" builtinId="9" hidden="1"/>
    <cellStyle name="Followed Hyperlink" xfId="3483" builtinId="9" hidden="1"/>
    <cellStyle name="Followed Hyperlink" xfId="3485" builtinId="9" hidden="1"/>
    <cellStyle name="Followed Hyperlink" xfId="3487" builtinId="9" hidden="1"/>
    <cellStyle name="Followed Hyperlink" xfId="3489" builtinId="9" hidden="1"/>
    <cellStyle name="Followed Hyperlink" xfId="3491" builtinId="9" hidden="1"/>
    <cellStyle name="Followed Hyperlink" xfId="3493" builtinId="9" hidden="1"/>
    <cellStyle name="Followed Hyperlink" xfId="3495" builtinId="9" hidden="1"/>
    <cellStyle name="Followed Hyperlink" xfId="3497" builtinId="9" hidden="1"/>
    <cellStyle name="Followed Hyperlink" xfId="3499" builtinId="9" hidden="1"/>
    <cellStyle name="Followed Hyperlink" xfId="3501" builtinId="9" hidden="1"/>
    <cellStyle name="Followed Hyperlink" xfId="3503" builtinId="9" hidden="1"/>
    <cellStyle name="Followed Hyperlink" xfId="3505" builtinId="9" hidden="1"/>
    <cellStyle name="Followed Hyperlink" xfId="3507" builtinId="9" hidden="1"/>
    <cellStyle name="Followed Hyperlink" xfId="3509" builtinId="9" hidden="1"/>
    <cellStyle name="Followed Hyperlink" xfId="3511" builtinId="9" hidden="1"/>
    <cellStyle name="Followed Hyperlink" xfId="3513" builtinId="9" hidden="1"/>
    <cellStyle name="Followed Hyperlink" xfId="3515" builtinId="9" hidden="1"/>
    <cellStyle name="Followed Hyperlink" xfId="3517" builtinId="9" hidden="1"/>
    <cellStyle name="Followed Hyperlink" xfId="3519" builtinId="9" hidden="1"/>
    <cellStyle name="Followed Hyperlink" xfId="3521" builtinId="9" hidden="1"/>
    <cellStyle name="Followed Hyperlink" xfId="3523" builtinId="9" hidden="1"/>
    <cellStyle name="Followed Hyperlink" xfId="3525" builtinId="9" hidden="1"/>
    <cellStyle name="Followed Hyperlink" xfId="3527" builtinId="9" hidden="1"/>
    <cellStyle name="Followed Hyperlink" xfId="3529" builtinId="9" hidden="1"/>
    <cellStyle name="Followed Hyperlink" xfId="3531" builtinId="9" hidden="1"/>
    <cellStyle name="Followed Hyperlink" xfId="3533" builtinId="9" hidden="1"/>
    <cellStyle name="Followed Hyperlink" xfId="3535" builtinId="9" hidden="1"/>
    <cellStyle name="Followed Hyperlink" xfId="3537" builtinId="9" hidden="1"/>
    <cellStyle name="Followed Hyperlink" xfId="3539" builtinId="9" hidden="1"/>
    <cellStyle name="Followed Hyperlink" xfId="3541" builtinId="9" hidden="1"/>
    <cellStyle name="Followed Hyperlink" xfId="3543" builtinId="9" hidden="1"/>
    <cellStyle name="Followed Hyperlink" xfId="3545" builtinId="9" hidden="1"/>
    <cellStyle name="Followed Hyperlink" xfId="3547" builtinId="9" hidden="1"/>
    <cellStyle name="Followed Hyperlink" xfId="3549" builtinId="9" hidden="1"/>
    <cellStyle name="Followed Hyperlink" xfId="3551" builtinId="9" hidden="1"/>
    <cellStyle name="Followed Hyperlink" xfId="3553" builtinId="9" hidden="1"/>
    <cellStyle name="Followed Hyperlink" xfId="3555" builtinId="9" hidden="1"/>
    <cellStyle name="Followed Hyperlink" xfId="3557" builtinId="9" hidden="1"/>
    <cellStyle name="Followed Hyperlink" xfId="3559" builtinId="9" hidden="1"/>
    <cellStyle name="Followed Hyperlink" xfId="3561" builtinId="9" hidden="1"/>
    <cellStyle name="Followed Hyperlink" xfId="3563" builtinId="9" hidden="1"/>
    <cellStyle name="Followed Hyperlink" xfId="3565" builtinId="9" hidden="1"/>
    <cellStyle name="Followed Hyperlink" xfId="3567" builtinId="9" hidden="1"/>
    <cellStyle name="Followed Hyperlink" xfId="3569" builtinId="9" hidden="1"/>
    <cellStyle name="Followed Hyperlink" xfId="3571" builtinId="9" hidden="1"/>
    <cellStyle name="Followed Hyperlink" xfId="3573" builtinId="9" hidden="1"/>
    <cellStyle name="Followed Hyperlink" xfId="3575" builtinId="9" hidden="1"/>
    <cellStyle name="Followed Hyperlink" xfId="3577" builtinId="9" hidden="1"/>
    <cellStyle name="Followed Hyperlink" xfId="3579" builtinId="9" hidden="1"/>
    <cellStyle name="Followed Hyperlink" xfId="3581" builtinId="9" hidden="1"/>
    <cellStyle name="Followed Hyperlink" xfId="3583" builtinId="9" hidden="1"/>
    <cellStyle name="Followed Hyperlink" xfId="3585" builtinId="9" hidden="1"/>
    <cellStyle name="Followed Hyperlink" xfId="3587" builtinId="9" hidden="1"/>
    <cellStyle name="Followed Hyperlink" xfId="3589" builtinId="9" hidden="1"/>
    <cellStyle name="Followed Hyperlink" xfId="3591" builtinId="9" hidden="1"/>
    <cellStyle name="Followed Hyperlink" xfId="3593" builtinId="9" hidden="1"/>
    <cellStyle name="Followed Hyperlink" xfId="3595" builtinId="9" hidden="1"/>
    <cellStyle name="Followed Hyperlink" xfId="3597" builtinId="9" hidden="1"/>
    <cellStyle name="Followed Hyperlink" xfId="3599" builtinId="9" hidden="1"/>
    <cellStyle name="Followed Hyperlink" xfId="3601" builtinId="9" hidden="1"/>
    <cellStyle name="Followed Hyperlink" xfId="3603" builtinId="9" hidden="1"/>
    <cellStyle name="Followed Hyperlink" xfId="3605" builtinId="9" hidden="1"/>
    <cellStyle name="Followed Hyperlink" xfId="3607" builtinId="9" hidden="1"/>
    <cellStyle name="Followed Hyperlink" xfId="3609" builtinId="9" hidden="1"/>
    <cellStyle name="Followed Hyperlink" xfId="3611" builtinId="9" hidden="1"/>
    <cellStyle name="Followed Hyperlink" xfId="3613" builtinId="9" hidden="1"/>
    <cellStyle name="Followed Hyperlink" xfId="3615" builtinId="9" hidden="1"/>
    <cellStyle name="Followed Hyperlink" xfId="3617" builtinId="9" hidden="1"/>
    <cellStyle name="Followed Hyperlink" xfId="3619" builtinId="9" hidden="1"/>
    <cellStyle name="Followed Hyperlink" xfId="3621" builtinId="9" hidden="1"/>
    <cellStyle name="Followed Hyperlink" xfId="3623" builtinId="9" hidden="1"/>
    <cellStyle name="Followed Hyperlink" xfId="3625" builtinId="9" hidden="1"/>
    <cellStyle name="Followed Hyperlink" xfId="3627" builtinId="9" hidden="1"/>
    <cellStyle name="Followed Hyperlink" xfId="3629" builtinId="9" hidden="1"/>
    <cellStyle name="Followed Hyperlink" xfId="3631" builtinId="9" hidden="1"/>
    <cellStyle name="Followed Hyperlink" xfId="3633" builtinId="9" hidden="1"/>
    <cellStyle name="Followed Hyperlink" xfId="3635" builtinId="9" hidden="1"/>
    <cellStyle name="Followed Hyperlink" xfId="3637" builtinId="9" hidden="1"/>
    <cellStyle name="Followed Hyperlink" xfId="3639" builtinId="9" hidden="1"/>
    <cellStyle name="Followed Hyperlink" xfId="3641" builtinId="9" hidden="1"/>
    <cellStyle name="Followed Hyperlink" xfId="3643" builtinId="9" hidden="1"/>
    <cellStyle name="Followed Hyperlink" xfId="3645" builtinId="9" hidden="1"/>
    <cellStyle name="Followed Hyperlink" xfId="3647" builtinId="9" hidden="1"/>
    <cellStyle name="Followed Hyperlink" xfId="3649" builtinId="9" hidden="1"/>
    <cellStyle name="Followed Hyperlink" xfId="3651" builtinId="9" hidden="1"/>
    <cellStyle name="Followed Hyperlink" xfId="3653" builtinId="9" hidden="1"/>
    <cellStyle name="Followed Hyperlink" xfId="3655" builtinId="9" hidden="1"/>
    <cellStyle name="Followed Hyperlink" xfId="3657" builtinId="9" hidden="1"/>
    <cellStyle name="Followed Hyperlink" xfId="3659" builtinId="9" hidden="1"/>
    <cellStyle name="Followed Hyperlink" xfId="3661" builtinId="9" hidden="1"/>
    <cellStyle name="Followed Hyperlink" xfId="3663" builtinId="9" hidden="1"/>
    <cellStyle name="Followed Hyperlink" xfId="3665" builtinId="9" hidden="1"/>
    <cellStyle name="Followed Hyperlink" xfId="3667" builtinId="9" hidden="1"/>
    <cellStyle name="Followed Hyperlink" xfId="3669" builtinId="9" hidden="1"/>
    <cellStyle name="Followed Hyperlink" xfId="3671" builtinId="9" hidden="1"/>
    <cellStyle name="Followed Hyperlink" xfId="3673" builtinId="9" hidden="1"/>
    <cellStyle name="Followed Hyperlink" xfId="3675" builtinId="9" hidden="1"/>
    <cellStyle name="Followed Hyperlink" xfId="3677" builtinId="9" hidden="1"/>
    <cellStyle name="Followed Hyperlink" xfId="3679" builtinId="9" hidden="1"/>
    <cellStyle name="Followed Hyperlink" xfId="3681" builtinId="9" hidden="1"/>
    <cellStyle name="Followed Hyperlink" xfId="3683" builtinId="9" hidden="1"/>
    <cellStyle name="Followed Hyperlink" xfId="3685" builtinId="9" hidden="1"/>
    <cellStyle name="Followed Hyperlink" xfId="3687" builtinId="9" hidden="1"/>
    <cellStyle name="Followed Hyperlink" xfId="3689" builtinId="9" hidden="1"/>
    <cellStyle name="Followed Hyperlink" xfId="3691" builtinId="9" hidden="1"/>
    <cellStyle name="Followed Hyperlink" xfId="3693" builtinId="9" hidden="1"/>
    <cellStyle name="Followed Hyperlink" xfId="3695" builtinId="9" hidden="1"/>
    <cellStyle name="Followed Hyperlink" xfId="3697" builtinId="9" hidden="1"/>
    <cellStyle name="Followed Hyperlink" xfId="3699" builtinId="9" hidden="1"/>
    <cellStyle name="Followed Hyperlink" xfId="3701" builtinId="9" hidden="1"/>
    <cellStyle name="Followed Hyperlink" xfId="3703" builtinId="9" hidden="1"/>
    <cellStyle name="Followed Hyperlink" xfId="3705" builtinId="9" hidden="1"/>
    <cellStyle name="Followed Hyperlink" xfId="3707" builtinId="9" hidden="1"/>
    <cellStyle name="Followed Hyperlink" xfId="3709" builtinId="9" hidden="1"/>
    <cellStyle name="Followed Hyperlink" xfId="3711" builtinId="9" hidden="1"/>
    <cellStyle name="Followed Hyperlink" xfId="3713" builtinId="9" hidden="1"/>
    <cellStyle name="Followed Hyperlink" xfId="3715" builtinId="9" hidden="1"/>
    <cellStyle name="Followed Hyperlink" xfId="3717" builtinId="9" hidden="1"/>
    <cellStyle name="Followed Hyperlink" xfId="3719" builtinId="9" hidden="1"/>
    <cellStyle name="Followed Hyperlink" xfId="3721" builtinId="9" hidden="1"/>
    <cellStyle name="Followed Hyperlink" xfId="3723" builtinId="9" hidden="1"/>
    <cellStyle name="Followed Hyperlink" xfId="3725" builtinId="9" hidden="1"/>
    <cellStyle name="Followed Hyperlink" xfId="3727" builtinId="9" hidden="1"/>
    <cellStyle name="Followed Hyperlink" xfId="3729" builtinId="9" hidden="1"/>
    <cellStyle name="Followed Hyperlink" xfId="3731" builtinId="9" hidden="1"/>
    <cellStyle name="Followed Hyperlink" xfId="3733" builtinId="9" hidden="1"/>
    <cellStyle name="Followed Hyperlink" xfId="3735" builtinId="9" hidden="1"/>
    <cellStyle name="Followed Hyperlink" xfId="3737" builtinId="9" hidden="1"/>
    <cellStyle name="Followed Hyperlink" xfId="3739" builtinId="9" hidden="1"/>
    <cellStyle name="Followed Hyperlink" xfId="3741" builtinId="9" hidden="1"/>
    <cellStyle name="Followed Hyperlink" xfId="3743" builtinId="9" hidden="1"/>
    <cellStyle name="Followed Hyperlink" xfId="3745" builtinId="9" hidden="1"/>
    <cellStyle name="Followed Hyperlink" xfId="3747" builtinId="9" hidden="1"/>
    <cellStyle name="Followed Hyperlink" xfId="3749" builtinId="9" hidden="1"/>
    <cellStyle name="Followed Hyperlink" xfId="3751" builtinId="9" hidden="1"/>
    <cellStyle name="Followed Hyperlink" xfId="3753" builtinId="9" hidden="1"/>
    <cellStyle name="Followed Hyperlink" xfId="3755" builtinId="9" hidden="1"/>
    <cellStyle name="Followed Hyperlink" xfId="3757" builtinId="9" hidden="1"/>
    <cellStyle name="Followed Hyperlink" xfId="3759" builtinId="9" hidden="1"/>
    <cellStyle name="Followed Hyperlink" xfId="3761" builtinId="9" hidden="1"/>
    <cellStyle name="Followed Hyperlink" xfId="3763" builtinId="9" hidden="1"/>
    <cellStyle name="Followed Hyperlink" xfId="3765" builtinId="9" hidden="1"/>
    <cellStyle name="Followed Hyperlink" xfId="3767" builtinId="9" hidden="1"/>
    <cellStyle name="Followed Hyperlink" xfId="3769" builtinId="9" hidden="1"/>
    <cellStyle name="Followed Hyperlink" xfId="3771" builtinId="9" hidden="1"/>
    <cellStyle name="Followed Hyperlink" xfId="3773" builtinId="9" hidden="1"/>
    <cellStyle name="Followed Hyperlink" xfId="3775" builtinId="9" hidden="1"/>
    <cellStyle name="Followed Hyperlink" xfId="3777" builtinId="9" hidden="1"/>
    <cellStyle name="Followed Hyperlink" xfId="3779" builtinId="9" hidden="1"/>
    <cellStyle name="Followed Hyperlink" xfId="3781" builtinId="9" hidden="1"/>
    <cellStyle name="Followed Hyperlink" xfId="3783" builtinId="9" hidden="1"/>
    <cellStyle name="Followed Hyperlink" xfId="3785" builtinId="9" hidden="1"/>
    <cellStyle name="Followed Hyperlink" xfId="3787" builtinId="9" hidden="1"/>
    <cellStyle name="Followed Hyperlink" xfId="3789" builtinId="9" hidden="1"/>
    <cellStyle name="Followed Hyperlink" xfId="3791" builtinId="9" hidden="1"/>
    <cellStyle name="Followed Hyperlink" xfId="3793" builtinId="9" hidden="1"/>
    <cellStyle name="Followed Hyperlink" xfId="3795" builtinId="9" hidden="1"/>
    <cellStyle name="Followed Hyperlink" xfId="3797" builtinId="9" hidden="1"/>
    <cellStyle name="Followed Hyperlink" xfId="3799" builtinId="9" hidden="1"/>
    <cellStyle name="Followed Hyperlink" xfId="3801" builtinId="9" hidden="1"/>
    <cellStyle name="Followed Hyperlink" xfId="3803" builtinId="9" hidden="1"/>
    <cellStyle name="Followed Hyperlink" xfId="3805" builtinId="9" hidden="1"/>
    <cellStyle name="Followed Hyperlink" xfId="3807" builtinId="9" hidden="1"/>
    <cellStyle name="Followed Hyperlink" xfId="3809" builtinId="9" hidden="1"/>
    <cellStyle name="Followed Hyperlink" xfId="3811" builtinId="9" hidden="1"/>
    <cellStyle name="Followed Hyperlink" xfId="3813" builtinId="9" hidden="1"/>
    <cellStyle name="Followed Hyperlink" xfId="3815" builtinId="9" hidden="1"/>
    <cellStyle name="Followed Hyperlink" xfId="3817" builtinId="9" hidden="1"/>
    <cellStyle name="Followed Hyperlink" xfId="3819" builtinId="9" hidden="1"/>
    <cellStyle name="Followed Hyperlink" xfId="3821" builtinId="9" hidden="1"/>
    <cellStyle name="Followed Hyperlink" xfId="3823" builtinId="9" hidden="1"/>
    <cellStyle name="Followed Hyperlink" xfId="3825" builtinId="9" hidden="1"/>
    <cellStyle name="Followed Hyperlink" xfId="3827" builtinId="9" hidden="1"/>
    <cellStyle name="Followed Hyperlink" xfId="3829" builtinId="9" hidden="1"/>
    <cellStyle name="Followed Hyperlink" xfId="3831" builtinId="9" hidden="1"/>
    <cellStyle name="Followed Hyperlink" xfId="3833" builtinId="9" hidden="1"/>
    <cellStyle name="Followed Hyperlink" xfId="3835" builtinId="9" hidden="1"/>
    <cellStyle name="Followed Hyperlink" xfId="3837" builtinId="9" hidden="1"/>
    <cellStyle name="Followed Hyperlink" xfId="3839" builtinId="9" hidden="1"/>
    <cellStyle name="Followed Hyperlink" xfId="3841" builtinId="9" hidden="1"/>
    <cellStyle name="Followed Hyperlink" xfId="3843" builtinId="9" hidden="1"/>
    <cellStyle name="Followed Hyperlink" xfId="3845" builtinId="9" hidden="1"/>
    <cellStyle name="Followed Hyperlink" xfId="3847" builtinId="9" hidden="1"/>
    <cellStyle name="Followed Hyperlink" xfId="3849" builtinId="9" hidden="1"/>
    <cellStyle name="Followed Hyperlink" xfId="3851" builtinId="9" hidden="1"/>
    <cellStyle name="Followed Hyperlink" xfId="3853" builtinId="9" hidden="1"/>
    <cellStyle name="Followed Hyperlink" xfId="3855" builtinId="9" hidden="1"/>
    <cellStyle name="Followed Hyperlink" xfId="3857" builtinId="9" hidden="1"/>
    <cellStyle name="Followed Hyperlink" xfId="3859" builtinId="9" hidden="1"/>
    <cellStyle name="Followed Hyperlink" xfId="3861" builtinId="9" hidden="1"/>
    <cellStyle name="Followed Hyperlink" xfId="3863" builtinId="9" hidden="1"/>
    <cellStyle name="Followed Hyperlink" xfId="3865" builtinId="9" hidden="1"/>
    <cellStyle name="Followed Hyperlink" xfId="3867" builtinId="9" hidden="1"/>
    <cellStyle name="Followed Hyperlink" xfId="3869" builtinId="9" hidden="1"/>
    <cellStyle name="Followed Hyperlink" xfId="3871" builtinId="9" hidden="1"/>
    <cellStyle name="Followed Hyperlink" xfId="3873" builtinId="9" hidden="1"/>
    <cellStyle name="Followed Hyperlink" xfId="3875" builtinId="9" hidden="1"/>
    <cellStyle name="Followed Hyperlink" xfId="3877" builtinId="9" hidden="1"/>
    <cellStyle name="Followed Hyperlink" xfId="3879" builtinId="9" hidden="1"/>
    <cellStyle name="Followed Hyperlink" xfId="3881" builtinId="9" hidden="1"/>
    <cellStyle name="Followed Hyperlink" xfId="3883" builtinId="9" hidden="1"/>
    <cellStyle name="Followed Hyperlink" xfId="3885" builtinId="9" hidden="1"/>
    <cellStyle name="Followed Hyperlink" xfId="3887" builtinId="9" hidden="1"/>
    <cellStyle name="Followed Hyperlink" xfId="3889" builtinId="9" hidden="1"/>
    <cellStyle name="Followed Hyperlink" xfId="3891" builtinId="9" hidden="1"/>
    <cellStyle name="Followed Hyperlink" xfId="3893" builtinId="9" hidden="1"/>
    <cellStyle name="Followed Hyperlink" xfId="3895" builtinId="9" hidden="1"/>
    <cellStyle name="Followed Hyperlink" xfId="3897" builtinId="9" hidden="1"/>
    <cellStyle name="Followed Hyperlink" xfId="3899" builtinId="9" hidden="1"/>
    <cellStyle name="Followed Hyperlink" xfId="3901" builtinId="9" hidden="1"/>
    <cellStyle name="Followed Hyperlink" xfId="3903" builtinId="9" hidden="1"/>
    <cellStyle name="Followed Hyperlink" xfId="3905" builtinId="9" hidden="1"/>
    <cellStyle name="Followed Hyperlink" xfId="3907" builtinId="9" hidden="1"/>
    <cellStyle name="Followed Hyperlink" xfId="3909" builtinId="9" hidden="1"/>
    <cellStyle name="Followed Hyperlink" xfId="3911" builtinId="9" hidden="1"/>
    <cellStyle name="Followed Hyperlink" xfId="3913" builtinId="9" hidden="1"/>
    <cellStyle name="Followed Hyperlink" xfId="3915" builtinId="9" hidden="1"/>
    <cellStyle name="Followed Hyperlink" xfId="3917" builtinId="9" hidden="1"/>
    <cellStyle name="Followed Hyperlink" xfId="3919" builtinId="9" hidden="1"/>
    <cellStyle name="Followed Hyperlink" xfId="3921" builtinId="9" hidden="1"/>
    <cellStyle name="Followed Hyperlink" xfId="3923" builtinId="9" hidden="1"/>
    <cellStyle name="Followed Hyperlink" xfId="3925" builtinId="9" hidden="1"/>
    <cellStyle name="Followed Hyperlink" xfId="3927" builtinId="9" hidden="1"/>
    <cellStyle name="Followed Hyperlink" xfId="3929" builtinId="9" hidden="1"/>
    <cellStyle name="Followed Hyperlink" xfId="3931" builtinId="9" hidden="1"/>
    <cellStyle name="Followed Hyperlink" xfId="3933" builtinId="9" hidden="1"/>
    <cellStyle name="Followed Hyperlink" xfId="3935" builtinId="9" hidden="1"/>
    <cellStyle name="Followed Hyperlink" xfId="3937" builtinId="9" hidden="1"/>
    <cellStyle name="Followed Hyperlink" xfId="3939" builtinId="9" hidden="1"/>
    <cellStyle name="Followed Hyperlink" xfId="3941" builtinId="9" hidden="1"/>
    <cellStyle name="Followed Hyperlink" xfId="3943" builtinId="9" hidden="1"/>
    <cellStyle name="Followed Hyperlink" xfId="3945" builtinId="9" hidden="1"/>
    <cellStyle name="Followed Hyperlink" xfId="3947" builtinId="9" hidden="1"/>
    <cellStyle name="Followed Hyperlink" xfId="3949" builtinId="9" hidden="1"/>
    <cellStyle name="Followed Hyperlink" xfId="3951" builtinId="9" hidden="1"/>
    <cellStyle name="Followed Hyperlink" xfId="3953" builtinId="9" hidden="1"/>
    <cellStyle name="Followed Hyperlink" xfId="3955" builtinId="9" hidden="1"/>
    <cellStyle name="Followed Hyperlink" xfId="3957" builtinId="9" hidden="1"/>
    <cellStyle name="Followed Hyperlink" xfId="3959" builtinId="9" hidden="1"/>
    <cellStyle name="Followed Hyperlink" xfId="3961" builtinId="9" hidden="1"/>
    <cellStyle name="Followed Hyperlink" xfId="3963" builtinId="9" hidden="1"/>
    <cellStyle name="Followed Hyperlink" xfId="3965" builtinId="9" hidden="1"/>
    <cellStyle name="Followed Hyperlink" xfId="3967" builtinId="9" hidden="1"/>
    <cellStyle name="Followed Hyperlink" xfId="3969" builtinId="9" hidden="1"/>
    <cellStyle name="Followed Hyperlink" xfId="3971" builtinId="9" hidden="1"/>
    <cellStyle name="Followed Hyperlink" xfId="3973" builtinId="9" hidden="1"/>
    <cellStyle name="Followed Hyperlink" xfId="3975" builtinId="9" hidden="1"/>
    <cellStyle name="Followed Hyperlink" xfId="3977" builtinId="9" hidden="1"/>
    <cellStyle name="Followed Hyperlink" xfId="3979" builtinId="9" hidden="1"/>
    <cellStyle name="Followed Hyperlink" xfId="3981" builtinId="9" hidden="1"/>
    <cellStyle name="Followed Hyperlink" xfId="3983" builtinId="9" hidden="1"/>
    <cellStyle name="Followed Hyperlink" xfId="3985" builtinId="9" hidden="1"/>
    <cellStyle name="Followed Hyperlink" xfId="3987" builtinId="9" hidden="1"/>
    <cellStyle name="Followed Hyperlink" xfId="3989" builtinId="9" hidden="1"/>
    <cellStyle name="Followed Hyperlink" xfId="3991" builtinId="9" hidden="1"/>
    <cellStyle name="Followed Hyperlink" xfId="3993" builtinId="9" hidden="1"/>
    <cellStyle name="Followed Hyperlink" xfId="3995" builtinId="9" hidden="1"/>
    <cellStyle name="Followed Hyperlink" xfId="3997" builtinId="9" hidden="1"/>
    <cellStyle name="Followed Hyperlink" xfId="3999" builtinId="9" hidden="1"/>
    <cellStyle name="Followed Hyperlink" xfId="4001" builtinId="9" hidden="1"/>
    <cellStyle name="Followed Hyperlink" xfId="4003" builtinId="9" hidden="1"/>
    <cellStyle name="Followed Hyperlink" xfId="4005" builtinId="9" hidden="1"/>
    <cellStyle name="Followed Hyperlink" xfId="4007" builtinId="9" hidden="1"/>
    <cellStyle name="Followed Hyperlink" xfId="4009" builtinId="9" hidden="1"/>
    <cellStyle name="Followed Hyperlink" xfId="4011" builtinId="9" hidden="1"/>
    <cellStyle name="Followed Hyperlink" xfId="4013" builtinId="9" hidden="1"/>
    <cellStyle name="Followed Hyperlink" xfId="4015" builtinId="9" hidden="1"/>
    <cellStyle name="Followed Hyperlink" xfId="4017" builtinId="9" hidden="1"/>
    <cellStyle name="Followed Hyperlink" xfId="4019" builtinId="9" hidden="1"/>
    <cellStyle name="Followed Hyperlink" xfId="4021" builtinId="9" hidden="1"/>
    <cellStyle name="Followed Hyperlink" xfId="4023" builtinId="9" hidden="1"/>
    <cellStyle name="Followed Hyperlink" xfId="4025" builtinId="9" hidden="1"/>
    <cellStyle name="Followed Hyperlink" xfId="4027" builtinId="9" hidden="1"/>
    <cellStyle name="Followed Hyperlink" xfId="4029" builtinId="9" hidden="1"/>
    <cellStyle name="Followed Hyperlink" xfId="4031" builtinId="9" hidden="1"/>
    <cellStyle name="Followed Hyperlink" xfId="4033" builtinId="9" hidden="1"/>
    <cellStyle name="Followed Hyperlink" xfId="4035" builtinId="9" hidden="1"/>
    <cellStyle name="Followed Hyperlink" xfId="4037" builtinId="9" hidden="1"/>
    <cellStyle name="Followed Hyperlink" xfId="4039" builtinId="9" hidden="1"/>
    <cellStyle name="Followed Hyperlink" xfId="4041" builtinId="9" hidden="1"/>
    <cellStyle name="Followed Hyperlink" xfId="4043" builtinId="9" hidden="1"/>
    <cellStyle name="Followed Hyperlink" xfId="4045" builtinId="9" hidden="1"/>
    <cellStyle name="Followed Hyperlink" xfId="4047" builtinId="9" hidden="1"/>
    <cellStyle name="Followed Hyperlink" xfId="4049" builtinId="9" hidden="1"/>
    <cellStyle name="Followed Hyperlink" xfId="4051" builtinId="9" hidden="1"/>
    <cellStyle name="Followed Hyperlink" xfId="4053" builtinId="9" hidden="1"/>
    <cellStyle name="Followed Hyperlink" xfId="4055" builtinId="9" hidden="1"/>
    <cellStyle name="Followed Hyperlink" xfId="4057" builtinId="9" hidden="1"/>
    <cellStyle name="Followed Hyperlink" xfId="4059" builtinId="9" hidden="1"/>
    <cellStyle name="Followed Hyperlink" xfId="4061" builtinId="9" hidden="1"/>
    <cellStyle name="Followed Hyperlink" xfId="4063" builtinId="9" hidden="1"/>
    <cellStyle name="Followed Hyperlink" xfId="4065" builtinId="9" hidden="1"/>
    <cellStyle name="Followed Hyperlink" xfId="4067" builtinId="9" hidden="1"/>
    <cellStyle name="Followed Hyperlink" xfId="4069" builtinId="9" hidden="1"/>
    <cellStyle name="Followed Hyperlink" xfId="4071" builtinId="9" hidden="1"/>
    <cellStyle name="Followed Hyperlink" xfId="4073" builtinId="9" hidden="1"/>
    <cellStyle name="Followed Hyperlink" xfId="4075" builtinId="9" hidden="1"/>
    <cellStyle name="Followed Hyperlink" xfId="4077" builtinId="9" hidden="1"/>
    <cellStyle name="Followed Hyperlink" xfId="4079" builtinId="9" hidden="1"/>
    <cellStyle name="Followed Hyperlink" xfId="4081" builtinId="9" hidden="1"/>
    <cellStyle name="Followed Hyperlink" xfId="4083" builtinId="9" hidden="1"/>
    <cellStyle name="Followed Hyperlink" xfId="4085" builtinId="9" hidden="1"/>
    <cellStyle name="Followed Hyperlink" xfId="4087" builtinId="9" hidden="1"/>
    <cellStyle name="Followed Hyperlink" xfId="4089" builtinId="9" hidden="1"/>
    <cellStyle name="Followed Hyperlink" xfId="4091" builtinId="9" hidden="1"/>
    <cellStyle name="Followed Hyperlink" xfId="4093" builtinId="9" hidden="1"/>
    <cellStyle name="Followed Hyperlink" xfId="4095" builtinId="9" hidden="1"/>
    <cellStyle name="Followed Hyperlink" xfId="4097" builtinId="9" hidden="1"/>
    <cellStyle name="Followed Hyperlink" xfId="4099" builtinId="9" hidden="1"/>
    <cellStyle name="Followed Hyperlink" xfId="4101" builtinId="9" hidden="1"/>
    <cellStyle name="Followed Hyperlink" xfId="4103" builtinId="9" hidden="1"/>
    <cellStyle name="Followed Hyperlink" xfId="4105" builtinId="9" hidden="1"/>
    <cellStyle name="Followed Hyperlink" xfId="4107" builtinId="9" hidden="1"/>
    <cellStyle name="Followed Hyperlink" xfId="4109" builtinId="9" hidden="1"/>
    <cellStyle name="Followed Hyperlink" xfId="4111" builtinId="9" hidden="1"/>
    <cellStyle name="Followed Hyperlink" xfId="4113" builtinId="9" hidden="1"/>
    <cellStyle name="Followed Hyperlink" xfId="4115" builtinId="9" hidden="1"/>
    <cellStyle name="Followed Hyperlink" xfId="4117" builtinId="9" hidden="1"/>
    <cellStyle name="Followed Hyperlink" xfId="4119" builtinId="9" hidden="1"/>
    <cellStyle name="Followed Hyperlink" xfId="4121" builtinId="9" hidden="1"/>
    <cellStyle name="Followed Hyperlink" xfId="4123" builtinId="9" hidden="1"/>
    <cellStyle name="Followed Hyperlink" xfId="4125" builtinId="9" hidden="1"/>
    <cellStyle name="Followed Hyperlink" xfId="4127" builtinId="9" hidden="1"/>
    <cellStyle name="Followed Hyperlink" xfId="4129" builtinId="9" hidden="1"/>
    <cellStyle name="Followed Hyperlink" xfId="4131" builtinId="9" hidden="1"/>
    <cellStyle name="Followed Hyperlink" xfId="4133" builtinId="9" hidden="1"/>
    <cellStyle name="Followed Hyperlink" xfId="4135" builtinId="9" hidden="1"/>
    <cellStyle name="Followed Hyperlink" xfId="4137" builtinId="9" hidden="1"/>
    <cellStyle name="Followed Hyperlink" xfId="4139" builtinId="9" hidden="1"/>
    <cellStyle name="Followed Hyperlink" xfId="4141" builtinId="9" hidden="1"/>
    <cellStyle name="Followed Hyperlink" xfId="4143" builtinId="9" hidden="1"/>
    <cellStyle name="Followed Hyperlink" xfId="4145" builtinId="9" hidden="1"/>
    <cellStyle name="Followed Hyperlink" xfId="4147" builtinId="9" hidden="1"/>
    <cellStyle name="Followed Hyperlink" xfId="4149" builtinId="9" hidden="1"/>
    <cellStyle name="Followed Hyperlink" xfId="4151" builtinId="9" hidden="1"/>
    <cellStyle name="Followed Hyperlink" xfId="4153" builtinId="9" hidden="1"/>
    <cellStyle name="Followed Hyperlink" xfId="4155" builtinId="9" hidden="1"/>
    <cellStyle name="Followed Hyperlink" xfId="4157" builtinId="9" hidden="1"/>
    <cellStyle name="Followed Hyperlink" xfId="4159" builtinId="9" hidden="1"/>
    <cellStyle name="Followed Hyperlink" xfId="4161" builtinId="9" hidden="1"/>
    <cellStyle name="Followed Hyperlink" xfId="4163" builtinId="9" hidden="1"/>
    <cellStyle name="Followed Hyperlink" xfId="4165" builtinId="9" hidden="1"/>
    <cellStyle name="Followed Hyperlink" xfId="4167" builtinId="9" hidden="1"/>
    <cellStyle name="Followed Hyperlink" xfId="4169" builtinId="9" hidden="1"/>
    <cellStyle name="Followed Hyperlink" xfId="4171" builtinId="9" hidden="1"/>
    <cellStyle name="Followed Hyperlink" xfId="4173" builtinId="9" hidden="1"/>
    <cellStyle name="Followed Hyperlink" xfId="4175" builtinId="9" hidden="1"/>
    <cellStyle name="Followed Hyperlink" xfId="4177" builtinId="9" hidden="1"/>
    <cellStyle name="Followed Hyperlink" xfId="4179" builtinId="9" hidden="1"/>
    <cellStyle name="Followed Hyperlink" xfId="4181" builtinId="9" hidden="1"/>
    <cellStyle name="Followed Hyperlink" xfId="4183" builtinId="9" hidden="1"/>
    <cellStyle name="Followed Hyperlink" xfId="4185" builtinId="9" hidden="1"/>
    <cellStyle name="Followed Hyperlink" xfId="4187" builtinId="9" hidden="1"/>
    <cellStyle name="Followed Hyperlink" xfId="4189" builtinId="9" hidden="1"/>
    <cellStyle name="Followed Hyperlink" xfId="4191" builtinId="9" hidden="1"/>
    <cellStyle name="Followed Hyperlink" xfId="4193" builtinId="9" hidden="1"/>
    <cellStyle name="Followed Hyperlink" xfId="4195" builtinId="9" hidden="1"/>
    <cellStyle name="Followed Hyperlink" xfId="4197" builtinId="9" hidden="1"/>
    <cellStyle name="Followed Hyperlink" xfId="4199" builtinId="9" hidden="1"/>
    <cellStyle name="Followed Hyperlink" xfId="4201" builtinId="9" hidden="1"/>
    <cellStyle name="Followed Hyperlink" xfId="4203" builtinId="9" hidden="1"/>
    <cellStyle name="Followed Hyperlink" xfId="4205" builtinId="9" hidden="1"/>
    <cellStyle name="Followed Hyperlink" xfId="4207" builtinId="9" hidden="1"/>
    <cellStyle name="Followed Hyperlink" xfId="4209" builtinId="9" hidden="1"/>
    <cellStyle name="Followed Hyperlink" xfId="4211" builtinId="9" hidden="1"/>
    <cellStyle name="Followed Hyperlink" xfId="4213" builtinId="9" hidden="1"/>
    <cellStyle name="Followed Hyperlink" xfId="4215" builtinId="9" hidden="1"/>
    <cellStyle name="Followed Hyperlink" xfId="4217" builtinId="9" hidden="1"/>
    <cellStyle name="Followed Hyperlink" xfId="4219" builtinId="9" hidden="1"/>
    <cellStyle name="Followed Hyperlink" xfId="4221" builtinId="9" hidden="1"/>
    <cellStyle name="Followed Hyperlink" xfId="4223" builtinId="9" hidden="1"/>
    <cellStyle name="Followed Hyperlink" xfId="4225" builtinId="9" hidden="1"/>
    <cellStyle name="Followed Hyperlink" xfId="4227" builtinId="9" hidden="1"/>
    <cellStyle name="Followed Hyperlink" xfId="4229" builtinId="9" hidden="1"/>
    <cellStyle name="Followed Hyperlink" xfId="4231" builtinId="9" hidden="1"/>
    <cellStyle name="Followed Hyperlink" xfId="4233" builtinId="9" hidden="1"/>
    <cellStyle name="Followed Hyperlink" xfId="4235" builtinId="9" hidden="1"/>
    <cellStyle name="Followed Hyperlink" xfId="4237" builtinId="9" hidden="1"/>
    <cellStyle name="Followed Hyperlink" xfId="4239" builtinId="9" hidden="1"/>
    <cellStyle name="Followed Hyperlink" xfId="4241" builtinId="9" hidden="1"/>
    <cellStyle name="Followed Hyperlink" xfId="4243" builtinId="9" hidden="1"/>
    <cellStyle name="Followed Hyperlink" xfId="4245" builtinId="9" hidden="1"/>
    <cellStyle name="Followed Hyperlink" xfId="4247" builtinId="9" hidden="1"/>
    <cellStyle name="Followed Hyperlink" xfId="4249" builtinId="9" hidden="1"/>
    <cellStyle name="Followed Hyperlink" xfId="4251" builtinId="9" hidden="1"/>
    <cellStyle name="Followed Hyperlink" xfId="4253" builtinId="9" hidden="1"/>
    <cellStyle name="Followed Hyperlink" xfId="4255" builtinId="9" hidden="1"/>
    <cellStyle name="Followed Hyperlink" xfId="4257" builtinId="9" hidden="1"/>
    <cellStyle name="Followed Hyperlink" xfId="4259" builtinId="9" hidden="1"/>
    <cellStyle name="Followed Hyperlink" xfId="4261" builtinId="9" hidden="1"/>
    <cellStyle name="Followed Hyperlink" xfId="4263" builtinId="9" hidden="1"/>
    <cellStyle name="Followed Hyperlink" xfId="4265" builtinId="9" hidden="1"/>
    <cellStyle name="Followed Hyperlink" xfId="4267" builtinId="9" hidden="1"/>
    <cellStyle name="Followed Hyperlink" xfId="4269" builtinId="9" hidden="1"/>
    <cellStyle name="Followed Hyperlink" xfId="4271" builtinId="9" hidden="1"/>
    <cellStyle name="Followed Hyperlink" xfId="4273" builtinId="9" hidden="1"/>
    <cellStyle name="Followed Hyperlink" xfId="4275" builtinId="9" hidden="1"/>
    <cellStyle name="Followed Hyperlink" xfId="4277" builtinId="9" hidden="1"/>
    <cellStyle name="Followed Hyperlink" xfId="4279" builtinId="9" hidden="1"/>
    <cellStyle name="Followed Hyperlink" xfId="4281" builtinId="9" hidden="1"/>
    <cellStyle name="Followed Hyperlink" xfId="4283" builtinId="9" hidden="1"/>
    <cellStyle name="Followed Hyperlink" xfId="4285" builtinId="9" hidden="1"/>
    <cellStyle name="Followed Hyperlink" xfId="4287" builtinId="9" hidden="1"/>
    <cellStyle name="Followed Hyperlink" xfId="4289" builtinId="9" hidden="1"/>
    <cellStyle name="Followed Hyperlink" xfId="4291" builtinId="9" hidden="1"/>
    <cellStyle name="Followed Hyperlink" xfId="4293" builtinId="9" hidden="1"/>
    <cellStyle name="Followed Hyperlink" xfId="4295" builtinId="9" hidden="1"/>
    <cellStyle name="Followed Hyperlink" xfId="4297" builtinId="9" hidden="1"/>
    <cellStyle name="Followed Hyperlink" xfId="4299" builtinId="9" hidden="1"/>
    <cellStyle name="Followed Hyperlink" xfId="4301" builtinId="9" hidden="1"/>
    <cellStyle name="Followed Hyperlink" xfId="4303" builtinId="9" hidden="1"/>
    <cellStyle name="Followed Hyperlink" xfId="4305" builtinId="9" hidden="1"/>
    <cellStyle name="Followed Hyperlink" xfId="4307" builtinId="9" hidden="1"/>
    <cellStyle name="Followed Hyperlink" xfId="4309" builtinId="9" hidden="1"/>
    <cellStyle name="Followed Hyperlink" xfId="4311" builtinId="9" hidden="1"/>
    <cellStyle name="Followed Hyperlink" xfId="4313" builtinId="9" hidden="1"/>
    <cellStyle name="Followed Hyperlink" xfId="4315" builtinId="9" hidden="1"/>
    <cellStyle name="Followed Hyperlink" xfId="4317" builtinId="9" hidden="1"/>
    <cellStyle name="Followed Hyperlink" xfId="4319" builtinId="9" hidden="1"/>
    <cellStyle name="Followed Hyperlink" xfId="4321" builtinId="9" hidden="1"/>
    <cellStyle name="Followed Hyperlink" xfId="4323" builtinId="9" hidden="1"/>
    <cellStyle name="Followed Hyperlink" xfId="4325" builtinId="9" hidden="1"/>
    <cellStyle name="Followed Hyperlink" xfId="4327" builtinId="9" hidden="1"/>
    <cellStyle name="Followed Hyperlink" xfId="4329" builtinId="9" hidden="1"/>
    <cellStyle name="Followed Hyperlink" xfId="4331" builtinId="9" hidden="1"/>
    <cellStyle name="Followed Hyperlink" xfId="4333" builtinId="9" hidden="1"/>
    <cellStyle name="Followed Hyperlink" xfId="4335" builtinId="9" hidden="1"/>
    <cellStyle name="Followed Hyperlink" xfId="4337" builtinId="9" hidden="1"/>
    <cellStyle name="Followed Hyperlink" xfId="4339" builtinId="9" hidden="1"/>
    <cellStyle name="Followed Hyperlink" xfId="4341" builtinId="9" hidden="1"/>
    <cellStyle name="Followed Hyperlink" xfId="4343" builtinId="9" hidden="1"/>
    <cellStyle name="Followed Hyperlink" xfId="4345" builtinId="9" hidden="1"/>
    <cellStyle name="Followed Hyperlink" xfId="4347" builtinId="9" hidden="1"/>
    <cellStyle name="Followed Hyperlink" xfId="4349" builtinId="9" hidden="1"/>
    <cellStyle name="Followed Hyperlink" xfId="4351" builtinId="9" hidden="1"/>
    <cellStyle name="Followed Hyperlink" xfId="4353" builtinId="9" hidden="1"/>
    <cellStyle name="Followed Hyperlink" xfId="4355" builtinId="9" hidden="1"/>
    <cellStyle name="Followed Hyperlink" xfId="4357" builtinId="9" hidden="1"/>
    <cellStyle name="Followed Hyperlink" xfId="4359" builtinId="9" hidden="1"/>
    <cellStyle name="Followed Hyperlink" xfId="4361" builtinId="9" hidden="1"/>
    <cellStyle name="Followed Hyperlink" xfId="4363" builtinId="9" hidden="1"/>
    <cellStyle name="Followed Hyperlink" xfId="4365" builtinId="9" hidden="1"/>
    <cellStyle name="Followed Hyperlink" xfId="4367" builtinId="9" hidden="1"/>
    <cellStyle name="Followed Hyperlink" xfId="4369" builtinId="9" hidden="1"/>
    <cellStyle name="Followed Hyperlink" xfId="4371" builtinId="9" hidden="1"/>
    <cellStyle name="Followed Hyperlink" xfId="4373" builtinId="9" hidden="1"/>
    <cellStyle name="Followed Hyperlink" xfId="4375" builtinId="9" hidden="1"/>
    <cellStyle name="Followed Hyperlink" xfId="4377" builtinId="9" hidden="1"/>
    <cellStyle name="Followed Hyperlink" xfId="4379" builtinId="9" hidden="1"/>
    <cellStyle name="Followed Hyperlink" xfId="4381" builtinId="9" hidden="1"/>
    <cellStyle name="Followed Hyperlink" xfId="4383" builtinId="9" hidden="1"/>
    <cellStyle name="Followed Hyperlink" xfId="4385" builtinId="9" hidden="1"/>
    <cellStyle name="Followed Hyperlink" xfId="4387" builtinId="9" hidden="1"/>
    <cellStyle name="Followed Hyperlink" xfId="4389" builtinId="9" hidden="1"/>
    <cellStyle name="Followed Hyperlink" xfId="4391" builtinId="9" hidden="1"/>
    <cellStyle name="Followed Hyperlink" xfId="4393" builtinId="9" hidden="1"/>
    <cellStyle name="Followed Hyperlink" xfId="4395" builtinId="9" hidden="1"/>
    <cellStyle name="Followed Hyperlink" xfId="4397" builtinId="9" hidden="1"/>
    <cellStyle name="Followed Hyperlink" xfId="4399" builtinId="9" hidden="1"/>
    <cellStyle name="Followed Hyperlink" xfId="4401" builtinId="9" hidden="1"/>
    <cellStyle name="Followed Hyperlink" xfId="4403" builtinId="9" hidden="1"/>
    <cellStyle name="Followed Hyperlink" xfId="4405" builtinId="9" hidden="1"/>
    <cellStyle name="Followed Hyperlink" xfId="4407" builtinId="9" hidden="1"/>
    <cellStyle name="Followed Hyperlink" xfId="4409" builtinId="9" hidden="1"/>
    <cellStyle name="Followed Hyperlink" xfId="4411" builtinId="9" hidden="1"/>
    <cellStyle name="Followed Hyperlink" xfId="4413" builtinId="9" hidden="1"/>
    <cellStyle name="Followed Hyperlink" xfId="4415" builtinId="9" hidden="1"/>
    <cellStyle name="Followed Hyperlink" xfId="4417" builtinId="9" hidden="1"/>
    <cellStyle name="Followed Hyperlink" xfId="4419" builtinId="9" hidden="1"/>
    <cellStyle name="Followed Hyperlink" xfId="4421" builtinId="9" hidden="1"/>
    <cellStyle name="Followed Hyperlink" xfId="4423" builtinId="9" hidden="1"/>
    <cellStyle name="Followed Hyperlink" xfId="4425" builtinId="9" hidden="1"/>
    <cellStyle name="Followed Hyperlink" xfId="4427" builtinId="9" hidden="1"/>
    <cellStyle name="Followed Hyperlink" xfId="4429" builtinId="9" hidden="1"/>
    <cellStyle name="Followed Hyperlink" xfId="4431" builtinId="9" hidden="1"/>
    <cellStyle name="Followed Hyperlink" xfId="4433" builtinId="9" hidden="1"/>
    <cellStyle name="Followed Hyperlink" xfId="4435" builtinId="9" hidden="1"/>
    <cellStyle name="Followed Hyperlink" xfId="4437" builtinId="9" hidden="1"/>
    <cellStyle name="Followed Hyperlink" xfId="4439" builtinId="9" hidden="1"/>
    <cellStyle name="Followed Hyperlink" xfId="4441" builtinId="9" hidden="1"/>
    <cellStyle name="Followed Hyperlink" xfId="4443" builtinId="9" hidden="1"/>
    <cellStyle name="Followed Hyperlink" xfId="4445" builtinId="9" hidden="1"/>
    <cellStyle name="Followed Hyperlink" xfId="4447" builtinId="9" hidden="1"/>
    <cellStyle name="Followed Hyperlink" xfId="4449" builtinId="9" hidden="1"/>
    <cellStyle name="Followed Hyperlink" xfId="4451" builtinId="9" hidden="1"/>
    <cellStyle name="Followed Hyperlink" xfId="4453" builtinId="9" hidden="1"/>
    <cellStyle name="Followed Hyperlink" xfId="4455" builtinId="9" hidden="1"/>
    <cellStyle name="Followed Hyperlink" xfId="4457" builtinId="9" hidden="1"/>
    <cellStyle name="Followed Hyperlink" xfId="4459" builtinId="9" hidden="1"/>
    <cellStyle name="Followed Hyperlink" xfId="4461" builtinId="9" hidden="1"/>
    <cellStyle name="Followed Hyperlink" xfId="4463" builtinId="9" hidden="1"/>
    <cellStyle name="Followed Hyperlink" xfId="4465" builtinId="9" hidden="1"/>
    <cellStyle name="Followed Hyperlink" xfId="4467" builtinId="9" hidden="1"/>
    <cellStyle name="Followed Hyperlink" xfId="4469" builtinId="9" hidden="1"/>
    <cellStyle name="Followed Hyperlink" xfId="4471" builtinId="9" hidden="1"/>
    <cellStyle name="Followed Hyperlink" xfId="4473" builtinId="9" hidden="1"/>
    <cellStyle name="Followed Hyperlink" xfId="4475" builtinId="9" hidden="1"/>
    <cellStyle name="Followed Hyperlink" xfId="4477" builtinId="9" hidden="1"/>
    <cellStyle name="Followed Hyperlink" xfId="4479" builtinId="9" hidden="1"/>
    <cellStyle name="Followed Hyperlink" xfId="4481" builtinId="9" hidden="1"/>
    <cellStyle name="Followed Hyperlink" xfId="4483" builtinId="9" hidden="1"/>
    <cellStyle name="Followed Hyperlink" xfId="4485" builtinId="9" hidden="1"/>
    <cellStyle name="Followed Hyperlink" xfId="4487" builtinId="9" hidden="1"/>
    <cellStyle name="Followed Hyperlink" xfId="4489" builtinId="9" hidden="1"/>
    <cellStyle name="Followed Hyperlink" xfId="4491" builtinId="9" hidden="1"/>
    <cellStyle name="Followed Hyperlink" xfId="4493" builtinId="9" hidden="1"/>
    <cellStyle name="Followed Hyperlink" xfId="4495" builtinId="9" hidden="1"/>
    <cellStyle name="Followed Hyperlink" xfId="4497" builtinId="9" hidden="1"/>
    <cellStyle name="Followed Hyperlink" xfId="4499" builtinId="9" hidden="1"/>
    <cellStyle name="Followed Hyperlink" xfId="4501" builtinId="9" hidden="1"/>
    <cellStyle name="Followed Hyperlink" xfId="4503" builtinId="9" hidden="1"/>
    <cellStyle name="Followed Hyperlink" xfId="4505" builtinId="9" hidden="1"/>
    <cellStyle name="Followed Hyperlink" xfId="4507" builtinId="9" hidden="1"/>
    <cellStyle name="Followed Hyperlink" xfId="4509" builtinId="9" hidden="1"/>
    <cellStyle name="Followed Hyperlink" xfId="4511" builtinId="9" hidden="1"/>
    <cellStyle name="Followed Hyperlink" xfId="4513" builtinId="9" hidden="1"/>
    <cellStyle name="Followed Hyperlink" xfId="4515" builtinId="9" hidden="1"/>
    <cellStyle name="Followed Hyperlink" xfId="4517" builtinId="9" hidden="1"/>
    <cellStyle name="Followed Hyperlink" xfId="4519" builtinId="9" hidden="1"/>
    <cellStyle name="Followed Hyperlink" xfId="4521" builtinId="9" hidden="1"/>
    <cellStyle name="Followed Hyperlink" xfId="4523" builtinId="9" hidden="1"/>
    <cellStyle name="Followed Hyperlink" xfId="4525" builtinId="9" hidden="1"/>
    <cellStyle name="Followed Hyperlink" xfId="4527" builtinId="9" hidden="1"/>
    <cellStyle name="Followed Hyperlink" xfId="4529" builtinId="9" hidden="1"/>
    <cellStyle name="Followed Hyperlink" xfId="4531" builtinId="9" hidden="1"/>
    <cellStyle name="Followed Hyperlink" xfId="4533" builtinId="9" hidden="1"/>
    <cellStyle name="Followed Hyperlink" xfId="4535" builtinId="9" hidden="1"/>
    <cellStyle name="Followed Hyperlink" xfId="4537" builtinId="9" hidden="1"/>
    <cellStyle name="Followed Hyperlink" xfId="4539" builtinId="9" hidden="1"/>
    <cellStyle name="Followed Hyperlink" xfId="4541" builtinId="9" hidden="1"/>
    <cellStyle name="Followed Hyperlink" xfId="4543" builtinId="9" hidden="1"/>
    <cellStyle name="Followed Hyperlink" xfId="4545" builtinId="9" hidden="1"/>
    <cellStyle name="Followed Hyperlink" xfId="4547" builtinId="9" hidden="1"/>
    <cellStyle name="Followed Hyperlink" xfId="4549" builtinId="9" hidden="1"/>
    <cellStyle name="Followed Hyperlink" xfId="4551" builtinId="9" hidden="1"/>
    <cellStyle name="Followed Hyperlink" xfId="4553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571" builtinId="9" hidden="1"/>
    <cellStyle name="Followed Hyperlink" xfId="4573" builtinId="9" hidden="1"/>
    <cellStyle name="Followed Hyperlink" xfId="4575" builtinId="9" hidden="1"/>
    <cellStyle name="Followed Hyperlink" xfId="4577" builtinId="9" hidden="1"/>
    <cellStyle name="Followed Hyperlink" xfId="4579" builtinId="9" hidden="1"/>
    <cellStyle name="Followed Hyperlink" xfId="4581" builtinId="9" hidden="1"/>
    <cellStyle name="Followed Hyperlink" xfId="4583" builtinId="9" hidden="1"/>
    <cellStyle name="Followed Hyperlink" xfId="4585" builtinId="9" hidden="1"/>
    <cellStyle name="Followed Hyperlink" xfId="4587" builtinId="9" hidden="1"/>
    <cellStyle name="Followed Hyperlink" xfId="4589" builtinId="9" hidden="1"/>
    <cellStyle name="Followed Hyperlink" xfId="4591" builtinId="9" hidden="1"/>
    <cellStyle name="Followed Hyperlink" xfId="4593" builtinId="9" hidden="1"/>
    <cellStyle name="Followed Hyperlink" xfId="4595" builtinId="9" hidden="1"/>
    <cellStyle name="Followed Hyperlink" xfId="4597" builtinId="9" hidden="1"/>
    <cellStyle name="Followed Hyperlink" xfId="4599" builtinId="9" hidden="1"/>
    <cellStyle name="Followed Hyperlink" xfId="4601" builtinId="9" hidden="1"/>
    <cellStyle name="Followed Hyperlink" xfId="4603" builtinId="9" hidden="1"/>
    <cellStyle name="Followed Hyperlink" xfId="4605" builtinId="9" hidden="1"/>
    <cellStyle name="Followed Hyperlink" xfId="4607" builtinId="9" hidden="1"/>
    <cellStyle name="Followed Hyperlink" xfId="4609" builtinId="9" hidden="1"/>
    <cellStyle name="Followed Hyperlink" xfId="4611" builtinId="9" hidden="1"/>
    <cellStyle name="Followed Hyperlink" xfId="4613" builtinId="9" hidden="1"/>
    <cellStyle name="Followed Hyperlink" xfId="4615" builtinId="9" hidden="1"/>
    <cellStyle name="Followed Hyperlink" xfId="4617" builtinId="9" hidden="1"/>
    <cellStyle name="Followed Hyperlink" xfId="4619" builtinId="9" hidden="1"/>
    <cellStyle name="Followed Hyperlink" xfId="4621" builtinId="9" hidden="1"/>
    <cellStyle name="Followed Hyperlink" xfId="4623" builtinId="9" hidden="1"/>
    <cellStyle name="Followed Hyperlink" xfId="4625" builtinId="9" hidden="1"/>
    <cellStyle name="Followed Hyperlink" xfId="4627" builtinId="9" hidden="1"/>
    <cellStyle name="Followed Hyperlink" xfId="4629" builtinId="9" hidden="1"/>
    <cellStyle name="Followed Hyperlink" xfId="4631" builtinId="9" hidden="1"/>
    <cellStyle name="Followed Hyperlink" xfId="4633" builtinId="9" hidden="1"/>
    <cellStyle name="Followed Hyperlink" xfId="4635" builtinId="9" hidden="1"/>
    <cellStyle name="Followed Hyperlink" xfId="4637" builtinId="9" hidden="1"/>
    <cellStyle name="Followed Hyperlink" xfId="4639" builtinId="9" hidden="1"/>
    <cellStyle name="Followed Hyperlink" xfId="4641" builtinId="9" hidden="1"/>
    <cellStyle name="Followed Hyperlink" xfId="4643" builtinId="9" hidden="1"/>
    <cellStyle name="Followed Hyperlink" xfId="4645" builtinId="9" hidden="1"/>
    <cellStyle name="Followed Hyperlink" xfId="4647" builtinId="9" hidden="1"/>
    <cellStyle name="Followed Hyperlink" xfId="4649" builtinId="9" hidden="1"/>
    <cellStyle name="Followed Hyperlink" xfId="4651" builtinId="9" hidden="1"/>
    <cellStyle name="Followed Hyperlink" xfId="4653" builtinId="9" hidden="1"/>
    <cellStyle name="Followed Hyperlink" xfId="4655" builtinId="9" hidden="1"/>
    <cellStyle name="Followed Hyperlink" xfId="4657" builtinId="9" hidden="1"/>
    <cellStyle name="Followed Hyperlink" xfId="4659" builtinId="9" hidden="1"/>
    <cellStyle name="Followed Hyperlink" xfId="4661" builtinId="9" hidden="1"/>
    <cellStyle name="Followed Hyperlink" xfId="4663" builtinId="9" hidden="1"/>
    <cellStyle name="Followed Hyperlink" xfId="4665" builtinId="9" hidden="1"/>
    <cellStyle name="Followed Hyperlink" xfId="4667" builtinId="9" hidden="1"/>
    <cellStyle name="Followed Hyperlink" xfId="4669" builtinId="9" hidden="1"/>
    <cellStyle name="Followed Hyperlink" xfId="4671" builtinId="9" hidden="1"/>
    <cellStyle name="Followed Hyperlink" xfId="4673" builtinId="9" hidden="1"/>
    <cellStyle name="Followed Hyperlink" xfId="4675" builtinId="9" hidden="1"/>
    <cellStyle name="Followed Hyperlink" xfId="4677" builtinId="9" hidden="1"/>
    <cellStyle name="Followed Hyperlink" xfId="4679" builtinId="9" hidden="1"/>
    <cellStyle name="Followed Hyperlink" xfId="4681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7" builtinId="9" hidden="1"/>
    <cellStyle name="Followed Hyperlink" xfId="4719" builtinId="9" hidden="1"/>
    <cellStyle name="Followed Hyperlink" xfId="4721" builtinId="9" hidden="1"/>
    <cellStyle name="Followed Hyperlink" xfId="4723" builtinId="9" hidden="1"/>
    <cellStyle name="Followed Hyperlink" xfId="4725" builtinId="9" hidden="1"/>
    <cellStyle name="Followed Hyperlink" xfId="4727" builtinId="9" hidden="1"/>
    <cellStyle name="Followed Hyperlink" xfId="4729" builtinId="9" hidden="1"/>
    <cellStyle name="Followed Hyperlink" xfId="4731" builtinId="9" hidden="1"/>
    <cellStyle name="Followed Hyperlink" xfId="4733" builtinId="9" hidden="1"/>
    <cellStyle name="Followed Hyperlink" xfId="4735" builtinId="9" hidden="1"/>
    <cellStyle name="Followed Hyperlink" xfId="4737" builtinId="9" hidden="1"/>
    <cellStyle name="Followed Hyperlink" xfId="4739" builtinId="9" hidden="1"/>
    <cellStyle name="Followed Hyperlink" xfId="4741" builtinId="9" hidden="1"/>
    <cellStyle name="Followed Hyperlink" xfId="4743" builtinId="9" hidden="1"/>
    <cellStyle name="Followed Hyperlink" xfId="4745" builtinId="9" hidden="1"/>
    <cellStyle name="Followed Hyperlink" xfId="4747" builtinId="9" hidden="1"/>
    <cellStyle name="Followed Hyperlink" xfId="4749" builtinId="9" hidden="1"/>
    <cellStyle name="Followed Hyperlink" xfId="4751" builtinId="9" hidden="1"/>
    <cellStyle name="Followed Hyperlink" xfId="4753" builtinId="9" hidden="1"/>
    <cellStyle name="Followed Hyperlink" xfId="4755" builtinId="9" hidden="1"/>
    <cellStyle name="Followed Hyperlink" xfId="4757" builtinId="9" hidden="1"/>
    <cellStyle name="Followed Hyperlink" xfId="4759" builtinId="9" hidden="1"/>
    <cellStyle name="Followed Hyperlink" xfId="4761" builtinId="9" hidden="1"/>
    <cellStyle name="Followed Hyperlink" xfId="4763" builtinId="9" hidden="1"/>
    <cellStyle name="Followed Hyperlink" xfId="4765" builtinId="9" hidden="1"/>
    <cellStyle name="Followed Hyperlink" xfId="4767" builtinId="9" hidden="1"/>
    <cellStyle name="Followed Hyperlink" xfId="4769" builtinId="9" hidden="1"/>
    <cellStyle name="Followed Hyperlink" xfId="4771" builtinId="9" hidden="1"/>
    <cellStyle name="Followed Hyperlink" xfId="4773" builtinId="9" hidden="1"/>
    <cellStyle name="Followed Hyperlink" xfId="4775" builtinId="9" hidden="1"/>
    <cellStyle name="Followed Hyperlink" xfId="4777" builtinId="9" hidden="1"/>
    <cellStyle name="Followed Hyperlink" xfId="4779" builtinId="9" hidden="1"/>
    <cellStyle name="Followed Hyperlink" xfId="4781" builtinId="9" hidden="1"/>
    <cellStyle name="Followed Hyperlink" xfId="4783" builtinId="9" hidden="1"/>
    <cellStyle name="Followed Hyperlink" xfId="4785" builtinId="9" hidden="1"/>
    <cellStyle name="Followed Hyperlink" xfId="4787" builtinId="9" hidden="1"/>
    <cellStyle name="Followed Hyperlink" xfId="4789" builtinId="9" hidden="1"/>
    <cellStyle name="Followed Hyperlink" xfId="4791" builtinId="9" hidden="1"/>
    <cellStyle name="Followed Hyperlink" xfId="4793" builtinId="9" hidden="1"/>
    <cellStyle name="Followed Hyperlink" xfId="4795" builtinId="9" hidden="1"/>
    <cellStyle name="Followed Hyperlink" xfId="4797" builtinId="9" hidden="1"/>
    <cellStyle name="Followed Hyperlink" xfId="4799" builtinId="9" hidden="1"/>
    <cellStyle name="Followed Hyperlink" xfId="4801" builtinId="9" hidden="1"/>
    <cellStyle name="Followed Hyperlink" xfId="4803" builtinId="9" hidden="1"/>
    <cellStyle name="Followed Hyperlink" xfId="4805" builtinId="9" hidden="1"/>
    <cellStyle name="Followed Hyperlink" xfId="4807" builtinId="9" hidden="1"/>
    <cellStyle name="Followed Hyperlink" xfId="4809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891" builtinId="9" hidden="1"/>
    <cellStyle name="Followed Hyperlink" xfId="4893" builtinId="9" hidden="1"/>
    <cellStyle name="Followed Hyperlink" xfId="4895" builtinId="9" hidden="1"/>
    <cellStyle name="Followed Hyperlink" xfId="4897" builtinId="9" hidden="1"/>
    <cellStyle name="Followed Hyperlink" xfId="4899" builtinId="9" hidden="1"/>
    <cellStyle name="Followed Hyperlink" xfId="4901" builtinId="9" hidden="1"/>
    <cellStyle name="Followed Hyperlink" xfId="4903" builtinId="9" hidden="1"/>
    <cellStyle name="Followed Hyperlink" xfId="4905" builtinId="9" hidden="1"/>
    <cellStyle name="Followed Hyperlink" xfId="4907" builtinId="9" hidden="1"/>
    <cellStyle name="Followed Hyperlink" xfId="4909" builtinId="9" hidden="1"/>
    <cellStyle name="Followed Hyperlink" xfId="4911" builtinId="9" hidden="1"/>
    <cellStyle name="Followed Hyperlink" xfId="4913" builtinId="9" hidden="1"/>
    <cellStyle name="Followed Hyperlink" xfId="4915" builtinId="9" hidden="1"/>
    <cellStyle name="Followed Hyperlink" xfId="4917" builtinId="9" hidden="1"/>
    <cellStyle name="Followed Hyperlink" xfId="4919" builtinId="9" hidden="1"/>
    <cellStyle name="Followed Hyperlink" xfId="4921" builtinId="9" hidden="1"/>
    <cellStyle name="Followed Hyperlink" xfId="4923" builtinId="9" hidden="1"/>
    <cellStyle name="Followed Hyperlink" xfId="4925" builtinId="9" hidden="1"/>
    <cellStyle name="Followed Hyperlink" xfId="4927" builtinId="9" hidden="1"/>
    <cellStyle name="Followed Hyperlink" xfId="4929" builtinId="9" hidden="1"/>
    <cellStyle name="Followed Hyperlink" xfId="4931" builtinId="9" hidden="1"/>
    <cellStyle name="Followed Hyperlink" xfId="4933" builtinId="9" hidden="1"/>
    <cellStyle name="Followed Hyperlink" xfId="4935" builtinId="9" hidden="1"/>
    <cellStyle name="Followed Hyperlink" xfId="4937" builtinId="9" hidden="1"/>
    <cellStyle name="Followed Hyperlink" xfId="4939" builtinId="9" hidden="1"/>
    <cellStyle name="Followed Hyperlink" xfId="4941" builtinId="9" hidden="1"/>
    <cellStyle name="Followed Hyperlink" xfId="4943" builtinId="9" hidden="1"/>
    <cellStyle name="Followed Hyperlink" xfId="4945" builtinId="9" hidden="1"/>
    <cellStyle name="Followed Hyperlink" xfId="4947" builtinId="9" hidden="1"/>
    <cellStyle name="Followed Hyperlink" xfId="4949" builtinId="9" hidden="1"/>
    <cellStyle name="Followed Hyperlink" xfId="4951" builtinId="9" hidden="1"/>
    <cellStyle name="Followed Hyperlink" xfId="4953" builtinId="9" hidden="1"/>
    <cellStyle name="Followed Hyperlink" xfId="4955" builtinId="9" hidden="1"/>
    <cellStyle name="Followed Hyperlink" xfId="4957" builtinId="9" hidden="1"/>
    <cellStyle name="Followed Hyperlink" xfId="4959" builtinId="9" hidden="1"/>
    <cellStyle name="Followed Hyperlink" xfId="4961" builtinId="9" hidden="1"/>
    <cellStyle name="Followed Hyperlink" xfId="4963" builtinId="9" hidden="1"/>
    <cellStyle name="Followed Hyperlink" xfId="4965" builtinId="9" hidden="1"/>
    <cellStyle name="Followed Hyperlink" xfId="4967" builtinId="9" hidden="1"/>
    <cellStyle name="Followed Hyperlink" xfId="4969" builtinId="9" hidden="1"/>
    <cellStyle name="Followed Hyperlink" xfId="4971" builtinId="9" hidden="1"/>
    <cellStyle name="Followed Hyperlink" xfId="4973" builtinId="9" hidden="1"/>
    <cellStyle name="Followed Hyperlink" xfId="4975" builtinId="9" hidden="1"/>
    <cellStyle name="Followed Hyperlink" xfId="4977" builtinId="9" hidden="1"/>
    <cellStyle name="Followed Hyperlink" xfId="4979" builtinId="9" hidden="1"/>
    <cellStyle name="Followed Hyperlink" xfId="4981" builtinId="9" hidden="1"/>
    <cellStyle name="Followed Hyperlink" xfId="4983" builtinId="9" hidden="1"/>
    <cellStyle name="Followed Hyperlink" xfId="4985" builtinId="9" hidden="1"/>
    <cellStyle name="Followed Hyperlink" xfId="4987" builtinId="9" hidden="1"/>
    <cellStyle name="Followed Hyperlink" xfId="4989" builtinId="9" hidden="1"/>
    <cellStyle name="Followed Hyperlink" xfId="4991" builtinId="9" hidden="1"/>
    <cellStyle name="Followed Hyperlink" xfId="4993" builtinId="9" hidden="1"/>
    <cellStyle name="Followed Hyperlink" xfId="4995" builtinId="9" hidden="1"/>
    <cellStyle name="Followed Hyperlink" xfId="4997" builtinId="9" hidden="1"/>
    <cellStyle name="Followed Hyperlink" xfId="4999" builtinId="9" hidden="1"/>
    <cellStyle name="Followed Hyperlink" xfId="5001" builtinId="9" hidden="1"/>
    <cellStyle name="Followed Hyperlink" xfId="5003" builtinId="9" hidden="1"/>
    <cellStyle name="Followed Hyperlink" xfId="5005" builtinId="9" hidden="1"/>
    <cellStyle name="Followed Hyperlink" xfId="5007" builtinId="9" hidden="1"/>
    <cellStyle name="Followed Hyperlink" xfId="5009" builtinId="9" hidden="1"/>
    <cellStyle name="Followed Hyperlink" xfId="5011" builtinId="9" hidden="1"/>
    <cellStyle name="Followed Hyperlink" xfId="5013" builtinId="9" hidden="1"/>
    <cellStyle name="Followed Hyperlink" xfId="5015" builtinId="9" hidden="1"/>
    <cellStyle name="Followed Hyperlink" xfId="5017" builtinId="9" hidden="1"/>
    <cellStyle name="Followed Hyperlink" xfId="5019" builtinId="9" hidden="1"/>
    <cellStyle name="Followed Hyperlink" xfId="5021" builtinId="9" hidden="1"/>
    <cellStyle name="Followed Hyperlink" xfId="5023" builtinId="9" hidden="1"/>
    <cellStyle name="Followed Hyperlink" xfId="5025" builtinId="9" hidden="1"/>
    <cellStyle name="Followed Hyperlink" xfId="5027" builtinId="9" hidden="1"/>
    <cellStyle name="Followed Hyperlink" xfId="5029" builtinId="9" hidden="1"/>
    <cellStyle name="Followed Hyperlink" xfId="5031" builtinId="9" hidden="1"/>
    <cellStyle name="Followed Hyperlink" xfId="5033" builtinId="9" hidden="1"/>
    <cellStyle name="Followed Hyperlink" xfId="5035" builtinId="9" hidden="1"/>
    <cellStyle name="Followed Hyperlink" xfId="5037" builtinId="9" hidden="1"/>
    <cellStyle name="Followed Hyperlink" xfId="5039" builtinId="9" hidden="1"/>
    <cellStyle name="Followed Hyperlink" xfId="5041" builtinId="9" hidden="1"/>
    <cellStyle name="Followed Hyperlink" xfId="5043" builtinId="9" hidden="1"/>
    <cellStyle name="Followed Hyperlink" xfId="5045" builtinId="9" hidden="1"/>
    <cellStyle name="Followed Hyperlink" xfId="5047" builtinId="9" hidden="1"/>
    <cellStyle name="Followed Hyperlink" xfId="5049" builtinId="9" hidden="1"/>
    <cellStyle name="Followed Hyperlink" xfId="5051" builtinId="9" hidden="1"/>
    <cellStyle name="Followed Hyperlink" xfId="5053" builtinId="9" hidden="1"/>
    <cellStyle name="Followed Hyperlink" xfId="5055" builtinId="9" hidden="1"/>
    <cellStyle name="Followed Hyperlink" xfId="5057" builtinId="9" hidden="1"/>
    <cellStyle name="Followed Hyperlink" xfId="5059" builtinId="9" hidden="1"/>
    <cellStyle name="Followed Hyperlink" xfId="5061" builtinId="9" hidden="1"/>
    <cellStyle name="Followed Hyperlink" xfId="5063" builtinId="9" hidden="1"/>
    <cellStyle name="Followed Hyperlink" xfId="5065" builtinId="9" hidden="1"/>
    <cellStyle name="Followed Hyperlink" xfId="5067" builtinId="9" hidden="1"/>
    <cellStyle name="Followed Hyperlink" xfId="5069" builtinId="9" hidden="1"/>
    <cellStyle name="Followed Hyperlink" xfId="5071" builtinId="9" hidden="1"/>
    <cellStyle name="Followed Hyperlink" xfId="5073" builtinId="9" hidden="1"/>
    <cellStyle name="Followed Hyperlink" xfId="5075" builtinId="9" hidden="1"/>
    <cellStyle name="Followed Hyperlink" xfId="5077" builtinId="9" hidden="1"/>
    <cellStyle name="Followed Hyperlink" xfId="5079" builtinId="9" hidden="1"/>
    <cellStyle name="Followed Hyperlink" xfId="5081" builtinId="9" hidden="1"/>
    <cellStyle name="Followed Hyperlink" xfId="5083" builtinId="9" hidden="1"/>
    <cellStyle name="Followed Hyperlink" xfId="5085" builtinId="9" hidden="1"/>
    <cellStyle name="Followed Hyperlink" xfId="5087" builtinId="9" hidden="1"/>
    <cellStyle name="Followed Hyperlink" xfId="5089" builtinId="9" hidden="1"/>
    <cellStyle name="Followed Hyperlink" xfId="5091" builtinId="9" hidden="1"/>
    <cellStyle name="Followed Hyperlink" xfId="5093" builtinId="9" hidden="1"/>
    <cellStyle name="Followed Hyperlink" xfId="5095" builtinId="9" hidden="1"/>
    <cellStyle name="Followed Hyperlink" xfId="5097" builtinId="9" hidden="1"/>
    <cellStyle name="Followed Hyperlink" xfId="5099" builtinId="9" hidden="1"/>
    <cellStyle name="Followed Hyperlink" xfId="5101" builtinId="9" hidden="1"/>
    <cellStyle name="Followed Hyperlink" xfId="5103" builtinId="9" hidden="1"/>
    <cellStyle name="Followed Hyperlink" xfId="5105" builtinId="9" hidden="1"/>
    <cellStyle name="Followed Hyperlink" xfId="5107" builtinId="9" hidden="1"/>
    <cellStyle name="Followed Hyperlink" xfId="5109" builtinId="9" hidden="1"/>
    <cellStyle name="Followed Hyperlink" xfId="5111" builtinId="9" hidden="1"/>
    <cellStyle name="Followed Hyperlink" xfId="5113" builtinId="9" hidden="1"/>
    <cellStyle name="Followed Hyperlink" xfId="5115" builtinId="9" hidden="1"/>
    <cellStyle name="Followed Hyperlink" xfId="5117" builtinId="9" hidden="1"/>
    <cellStyle name="Followed Hyperlink" xfId="5119" builtinId="9" hidden="1"/>
    <cellStyle name="Followed Hyperlink" xfId="5121" builtinId="9" hidden="1"/>
    <cellStyle name="Followed Hyperlink" xfId="5123" builtinId="9" hidden="1"/>
    <cellStyle name="Followed Hyperlink" xfId="5125" builtinId="9" hidden="1"/>
    <cellStyle name="Followed Hyperlink" xfId="5127" builtinId="9" hidden="1"/>
    <cellStyle name="Followed Hyperlink" xfId="5129" builtinId="9" hidden="1"/>
    <cellStyle name="Followed Hyperlink" xfId="5131" builtinId="9" hidden="1"/>
    <cellStyle name="Followed Hyperlink" xfId="5133" builtinId="9" hidden="1"/>
    <cellStyle name="Followed Hyperlink" xfId="5135" builtinId="9" hidden="1"/>
    <cellStyle name="Followed Hyperlink" xfId="5137" builtinId="9" hidden="1"/>
    <cellStyle name="Followed Hyperlink" xfId="5139" builtinId="9" hidden="1"/>
    <cellStyle name="Followed Hyperlink" xfId="5141" builtinId="9" hidden="1"/>
    <cellStyle name="Followed Hyperlink" xfId="5143" builtinId="9" hidden="1"/>
    <cellStyle name="Followed Hyperlink" xfId="5145" builtinId="9" hidden="1"/>
    <cellStyle name="Followed Hyperlink" xfId="5147" builtinId="9" hidden="1"/>
    <cellStyle name="Followed Hyperlink" xfId="5149" builtinId="9" hidden="1"/>
    <cellStyle name="Followed Hyperlink" xfId="5151" builtinId="9" hidden="1"/>
    <cellStyle name="Followed Hyperlink" xfId="5153" builtinId="9" hidden="1"/>
    <cellStyle name="Followed Hyperlink" xfId="5155" builtinId="9" hidden="1"/>
    <cellStyle name="Followed Hyperlink" xfId="5157" builtinId="9" hidden="1"/>
    <cellStyle name="Followed Hyperlink" xfId="5159" builtinId="9" hidden="1"/>
    <cellStyle name="Followed Hyperlink" xfId="5161" builtinId="9" hidden="1"/>
    <cellStyle name="Followed Hyperlink" xfId="5163" builtinId="9" hidden="1"/>
    <cellStyle name="Followed Hyperlink" xfId="5165" builtinId="9" hidden="1"/>
    <cellStyle name="Followed Hyperlink" xfId="5167" builtinId="9" hidden="1"/>
    <cellStyle name="Followed Hyperlink" xfId="5169" builtinId="9" hidden="1"/>
    <cellStyle name="Followed Hyperlink" xfId="5171" builtinId="9" hidden="1"/>
    <cellStyle name="Followed Hyperlink" xfId="5173" builtinId="9" hidden="1"/>
    <cellStyle name="Followed Hyperlink" xfId="5175" builtinId="9" hidden="1"/>
    <cellStyle name="Followed Hyperlink" xfId="5177" builtinId="9" hidden="1"/>
    <cellStyle name="Followed Hyperlink" xfId="5179" builtinId="9" hidden="1"/>
    <cellStyle name="Followed Hyperlink" xfId="5181" builtinId="9" hidden="1"/>
    <cellStyle name="Followed Hyperlink" xfId="5183" builtinId="9" hidden="1"/>
    <cellStyle name="Followed Hyperlink" xfId="5185" builtinId="9" hidden="1"/>
    <cellStyle name="Followed Hyperlink" xfId="5187" builtinId="9" hidden="1"/>
    <cellStyle name="Followed Hyperlink" xfId="5189" builtinId="9" hidden="1"/>
    <cellStyle name="Followed Hyperlink" xfId="5191" builtinId="9" hidden="1"/>
    <cellStyle name="Followed Hyperlink" xfId="5193" builtinId="9" hidden="1"/>
    <cellStyle name="Followed Hyperlink" xfId="5195" builtinId="9" hidden="1"/>
    <cellStyle name="Followed Hyperlink" xfId="5197" builtinId="9" hidden="1"/>
    <cellStyle name="Followed Hyperlink" xfId="5199" builtinId="9" hidden="1"/>
    <cellStyle name="Followed Hyperlink" xfId="5201" builtinId="9" hidden="1"/>
    <cellStyle name="Followed Hyperlink" xfId="5203" builtinId="9" hidden="1"/>
    <cellStyle name="Followed Hyperlink" xfId="5205" builtinId="9" hidden="1"/>
    <cellStyle name="Followed Hyperlink" xfId="5207" builtinId="9" hidden="1"/>
    <cellStyle name="Followed Hyperlink" xfId="5209" builtinId="9" hidden="1"/>
    <cellStyle name="Followed Hyperlink" xfId="5211" builtinId="9" hidden="1"/>
    <cellStyle name="Followed Hyperlink" xfId="5213" builtinId="9" hidden="1"/>
    <cellStyle name="Followed Hyperlink" xfId="5215" builtinId="9" hidden="1"/>
    <cellStyle name="Followed Hyperlink" xfId="5217" builtinId="9" hidden="1"/>
    <cellStyle name="Followed Hyperlink" xfId="5219" builtinId="9" hidden="1"/>
    <cellStyle name="Followed Hyperlink" xfId="5221" builtinId="9" hidden="1"/>
    <cellStyle name="Followed Hyperlink" xfId="5223" builtinId="9" hidden="1"/>
    <cellStyle name="Followed Hyperlink" xfId="5225" builtinId="9" hidden="1"/>
    <cellStyle name="Followed Hyperlink" xfId="5227" builtinId="9" hidden="1"/>
    <cellStyle name="Followed Hyperlink" xfId="5229" builtinId="9" hidden="1"/>
    <cellStyle name="Followed Hyperlink" xfId="5231" builtinId="9" hidden="1"/>
    <cellStyle name="Followed Hyperlink" xfId="5233" builtinId="9" hidden="1"/>
    <cellStyle name="Followed Hyperlink" xfId="5235" builtinId="9" hidden="1"/>
    <cellStyle name="Followed Hyperlink" xfId="5237" builtinId="9" hidden="1"/>
    <cellStyle name="Followed Hyperlink" xfId="5239" builtinId="9" hidden="1"/>
    <cellStyle name="Followed Hyperlink" xfId="5241" builtinId="9" hidden="1"/>
    <cellStyle name="Followed Hyperlink" xfId="5243" builtinId="9" hidden="1"/>
    <cellStyle name="Followed Hyperlink" xfId="5245" builtinId="9" hidden="1"/>
    <cellStyle name="Followed Hyperlink" xfId="5247" builtinId="9" hidden="1"/>
    <cellStyle name="Followed Hyperlink" xfId="5249" builtinId="9" hidden="1"/>
    <cellStyle name="Followed Hyperlink" xfId="5251" builtinId="9" hidden="1"/>
    <cellStyle name="Followed Hyperlink" xfId="5253" builtinId="9" hidden="1"/>
    <cellStyle name="Followed Hyperlink" xfId="5255" builtinId="9" hidden="1"/>
    <cellStyle name="Followed Hyperlink" xfId="5257" builtinId="9" hidden="1"/>
    <cellStyle name="Followed Hyperlink" xfId="5259" builtinId="9" hidden="1"/>
    <cellStyle name="Followed Hyperlink" xfId="5261" builtinId="9" hidden="1"/>
    <cellStyle name="Followed Hyperlink" xfId="5263" builtinId="9" hidden="1"/>
    <cellStyle name="Followed Hyperlink" xfId="5265" builtinId="9" hidden="1"/>
    <cellStyle name="Followed Hyperlink" xfId="5267" builtinId="9" hidden="1"/>
    <cellStyle name="Followed Hyperlink" xfId="5269" builtinId="9" hidden="1"/>
    <cellStyle name="Followed Hyperlink" xfId="5271" builtinId="9" hidden="1"/>
    <cellStyle name="Followed Hyperlink" xfId="5273" builtinId="9" hidden="1"/>
    <cellStyle name="Followed Hyperlink" xfId="5275" builtinId="9" hidden="1"/>
    <cellStyle name="Followed Hyperlink" xfId="5277" builtinId="9" hidden="1"/>
    <cellStyle name="Followed Hyperlink" xfId="5279" builtinId="9" hidden="1"/>
    <cellStyle name="Followed Hyperlink" xfId="5281" builtinId="9" hidden="1"/>
    <cellStyle name="Followed Hyperlink" xfId="5283" builtinId="9" hidden="1"/>
    <cellStyle name="Followed Hyperlink" xfId="5285" builtinId="9" hidden="1"/>
    <cellStyle name="Followed Hyperlink" xfId="5287" builtinId="9" hidden="1"/>
    <cellStyle name="Followed Hyperlink" xfId="5289" builtinId="9" hidden="1"/>
    <cellStyle name="Followed Hyperlink" xfId="5291" builtinId="9" hidden="1"/>
    <cellStyle name="Followed Hyperlink" xfId="5293" builtinId="9" hidden="1"/>
    <cellStyle name="Followed Hyperlink" xfId="5295" builtinId="9" hidden="1"/>
    <cellStyle name="Followed Hyperlink" xfId="5297" builtinId="9" hidden="1"/>
    <cellStyle name="Followed Hyperlink" xfId="5299" builtinId="9" hidden="1"/>
    <cellStyle name="Followed Hyperlink" xfId="5301" builtinId="9" hidden="1"/>
    <cellStyle name="Followed Hyperlink" xfId="5303" builtinId="9" hidden="1"/>
    <cellStyle name="Followed Hyperlink" xfId="5305" builtinId="9" hidden="1"/>
    <cellStyle name="Followed Hyperlink" xfId="5307" builtinId="9" hidden="1"/>
    <cellStyle name="Followed Hyperlink" xfId="5309" builtinId="9" hidden="1"/>
    <cellStyle name="Followed Hyperlink" xfId="5311" builtinId="9" hidden="1"/>
    <cellStyle name="Followed Hyperlink" xfId="5313" builtinId="9" hidden="1"/>
    <cellStyle name="Followed Hyperlink" xfId="5315" builtinId="9" hidden="1"/>
    <cellStyle name="Followed Hyperlink" xfId="5317" builtinId="9" hidden="1"/>
    <cellStyle name="Followed Hyperlink" xfId="5319" builtinId="9" hidden="1"/>
    <cellStyle name="Followed Hyperlink" xfId="5321" builtinId="9" hidden="1"/>
    <cellStyle name="Followed Hyperlink" xfId="5323" builtinId="9" hidden="1"/>
    <cellStyle name="Followed Hyperlink" xfId="5325" builtinId="9" hidden="1"/>
    <cellStyle name="Followed Hyperlink" xfId="5327" builtinId="9" hidden="1"/>
    <cellStyle name="Followed Hyperlink" xfId="5329" builtinId="9" hidden="1"/>
    <cellStyle name="Followed Hyperlink" xfId="5331" builtinId="9" hidden="1"/>
    <cellStyle name="Followed Hyperlink" xfId="5333" builtinId="9" hidden="1"/>
    <cellStyle name="Followed Hyperlink" xfId="5335" builtinId="9" hidden="1"/>
    <cellStyle name="Followed Hyperlink" xfId="5337" builtinId="9" hidden="1"/>
    <cellStyle name="Followed Hyperlink" xfId="5339" builtinId="9" hidden="1"/>
    <cellStyle name="Followed Hyperlink" xfId="5341" builtinId="9" hidden="1"/>
    <cellStyle name="Followed Hyperlink" xfId="5343" builtinId="9" hidden="1"/>
    <cellStyle name="Followed Hyperlink" xfId="5345" builtinId="9" hidden="1"/>
    <cellStyle name="Followed Hyperlink" xfId="5347" builtinId="9" hidden="1"/>
    <cellStyle name="Followed Hyperlink" xfId="5349" builtinId="9" hidden="1"/>
    <cellStyle name="Followed Hyperlink" xfId="5351" builtinId="9" hidden="1"/>
    <cellStyle name="Followed Hyperlink" xfId="5353" builtinId="9" hidden="1"/>
    <cellStyle name="Followed Hyperlink" xfId="5355" builtinId="9" hidden="1"/>
    <cellStyle name="Followed Hyperlink" xfId="5357" builtinId="9" hidden="1"/>
    <cellStyle name="Followed Hyperlink" xfId="5359" builtinId="9" hidden="1"/>
    <cellStyle name="Followed Hyperlink" xfId="5361" builtinId="9" hidden="1"/>
    <cellStyle name="Followed Hyperlink" xfId="5363" builtinId="9" hidden="1"/>
    <cellStyle name="Followed Hyperlink" xfId="5365" builtinId="9" hidden="1"/>
    <cellStyle name="Followed Hyperlink" xfId="5367" builtinId="9" hidden="1"/>
    <cellStyle name="Followed Hyperlink" xfId="5369" builtinId="9" hidden="1"/>
    <cellStyle name="Followed Hyperlink" xfId="5371" builtinId="9" hidden="1"/>
    <cellStyle name="Followed Hyperlink" xfId="5373" builtinId="9" hidden="1"/>
    <cellStyle name="Followed Hyperlink" xfId="5375" builtinId="9" hidden="1"/>
    <cellStyle name="Followed Hyperlink" xfId="5377" builtinId="9" hidden="1"/>
    <cellStyle name="Followed Hyperlink" xfId="5379" builtinId="9" hidden="1"/>
    <cellStyle name="Followed Hyperlink" xfId="5381" builtinId="9" hidden="1"/>
    <cellStyle name="Followed Hyperlink" xfId="5383" builtinId="9" hidden="1"/>
    <cellStyle name="Followed Hyperlink" xfId="5385" builtinId="9" hidden="1"/>
    <cellStyle name="Followed Hyperlink" xfId="5387" builtinId="9" hidden="1"/>
    <cellStyle name="Followed Hyperlink" xfId="5389" builtinId="9" hidden="1"/>
    <cellStyle name="Followed Hyperlink" xfId="5391" builtinId="9" hidden="1"/>
    <cellStyle name="Followed Hyperlink" xfId="5393" builtinId="9" hidden="1"/>
    <cellStyle name="Followed Hyperlink" xfId="5395" builtinId="9" hidden="1"/>
    <cellStyle name="Followed Hyperlink" xfId="5397" builtinId="9" hidden="1"/>
    <cellStyle name="Followed Hyperlink" xfId="5399" builtinId="9" hidden="1"/>
    <cellStyle name="Followed Hyperlink" xfId="5401" builtinId="9" hidden="1"/>
    <cellStyle name="Followed Hyperlink" xfId="5403" builtinId="9" hidden="1"/>
    <cellStyle name="Followed Hyperlink" xfId="5405" builtinId="9" hidden="1"/>
    <cellStyle name="Followed Hyperlink" xfId="5407" builtinId="9" hidden="1"/>
    <cellStyle name="Followed Hyperlink" xfId="5409" builtinId="9" hidden="1"/>
    <cellStyle name="Followed Hyperlink" xfId="5411" builtinId="9" hidden="1"/>
    <cellStyle name="Followed Hyperlink" xfId="5413" builtinId="9" hidden="1"/>
    <cellStyle name="Followed Hyperlink" xfId="5415" builtinId="9" hidden="1"/>
    <cellStyle name="Followed Hyperlink" xfId="5417" builtinId="9" hidden="1"/>
    <cellStyle name="Followed Hyperlink" xfId="5419" builtinId="9" hidden="1"/>
    <cellStyle name="Followed Hyperlink" xfId="5421" builtinId="9" hidden="1"/>
    <cellStyle name="Followed Hyperlink" xfId="5423" builtinId="9" hidden="1"/>
    <cellStyle name="Followed Hyperlink" xfId="5425" builtinId="9" hidden="1"/>
    <cellStyle name="Followed Hyperlink" xfId="5427" builtinId="9" hidden="1"/>
    <cellStyle name="Followed Hyperlink" xfId="5429" builtinId="9" hidden="1"/>
    <cellStyle name="Followed Hyperlink" xfId="5431" builtinId="9" hidden="1"/>
    <cellStyle name="Followed Hyperlink" xfId="5433" builtinId="9" hidden="1"/>
    <cellStyle name="Followed Hyperlink" xfId="5435" builtinId="9" hidden="1"/>
    <cellStyle name="Followed Hyperlink" xfId="5437" builtinId="9" hidden="1"/>
    <cellStyle name="Followed Hyperlink" xfId="5439" builtinId="9" hidden="1"/>
    <cellStyle name="Followed Hyperlink" xfId="5441" builtinId="9" hidden="1"/>
    <cellStyle name="Followed Hyperlink" xfId="5443" builtinId="9" hidden="1"/>
    <cellStyle name="Followed Hyperlink" xfId="5445" builtinId="9" hidden="1"/>
    <cellStyle name="Followed Hyperlink" xfId="5447" builtinId="9" hidden="1"/>
    <cellStyle name="Followed Hyperlink" xfId="5449" builtinId="9" hidden="1"/>
    <cellStyle name="Followed Hyperlink" xfId="5451" builtinId="9" hidden="1"/>
    <cellStyle name="Followed Hyperlink" xfId="5453" builtinId="9" hidden="1"/>
    <cellStyle name="Followed Hyperlink" xfId="5455" builtinId="9" hidden="1"/>
    <cellStyle name="Followed Hyperlink" xfId="5457" builtinId="9" hidden="1"/>
    <cellStyle name="Followed Hyperlink" xfId="5459" builtinId="9" hidden="1"/>
    <cellStyle name="Followed Hyperlink" xfId="5461" builtinId="9" hidden="1"/>
    <cellStyle name="Followed Hyperlink" xfId="5463" builtinId="9" hidden="1"/>
    <cellStyle name="Followed Hyperlink" xfId="5465" builtinId="9" hidden="1"/>
    <cellStyle name="Followed Hyperlink" xfId="5467" builtinId="9" hidden="1"/>
    <cellStyle name="Followed Hyperlink" xfId="5469" builtinId="9" hidden="1"/>
    <cellStyle name="Followed Hyperlink" xfId="5471" builtinId="9" hidden="1"/>
    <cellStyle name="Followed Hyperlink" xfId="5473" builtinId="9" hidden="1"/>
    <cellStyle name="Followed Hyperlink" xfId="5475" builtinId="9" hidden="1"/>
    <cellStyle name="Followed Hyperlink" xfId="5477" builtinId="9" hidden="1"/>
    <cellStyle name="Followed Hyperlink" xfId="5479" builtinId="9" hidden="1"/>
    <cellStyle name="Followed Hyperlink" xfId="5481" builtinId="9" hidden="1"/>
    <cellStyle name="Followed Hyperlink" xfId="5483" builtinId="9" hidden="1"/>
    <cellStyle name="Followed Hyperlink" xfId="5485" builtinId="9" hidden="1"/>
    <cellStyle name="Followed Hyperlink" xfId="5487" builtinId="9" hidden="1"/>
    <cellStyle name="Followed Hyperlink" xfId="5489" builtinId="9" hidden="1"/>
    <cellStyle name="Followed Hyperlink" xfId="5491" builtinId="9" hidden="1"/>
    <cellStyle name="Followed Hyperlink" xfId="5493" builtinId="9" hidden="1"/>
    <cellStyle name="Followed Hyperlink" xfId="5495" builtinId="9" hidden="1"/>
    <cellStyle name="Followed Hyperlink" xfId="5497" builtinId="9" hidden="1"/>
    <cellStyle name="Followed Hyperlink" xfId="5499" builtinId="9" hidden="1"/>
    <cellStyle name="Followed Hyperlink" xfId="5501" builtinId="9" hidden="1"/>
    <cellStyle name="Followed Hyperlink" xfId="5503" builtinId="9" hidden="1"/>
    <cellStyle name="Followed Hyperlink" xfId="5505" builtinId="9" hidden="1"/>
    <cellStyle name="Followed Hyperlink" xfId="5507" builtinId="9" hidden="1"/>
    <cellStyle name="Followed Hyperlink" xfId="5509" builtinId="9" hidden="1"/>
    <cellStyle name="Followed Hyperlink" xfId="5511" builtinId="9" hidden="1"/>
    <cellStyle name="Followed Hyperlink" xfId="5513" builtinId="9" hidden="1"/>
    <cellStyle name="Followed Hyperlink" xfId="5515" builtinId="9" hidden="1"/>
    <cellStyle name="Followed Hyperlink" xfId="5517" builtinId="9" hidden="1"/>
    <cellStyle name="Followed Hyperlink" xfId="5519" builtinId="9" hidden="1"/>
    <cellStyle name="Followed Hyperlink" xfId="5521" builtinId="9" hidden="1"/>
    <cellStyle name="Followed Hyperlink" xfId="5523" builtinId="9" hidden="1"/>
    <cellStyle name="Followed Hyperlink" xfId="5525" builtinId="9" hidden="1"/>
    <cellStyle name="Followed Hyperlink" xfId="5527" builtinId="9" hidden="1"/>
    <cellStyle name="Followed Hyperlink" xfId="5529" builtinId="9" hidden="1"/>
    <cellStyle name="Followed Hyperlink" xfId="5531" builtinId="9" hidden="1"/>
    <cellStyle name="Followed Hyperlink" xfId="5533" builtinId="9" hidden="1"/>
    <cellStyle name="Followed Hyperlink" xfId="5535" builtinId="9" hidden="1"/>
    <cellStyle name="Followed Hyperlink" xfId="5537" builtinId="9" hidden="1"/>
    <cellStyle name="Followed Hyperlink" xfId="5539" builtinId="9" hidden="1"/>
    <cellStyle name="Followed Hyperlink" xfId="5541" builtinId="9" hidden="1"/>
    <cellStyle name="Followed Hyperlink" xfId="5543" builtinId="9" hidden="1"/>
    <cellStyle name="Followed Hyperlink" xfId="5545" builtinId="9" hidden="1"/>
    <cellStyle name="Followed Hyperlink" xfId="5547" builtinId="9" hidden="1"/>
    <cellStyle name="Followed Hyperlink" xfId="5549" builtinId="9" hidden="1"/>
    <cellStyle name="Followed Hyperlink" xfId="5551" builtinId="9" hidden="1"/>
    <cellStyle name="Followed Hyperlink" xfId="5553" builtinId="9" hidden="1"/>
    <cellStyle name="Followed Hyperlink" xfId="5555" builtinId="9" hidden="1"/>
    <cellStyle name="Followed Hyperlink" xfId="5557" builtinId="9" hidden="1"/>
    <cellStyle name="Followed Hyperlink" xfId="5559" builtinId="9" hidden="1"/>
    <cellStyle name="Followed Hyperlink" xfId="5561" builtinId="9" hidden="1"/>
    <cellStyle name="Followed Hyperlink" xfId="5563" builtinId="9" hidden="1"/>
    <cellStyle name="Followed Hyperlink" xfId="5565" builtinId="9" hidden="1"/>
    <cellStyle name="Followed Hyperlink" xfId="5567" builtinId="9" hidden="1"/>
    <cellStyle name="Followed Hyperlink" xfId="5569" builtinId="9" hidden="1"/>
    <cellStyle name="Followed Hyperlink" xfId="5571" builtinId="9" hidden="1"/>
    <cellStyle name="Followed Hyperlink" xfId="5573" builtinId="9" hidden="1"/>
    <cellStyle name="Followed Hyperlink" xfId="5575" builtinId="9" hidden="1"/>
    <cellStyle name="Followed Hyperlink" xfId="5577" builtinId="9" hidden="1"/>
    <cellStyle name="Followed Hyperlink" xfId="5579" builtinId="9" hidden="1"/>
    <cellStyle name="Followed Hyperlink" xfId="5581" builtinId="9" hidden="1"/>
    <cellStyle name="Followed Hyperlink" xfId="5583" builtinId="9" hidden="1"/>
    <cellStyle name="Followed Hyperlink" xfId="5585" builtinId="9" hidden="1"/>
    <cellStyle name="Followed Hyperlink" xfId="5587" builtinId="9" hidden="1"/>
    <cellStyle name="Followed Hyperlink" xfId="5589" builtinId="9" hidden="1"/>
    <cellStyle name="Followed Hyperlink" xfId="5591" builtinId="9" hidden="1"/>
    <cellStyle name="Followed Hyperlink" xfId="5593" builtinId="9" hidden="1"/>
    <cellStyle name="Followed Hyperlink" xfId="5595" builtinId="9" hidden="1"/>
    <cellStyle name="Followed Hyperlink" xfId="5597" builtinId="9" hidden="1"/>
    <cellStyle name="Followed Hyperlink" xfId="5599" builtinId="9" hidden="1"/>
    <cellStyle name="Followed Hyperlink" xfId="5601" builtinId="9" hidden="1"/>
    <cellStyle name="Followed Hyperlink" xfId="5603" builtinId="9" hidden="1"/>
    <cellStyle name="Followed Hyperlink" xfId="5605" builtinId="9" hidden="1"/>
    <cellStyle name="Followed Hyperlink" xfId="5607" builtinId="9" hidden="1"/>
    <cellStyle name="Followed Hyperlink" xfId="5609" builtinId="9" hidden="1"/>
    <cellStyle name="Followed Hyperlink" xfId="5611" builtinId="9" hidden="1"/>
    <cellStyle name="Followed Hyperlink" xfId="5613" builtinId="9" hidden="1"/>
    <cellStyle name="Followed Hyperlink" xfId="5615" builtinId="9" hidden="1"/>
    <cellStyle name="Followed Hyperlink" xfId="5617" builtinId="9" hidden="1"/>
    <cellStyle name="Followed Hyperlink" xfId="5619" builtinId="9" hidden="1"/>
    <cellStyle name="Followed Hyperlink" xfId="5621" builtinId="9" hidden="1"/>
    <cellStyle name="Followed Hyperlink" xfId="5623" builtinId="9" hidden="1"/>
    <cellStyle name="Followed Hyperlink" xfId="5625" builtinId="9" hidden="1"/>
    <cellStyle name="Followed Hyperlink" xfId="5627" builtinId="9" hidden="1"/>
    <cellStyle name="Followed Hyperlink" xfId="5629" builtinId="9" hidden="1"/>
    <cellStyle name="Followed Hyperlink" xfId="5631" builtinId="9" hidden="1"/>
    <cellStyle name="Followed Hyperlink" xfId="5633" builtinId="9" hidden="1"/>
    <cellStyle name="Followed Hyperlink" xfId="5635" builtinId="9" hidden="1"/>
    <cellStyle name="Followed Hyperlink" xfId="5637" builtinId="9" hidden="1"/>
    <cellStyle name="Followed Hyperlink" xfId="5639" builtinId="9" hidden="1"/>
    <cellStyle name="Followed Hyperlink" xfId="5641" builtinId="9" hidden="1"/>
    <cellStyle name="Followed Hyperlink" xfId="5643" builtinId="9" hidden="1"/>
    <cellStyle name="Followed Hyperlink" xfId="5645" builtinId="9" hidden="1"/>
    <cellStyle name="Followed Hyperlink" xfId="5647" builtinId="9" hidden="1"/>
    <cellStyle name="Followed Hyperlink" xfId="5649" builtinId="9" hidden="1"/>
    <cellStyle name="Followed Hyperlink" xfId="5651" builtinId="9" hidden="1"/>
    <cellStyle name="Followed Hyperlink" xfId="5653" builtinId="9" hidden="1"/>
    <cellStyle name="Followed Hyperlink" xfId="5655" builtinId="9" hidden="1"/>
    <cellStyle name="Followed Hyperlink" xfId="5657" builtinId="9" hidden="1"/>
    <cellStyle name="Followed Hyperlink" xfId="5659" builtinId="9" hidden="1"/>
    <cellStyle name="Followed Hyperlink" xfId="5661" builtinId="9" hidden="1"/>
    <cellStyle name="Followed Hyperlink" xfId="5663" builtinId="9" hidden="1"/>
    <cellStyle name="Followed Hyperlink" xfId="5665" builtinId="9" hidden="1"/>
    <cellStyle name="Followed Hyperlink" xfId="5667" builtinId="9" hidden="1"/>
    <cellStyle name="Followed Hyperlink" xfId="5669" builtinId="9" hidden="1"/>
    <cellStyle name="Followed Hyperlink" xfId="5671" builtinId="9" hidden="1"/>
    <cellStyle name="Followed Hyperlink" xfId="5673" builtinId="9" hidden="1"/>
    <cellStyle name="Followed Hyperlink" xfId="5675" builtinId="9" hidden="1"/>
    <cellStyle name="Followed Hyperlink" xfId="5677" builtinId="9" hidden="1"/>
    <cellStyle name="Followed Hyperlink" xfId="5679" builtinId="9" hidden="1"/>
    <cellStyle name="Followed Hyperlink" xfId="5681" builtinId="9" hidden="1"/>
    <cellStyle name="Followed Hyperlink" xfId="5683" builtinId="9" hidden="1"/>
    <cellStyle name="Followed Hyperlink" xfId="5685" builtinId="9" hidden="1"/>
    <cellStyle name="Followed Hyperlink" xfId="5687" builtinId="9" hidden="1"/>
    <cellStyle name="Followed Hyperlink" xfId="5689" builtinId="9" hidden="1"/>
    <cellStyle name="Followed Hyperlink" xfId="5691" builtinId="9" hidden="1"/>
    <cellStyle name="Followed Hyperlink" xfId="5693" builtinId="9" hidden="1"/>
    <cellStyle name="Followed Hyperlink" xfId="5695" builtinId="9" hidden="1"/>
    <cellStyle name="Followed Hyperlink" xfId="5697" builtinId="9" hidden="1"/>
    <cellStyle name="Followed Hyperlink" xfId="5699" builtinId="9" hidden="1"/>
    <cellStyle name="Followed Hyperlink" xfId="5701" builtinId="9" hidden="1"/>
    <cellStyle name="Followed Hyperlink" xfId="5703" builtinId="9" hidden="1"/>
    <cellStyle name="Followed Hyperlink" xfId="5705" builtinId="9" hidden="1"/>
    <cellStyle name="Followed Hyperlink" xfId="5707" builtinId="9" hidden="1"/>
    <cellStyle name="Followed Hyperlink" xfId="5709" builtinId="9" hidden="1"/>
    <cellStyle name="Followed Hyperlink" xfId="5711" builtinId="9" hidden="1"/>
    <cellStyle name="Followed Hyperlink" xfId="5713" builtinId="9" hidden="1"/>
    <cellStyle name="Followed Hyperlink" xfId="5715" builtinId="9" hidden="1"/>
    <cellStyle name="Followed Hyperlink" xfId="5717" builtinId="9" hidden="1"/>
    <cellStyle name="Followed Hyperlink" xfId="5719" builtinId="9" hidden="1"/>
    <cellStyle name="Followed Hyperlink" xfId="5721" builtinId="9" hidden="1"/>
    <cellStyle name="Followed Hyperlink" xfId="5723" builtinId="9" hidden="1"/>
    <cellStyle name="Followed Hyperlink" xfId="5725" builtinId="9" hidden="1"/>
    <cellStyle name="Followed Hyperlink" xfId="5727" builtinId="9" hidden="1"/>
    <cellStyle name="Followed Hyperlink" xfId="5729" builtinId="9" hidden="1"/>
    <cellStyle name="Followed Hyperlink" xfId="5731" builtinId="9" hidden="1"/>
    <cellStyle name="Followed Hyperlink" xfId="5733" builtinId="9" hidden="1"/>
    <cellStyle name="Followed Hyperlink" xfId="5735" builtinId="9" hidden="1"/>
    <cellStyle name="Followed Hyperlink" xfId="5737" builtinId="9" hidden="1"/>
    <cellStyle name="Followed Hyperlink" xfId="5739" builtinId="9" hidden="1"/>
    <cellStyle name="Followed Hyperlink" xfId="5741" builtinId="9" hidden="1"/>
    <cellStyle name="Followed Hyperlink" xfId="5743" builtinId="9" hidden="1"/>
    <cellStyle name="Followed Hyperlink" xfId="5745" builtinId="9" hidden="1"/>
    <cellStyle name="Followed Hyperlink" xfId="5747" builtinId="9" hidden="1"/>
    <cellStyle name="Followed Hyperlink" xfId="5749" builtinId="9" hidden="1"/>
    <cellStyle name="Followed Hyperlink" xfId="5751" builtinId="9" hidden="1"/>
    <cellStyle name="Followed Hyperlink" xfId="5753" builtinId="9" hidden="1"/>
    <cellStyle name="Followed Hyperlink" xfId="5755" builtinId="9" hidden="1"/>
    <cellStyle name="Followed Hyperlink" xfId="5757" builtinId="9" hidden="1"/>
    <cellStyle name="Followed Hyperlink" xfId="5759" builtinId="9" hidden="1"/>
    <cellStyle name="Followed Hyperlink" xfId="5761" builtinId="9" hidden="1"/>
    <cellStyle name="Followed Hyperlink" xfId="5763" builtinId="9" hidden="1"/>
    <cellStyle name="Followed Hyperlink" xfId="5765" builtinId="9" hidden="1"/>
    <cellStyle name="Followed Hyperlink" xfId="5767" builtinId="9" hidden="1"/>
    <cellStyle name="Followed Hyperlink" xfId="5769" builtinId="9" hidden="1"/>
    <cellStyle name="Followed Hyperlink" xfId="5771" builtinId="9" hidden="1"/>
    <cellStyle name="Followed Hyperlink" xfId="5773" builtinId="9" hidden="1"/>
    <cellStyle name="Followed Hyperlink" xfId="5775" builtinId="9" hidden="1"/>
    <cellStyle name="Followed Hyperlink" xfId="5777" builtinId="9" hidden="1"/>
    <cellStyle name="Followed Hyperlink" xfId="5779" builtinId="9" hidden="1"/>
    <cellStyle name="Followed Hyperlink" xfId="5781" builtinId="9" hidden="1"/>
    <cellStyle name="Followed Hyperlink" xfId="5783" builtinId="9" hidden="1"/>
    <cellStyle name="Followed Hyperlink" xfId="5785" builtinId="9" hidden="1"/>
    <cellStyle name="Followed Hyperlink" xfId="5787" builtinId="9" hidden="1"/>
    <cellStyle name="Followed Hyperlink" xfId="5789" builtinId="9" hidden="1"/>
    <cellStyle name="Followed Hyperlink" xfId="5791" builtinId="9" hidden="1"/>
    <cellStyle name="Followed Hyperlink" xfId="5793" builtinId="9" hidden="1"/>
    <cellStyle name="Followed Hyperlink" xfId="5795" builtinId="9" hidden="1"/>
    <cellStyle name="Followed Hyperlink" xfId="5797" builtinId="9" hidden="1"/>
    <cellStyle name="Followed Hyperlink" xfId="5799" builtinId="9" hidden="1"/>
    <cellStyle name="Followed Hyperlink" xfId="5801" builtinId="9" hidden="1"/>
    <cellStyle name="Followed Hyperlink" xfId="5803" builtinId="9" hidden="1"/>
    <cellStyle name="Followed Hyperlink" xfId="5805" builtinId="9" hidden="1"/>
    <cellStyle name="Followed Hyperlink" xfId="5807" builtinId="9" hidden="1"/>
    <cellStyle name="Followed Hyperlink" xfId="5809" builtinId="9" hidden="1"/>
    <cellStyle name="Followed Hyperlink" xfId="5811" builtinId="9" hidden="1"/>
    <cellStyle name="Followed Hyperlink" xfId="5813" builtinId="9" hidden="1"/>
    <cellStyle name="Followed Hyperlink" xfId="5815" builtinId="9" hidden="1"/>
    <cellStyle name="Followed Hyperlink" xfId="5817" builtinId="9" hidden="1"/>
    <cellStyle name="Followed Hyperlink" xfId="5819" builtinId="9" hidden="1"/>
    <cellStyle name="Followed Hyperlink" xfId="5821" builtinId="9" hidden="1"/>
    <cellStyle name="Followed Hyperlink" xfId="5823" builtinId="9" hidden="1"/>
    <cellStyle name="Followed Hyperlink" xfId="5825" builtinId="9" hidden="1"/>
    <cellStyle name="Followed Hyperlink" xfId="5827" builtinId="9" hidden="1"/>
    <cellStyle name="Followed Hyperlink" xfId="5829" builtinId="9" hidden="1"/>
    <cellStyle name="Followed Hyperlink" xfId="5831" builtinId="9" hidden="1"/>
    <cellStyle name="Followed Hyperlink" xfId="5833" builtinId="9" hidden="1"/>
    <cellStyle name="Followed Hyperlink" xfId="5835" builtinId="9" hidden="1"/>
    <cellStyle name="Followed Hyperlink" xfId="5837" builtinId="9" hidden="1"/>
    <cellStyle name="Followed Hyperlink" xfId="5839" builtinId="9" hidden="1"/>
    <cellStyle name="Followed Hyperlink" xfId="5841" builtinId="9" hidden="1"/>
    <cellStyle name="Followed Hyperlink" xfId="5843" builtinId="9" hidden="1"/>
    <cellStyle name="Followed Hyperlink" xfId="5845" builtinId="9" hidden="1"/>
    <cellStyle name="Followed Hyperlink" xfId="5847" builtinId="9" hidden="1"/>
    <cellStyle name="Followed Hyperlink" xfId="5849" builtinId="9" hidden="1"/>
    <cellStyle name="Followed Hyperlink" xfId="5851" builtinId="9" hidden="1"/>
    <cellStyle name="Followed Hyperlink" xfId="5853" builtinId="9" hidden="1"/>
    <cellStyle name="Followed Hyperlink" xfId="5855" builtinId="9" hidden="1"/>
    <cellStyle name="Followed Hyperlink" xfId="5857" builtinId="9" hidden="1"/>
    <cellStyle name="Followed Hyperlink" xfId="5859" builtinId="9" hidden="1"/>
    <cellStyle name="Followed Hyperlink" xfId="5861" builtinId="9" hidden="1"/>
    <cellStyle name="Followed Hyperlink" xfId="5863" builtinId="9" hidden="1"/>
    <cellStyle name="Followed Hyperlink" xfId="5865" builtinId="9" hidden="1"/>
    <cellStyle name="Followed Hyperlink" xfId="5867" builtinId="9" hidden="1"/>
    <cellStyle name="Followed Hyperlink" xfId="5869" builtinId="9" hidden="1"/>
    <cellStyle name="Followed Hyperlink" xfId="5871" builtinId="9" hidden="1"/>
    <cellStyle name="Followed Hyperlink" xfId="5873" builtinId="9" hidden="1"/>
    <cellStyle name="Followed Hyperlink" xfId="5875" builtinId="9" hidden="1"/>
    <cellStyle name="Followed Hyperlink" xfId="5877" builtinId="9" hidden="1"/>
    <cellStyle name="Followed Hyperlink" xfId="5879" builtinId="9" hidden="1"/>
    <cellStyle name="Followed Hyperlink" xfId="5881" builtinId="9" hidden="1"/>
    <cellStyle name="Followed Hyperlink" xfId="5883" builtinId="9" hidden="1"/>
    <cellStyle name="Followed Hyperlink" xfId="5885" builtinId="9" hidden="1"/>
    <cellStyle name="Followed Hyperlink" xfId="5887" builtinId="9" hidden="1"/>
    <cellStyle name="Followed Hyperlink" xfId="5889" builtinId="9" hidden="1"/>
    <cellStyle name="Followed Hyperlink" xfId="5891" builtinId="9" hidden="1"/>
    <cellStyle name="Followed Hyperlink" xfId="5893" builtinId="9" hidden="1"/>
    <cellStyle name="Followed Hyperlink" xfId="5895" builtinId="9" hidden="1"/>
    <cellStyle name="Followed Hyperlink" xfId="5897" builtinId="9" hidden="1"/>
    <cellStyle name="Followed Hyperlink" xfId="5899" builtinId="9" hidden="1"/>
    <cellStyle name="Followed Hyperlink" xfId="5901" builtinId="9" hidden="1"/>
    <cellStyle name="Followed Hyperlink" xfId="5903" builtinId="9" hidden="1"/>
    <cellStyle name="Followed Hyperlink" xfId="5905" builtinId="9" hidden="1"/>
    <cellStyle name="Followed Hyperlink" xfId="5907" builtinId="9" hidden="1"/>
    <cellStyle name="Followed Hyperlink" xfId="5909" builtinId="9" hidden="1"/>
    <cellStyle name="Followed Hyperlink" xfId="5911" builtinId="9" hidden="1"/>
    <cellStyle name="Followed Hyperlink" xfId="5913" builtinId="9" hidden="1"/>
    <cellStyle name="Followed Hyperlink" xfId="5915" builtinId="9" hidden="1"/>
    <cellStyle name="Followed Hyperlink" xfId="5917" builtinId="9" hidden="1"/>
    <cellStyle name="Followed Hyperlink" xfId="5919" builtinId="9" hidden="1"/>
    <cellStyle name="Followed Hyperlink" xfId="5921" builtinId="9" hidden="1"/>
    <cellStyle name="Followed Hyperlink" xfId="5923" builtinId="9" hidden="1"/>
    <cellStyle name="Followed Hyperlink" xfId="5925" builtinId="9" hidden="1"/>
    <cellStyle name="Followed Hyperlink" xfId="5927" builtinId="9" hidden="1"/>
    <cellStyle name="Followed Hyperlink" xfId="5929" builtinId="9" hidden="1"/>
    <cellStyle name="Followed Hyperlink" xfId="5931" builtinId="9" hidden="1"/>
    <cellStyle name="Followed Hyperlink" xfId="5933" builtinId="9" hidden="1"/>
    <cellStyle name="Followed Hyperlink" xfId="5935" builtinId="9" hidden="1"/>
    <cellStyle name="Followed Hyperlink" xfId="5937" builtinId="9" hidden="1"/>
    <cellStyle name="Followed Hyperlink" xfId="5939" builtinId="9" hidden="1"/>
    <cellStyle name="Followed Hyperlink" xfId="5941" builtinId="9" hidden="1"/>
    <cellStyle name="Followed Hyperlink" xfId="5943" builtinId="9" hidden="1"/>
    <cellStyle name="Followed Hyperlink" xfId="5945" builtinId="9" hidden="1"/>
    <cellStyle name="Followed Hyperlink" xfId="5947" builtinId="9" hidden="1"/>
    <cellStyle name="Followed Hyperlink" xfId="5949" builtinId="9" hidden="1"/>
    <cellStyle name="Followed Hyperlink" xfId="5951" builtinId="9" hidden="1"/>
    <cellStyle name="Followed Hyperlink" xfId="5953" builtinId="9" hidden="1"/>
    <cellStyle name="Followed Hyperlink" xfId="5955" builtinId="9" hidden="1"/>
    <cellStyle name="Followed Hyperlink" xfId="5957" builtinId="9" hidden="1"/>
    <cellStyle name="Followed Hyperlink" xfId="5959" builtinId="9" hidden="1"/>
    <cellStyle name="Followed Hyperlink" xfId="5961" builtinId="9" hidden="1"/>
    <cellStyle name="Followed Hyperlink" xfId="5963" builtinId="9" hidden="1"/>
    <cellStyle name="Followed Hyperlink" xfId="5965" builtinId="9" hidden="1"/>
    <cellStyle name="Followed Hyperlink" xfId="5967" builtinId="9" hidden="1"/>
    <cellStyle name="Followed Hyperlink" xfId="5969" builtinId="9" hidden="1"/>
    <cellStyle name="Followed Hyperlink" xfId="5971" builtinId="9" hidden="1"/>
    <cellStyle name="Followed Hyperlink" xfId="5973" builtinId="9" hidden="1"/>
    <cellStyle name="Followed Hyperlink" xfId="5975" builtinId="9" hidden="1"/>
    <cellStyle name="Followed Hyperlink" xfId="5977" builtinId="9" hidden="1"/>
    <cellStyle name="Followed Hyperlink" xfId="5979" builtinId="9" hidden="1"/>
    <cellStyle name="Followed Hyperlink" xfId="5981" builtinId="9" hidden="1"/>
    <cellStyle name="Followed Hyperlink" xfId="5983" builtinId="9" hidden="1"/>
    <cellStyle name="Followed Hyperlink" xfId="5985" builtinId="9" hidden="1"/>
    <cellStyle name="Followed Hyperlink" xfId="5987" builtinId="9" hidden="1"/>
    <cellStyle name="Followed Hyperlink" xfId="5989" builtinId="9" hidden="1"/>
    <cellStyle name="Followed Hyperlink" xfId="5991" builtinId="9" hidden="1"/>
    <cellStyle name="Followed Hyperlink" xfId="5993" builtinId="9" hidden="1"/>
    <cellStyle name="Followed Hyperlink" xfId="5995" builtinId="9" hidden="1"/>
    <cellStyle name="Followed Hyperlink" xfId="5997" builtinId="9" hidden="1"/>
    <cellStyle name="Followed Hyperlink" xfId="5999" builtinId="9" hidden="1"/>
    <cellStyle name="Followed Hyperlink" xfId="6001" builtinId="9" hidden="1"/>
    <cellStyle name="Followed Hyperlink" xfId="6003" builtinId="9" hidden="1"/>
    <cellStyle name="Followed Hyperlink" xfId="6005" builtinId="9" hidden="1"/>
    <cellStyle name="Followed Hyperlink" xfId="6007" builtinId="9" hidden="1"/>
    <cellStyle name="Followed Hyperlink" xfId="6009" builtinId="9" hidden="1"/>
    <cellStyle name="Followed Hyperlink" xfId="6011" builtinId="9" hidden="1"/>
    <cellStyle name="Followed Hyperlink" xfId="6013" builtinId="9" hidden="1"/>
    <cellStyle name="Followed Hyperlink" xfId="6015" builtinId="9" hidden="1"/>
    <cellStyle name="Followed Hyperlink" xfId="6017" builtinId="9" hidden="1"/>
    <cellStyle name="Followed Hyperlink" xfId="6019" builtinId="9" hidden="1"/>
    <cellStyle name="Followed Hyperlink" xfId="6021" builtinId="9" hidden="1"/>
    <cellStyle name="Followed Hyperlink" xfId="6023" builtinId="9" hidden="1"/>
    <cellStyle name="Followed Hyperlink" xfId="6025" builtinId="9" hidden="1"/>
    <cellStyle name="Followed Hyperlink" xfId="6027" builtinId="9" hidden="1"/>
    <cellStyle name="Followed Hyperlink" xfId="6029" builtinId="9" hidden="1"/>
    <cellStyle name="Followed Hyperlink" xfId="6031" builtinId="9" hidden="1"/>
    <cellStyle name="Followed Hyperlink" xfId="6033" builtinId="9" hidden="1"/>
    <cellStyle name="Followed Hyperlink" xfId="6035" builtinId="9" hidden="1"/>
    <cellStyle name="Followed Hyperlink" xfId="6037" builtinId="9" hidden="1"/>
    <cellStyle name="Followed Hyperlink" xfId="6039" builtinId="9" hidden="1"/>
    <cellStyle name="Followed Hyperlink" xfId="6041" builtinId="9" hidden="1"/>
    <cellStyle name="Followed Hyperlink" xfId="6043" builtinId="9" hidden="1"/>
    <cellStyle name="Followed Hyperlink" xfId="6045" builtinId="9" hidden="1"/>
    <cellStyle name="Followed Hyperlink" xfId="6047" builtinId="9" hidden="1"/>
    <cellStyle name="Followed Hyperlink" xfId="6049" builtinId="9" hidden="1"/>
    <cellStyle name="Followed Hyperlink" xfId="6051" builtinId="9" hidden="1"/>
    <cellStyle name="Followed Hyperlink" xfId="6053" builtinId="9" hidden="1"/>
    <cellStyle name="Followed Hyperlink" xfId="6055" builtinId="9" hidden="1"/>
    <cellStyle name="Followed Hyperlink" xfId="6057" builtinId="9" hidden="1"/>
    <cellStyle name="Followed Hyperlink" xfId="6059" builtinId="9" hidden="1"/>
    <cellStyle name="Followed Hyperlink" xfId="6061" builtinId="9" hidden="1"/>
    <cellStyle name="Followed Hyperlink" xfId="6063" builtinId="9" hidden="1"/>
    <cellStyle name="Followed Hyperlink" xfId="6065" builtinId="9" hidden="1"/>
    <cellStyle name="Followed Hyperlink" xfId="6067" builtinId="9" hidden="1"/>
    <cellStyle name="Followed Hyperlink" xfId="6069" builtinId="9" hidden="1"/>
    <cellStyle name="Followed Hyperlink" xfId="6071" builtinId="9" hidden="1"/>
    <cellStyle name="Followed Hyperlink" xfId="6073" builtinId="9" hidden="1"/>
    <cellStyle name="Followed Hyperlink" xfId="6075" builtinId="9" hidden="1"/>
    <cellStyle name="Followed Hyperlink" xfId="6077" builtinId="9" hidden="1"/>
    <cellStyle name="Followed Hyperlink" xfId="6079" builtinId="9" hidden="1"/>
    <cellStyle name="Followed Hyperlink" xfId="6081" builtinId="9" hidden="1"/>
    <cellStyle name="Followed Hyperlink" xfId="6083" builtinId="9" hidden="1"/>
    <cellStyle name="Followed Hyperlink" xfId="6085" builtinId="9" hidden="1"/>
    <cellStyle name="Followed Hyperlink" xfId="6086" builtinId="9" hidden="1"/>
    <cellStyle name="Followed Hyperlink" xfId="6087" builtinId="9" hidden="1"/>
    <cellStyle name="Followed Hyperlink" xfId="6088" builtinId="9" hidden="1"/>
    <cellStyle name="Followed Hyperlink" xfId="6089" builtinId="9" hidden="1"/>
    <cellStyle name="Followed Hyperlink" xfId="6090" builtinId="9" hidden="1"/>
    <cellStyle name="Followed Hyperlink" xfId="6091" builtinId="9" hidden="1"/>
    <cellStyle name="Followed Hyperlink" xfId="6092" builtinId="9" hidden="1"/>
    <cellStyle name="Followed Hyperlink" xfId="6093" builtinId="9" hidden="1"/>
    <cellStyle name="Followed Hyperlink" xfId="6094" builtinId="9" hidden="1"/>
    <cellStyle name="Followed Hyperlink" xfId="6095" builtinId="9" hidden="1"/>
    <cellStyle name="Followed Hyperlink" xfId="6096" builtinId="9" hidden="1"/>
    <cellStyle name="Followed Hyperlink" xfId="6097" builtinId="9" hidden="1"/>
    <cellStyle name="Followed Hyperlink" xfId="6098" builtinId="9" hidden="1"/>
    <cellStyle name="Followed Hyperlink" xfId="6099" builtinId="9" hidden="1"/>
    <cellStyle name="Followed Hyperlink" xfId="6100" builtinId="9" hidden="1"/>
    <cellStyle name="Followed Hyperlink" xfId="6101" builtinId="9" hidden="1"/>
    <cellStyle name="Followed Hyperlink" xfId="6102" builtinId="9" hidden="1"/>
    <cellStyle name="Followed Hyperlink" xfId="6103" builtinId="9" hidden="1"/>
    <cellStyle name="Followed Hyperlink" xfId="6104" builtinId="9" hidden="1"/>
    <cellStyle name="Followed Hyperlink" xfId="6105" builtinId="9" hidden="1"/>
    <cellStyle name="Followed Hyperlink" xfId="6106" builtinId="9" hidden="1"/>
    <cellStyle name="Followed Hyperlink" xfId="6107" builtinId="9" hidden="1"/>
    <cellStyle name="Followed Hyperlink" xfId="6108" builtinId="9" hidden="1"/>
    <cellStyle name="Followed Hyperlink" xfId="6109" builtinId="9" hidden="1"/>
    <cellStyle name="Followed Hyperlink" xfId="6110" builtinId="9" hidden="1"/>
    <cellStyle name="Followed Hyperlink" xfId="6111" builtinId="9" hidden="1"/>
    <cellStyle name="Followed Hyperlink" xfId="6112" builtinId="9" hidden="1"/>
    <cellStyle name="Followed Hyperlink" xfId="6113" builtinId="9" hidden="1"/>
    <cellStyle name="Followed Hyperlink" xfId="6114" builtinId="9" hidden="1"/>
    <cellStyle name="Followed Hyperlink" xfId="6115" builtinId="9" hidden="1"/>
    <cellStyle name="Followed Hyperlink" xfId="6116" builtinId="9" hidden="1"/>
    <cellStyle name="Followed Hyperlink" xfId="6117" builtinId="9" hidden="1"/>
    <cellStyle name="Followed Hyperlink" xfId="6118" builtinId="9" hidden="1"/>
    <cellStyle name="Followed Hyperlink" xfId="6119" builtinId="9" hidden="1"/>
    <cellStyle name="Followed Hyperlink" xfId="6120" builtinId="9" hidden="1"/>
    <cellStyle name="Followed Hyperlink" xfId="6121" builtinId="9" hidden="1"/>
    <cellStyle name="Followed Hyperlink" xfId="6122" builtinId="9" hidden="1"/>
    <cellStyle name="Followed Hyperlink" xfId="6123" builtinId="9" hidden="1"/>
    <cellStyle name="Followed Hyperlink" xfId="6124" builtinId="9" hidden="1"/>
    <cellStyle name="Followed Hyperlink" xfId="6125" builtinId="9" hidden="1"/>
    <cellStyle name="Followed Hyperlink" xfId="6126" builtinId="9" hidden="1"/>
    <cellStyle name="Followed Hyperlink" xfId="6127" builtinId="9" hidden="1"/>
    <cellStyle name="Followed Hyperlink" xfId="6128" builtinId="9" hidden="1"/>
    <cellStyle name="Followed Hyperlink" xfId="6129" builtinId="9" hidden="1"/>
    <cellStyle name="Followed Hyperlink" xfId="6130" builtinId="9" hidden="1"/>
    <cellStyle name="Followed Hyperlink" xfId="6131" builtinId="9" hidden="1"/>
    <cellStyle name="Followed Hyperlink" xfId="6132" builtinId="9" hidden="1"/>
    <cellStyle name="Followed Hyperlink" xfId="6133" builtinId="9" hidden="1"/>
    <cellStyle name="Followed Hyperlink" xfId="6134" builtinId="9" hidden="1"/>
    <cellStyle name="Followed Hyperlink" xfId="6135" builtinId="9" hidden="1"/>
    <cellStyle name="Followed Hyperlink" xfId="6136" builtinId="9" hidden="1"/>
    <cellStyle name="Followed Hyperlink" xfId="6137" builtinId="9" hidden="1"/>
    <cellStyle name="Followed Hyperlink" xfId="6138" builtinId="9" hidden="1"/>
    <cellStyle name="Followed Hyperlink" xfId="6139" builtinId="9" hidden="1"/>
    <cellStyle name="Followed Hyperlink" xfId="6140" builtinId="9" hidden="1"/>
    <cellStyle name="Followed Hyperlink" xfId="6141" builtinId="9" hidden="1"/>
    <cellStyle name="Followed Hyperlink" xfId="6142" builtinId="9" hidden="1"/>
    <cellStyle name="Followed Hyperlink" xfId="6143" builtinId="9" hidden="1"/>
    <cellStyle name="Followed Hyperlink" xfId="6144" builtinId="9" hidden="1"/>
    <cellStyle name="Followed Hyperlink" xfId="6145" builtinId="9" hidden="1"/>
    <cellStyle name="Followed Hyperlink" xfId="6146" builtinId="9" hidden="1"/>
    <cellStyle name="Followed Hyperlink" xfId="6147" builtinId="9" hidden="1"/>
    <cellStyle name="Followed Hyperlink" xfId="6148" builtinId="9" hidden="1"/>
    <cellStyle name="Followed Hyperlink" xfId="6149" builtinId="9" hidden="1"/>
    <cellStyle name="Followed Hyperlink" xfId="6150" builtinId="9" hidden="1"/>
    <cellStyle name="Followed Hyperlink" xfId="6151" builtinId="9" hidden="1"/>
    <cellStyle name="Followed Hyperlink" xfId="6152" builtinId="9" hidden="1"/>
    <cellStyle name="Followed Hyperlink" xfId="6153" builtinId="9" hidden="1"/>
    <cellStyle name="Followed Hyperlink" xfId="6154" builtinId="9" hidden="1"/>
    <cellStyle name="Followed Hyperlink" xfId="6155" builtinId="9" hidden="1"/>
    <cellStyle name="Followed Hyperlink" xfId="6156" builtinId="9" hidden="1"/>
    <cellStyle name="Followed Hyperlink" xfId="6157" builtinId="9" hidden="1"/>
    <cellStyle name="Followed Hyperlink" xfId="6158" builtinId="9" hidden="1"/>
    <cellStyle name="Followed Hyperlink" xfId="6159" builtinId="9" hidden="1"/>
    <cellStyle name="Followed Hyperlink" xfId="6160" builtinId="9" hidden="1"/>
    <cellStyle name="Followed Hyperlink" xfId="6161" builtinId="9" hidden="1"/>
    <cellStyle name="Followed Hyperlink" xfId="6162" builtinId="9" hidden="1"/>
    <cellStyle name="Followed Hyperlink" xfId="6163" builtinId="9" hidden="1"/>
    <cellStyle name="Followed Hyperlink" xfId="6164" builtinId="9" hidden="1"/>
    <cellStyle name="Followed Hyperlink" xfId="6165" builtinId="9" hidden="1"/>
    <cellStyle name="Followed Hyperlink" xfId="6166" builtinId="9" hidden="1"/>
    <cellStyle name="Followed Hyperlink" xfId="6167" builtinId="9" hidden="1"/>
    <cellStyle name="Followed Hyperlink" xfId="6168" builtinId="9" hidden="1"/>
    <cellStyle name="Followed Hyperlink" xfId="6169" builtinId="9" hidden="1"/>
    <cellStyle name="Followed Hyperlink" xfId="6170" builtinId="9" hidden="1"/>
    <cellStyle name="Followed Hyperlink" xfId="6171" builtinId="9" hidden="1"/>
    <cellStyle name="Followed Hyperlink" xfId="6172" builtinId="9" hidden="1"/>
    <cellStyle name="Followed Hyperlink" xfId="6173" builtinId="9" hidden="1"/>
    <cellStyle name="Followed Hyperlink" xfId="6174" builtinId="9" hidden="1"/>
    <cellStyle name="Followed Hyperlink" xfId="6175" builtinId="9" hidden="1"/>
    <cellStyle name="Followed Hyperlink" xfId="6176" builtinId="9" hidden="1"/>
    <cellStyle name="Followed Hyperlink" xfId="6177" builtinId="9" hidden="1"/>
    <cellStyle name="Followed Hyperlink" xfId="6178" builtinId="9" hidden="1"/>
    <cellStyle name="Followed Hyperlink" xfId="6179" builtinId="9" hidden="1"/>
    <cellStyle name="Followed Hyperlink" xfId="6180" builtinId="9" hidden="1"/>
    <cellStyle name="Followed Hyperlink" xfId="6181" builtinId="9" hidden="1"/>
    <cellStyle name="Followed Hyperlink" xfId="6182" builtinId="9" hidden="1"/>
    <cellStyle name="Followed Hyperlink" xfId="6183" builtinId="9" hidden="1"/>
    <cellStyle name="Followed Hyperlink" xfId="6184" builtinId="9" hidden="1"/>
    <cellStyle name="Followed Hyperlink" xfId="6185" builtinId="9" hidden="1"/>
    <cellStyle name="Followed Hyperlink" xfId="6186" builtinId="9" hidden="1"/>
    <cellStyle name="Followed Hyperlink" xfId="6187" builtinId="9" hidden="1"/>
    <cellStyle name="Followed Hyperlink" xfId="6188" builtinId="9" hidden="1"/>
    <cellStyle name="Followed Hyperlink" xfId="6189" builtinId="9" hidden="1"/>
    <cellStyle name="Followed Hyperlink" xfId="6190" builtinId="9" hidden="1"/>
    <cellStyle name="Followed Hyperlink" xfId="6191" builtinId="9" hidden="1"/>
    <cellStyle name="Followed Hyperlink" xfId="6192" builtinId="9" hidden="1"/>
    <cellStyle name="Followed Hyperlink" xfId="6193" builtinId="9" hidden="1"/>
    <cellStyle name="Followed Hyperlink" xfId="6194" builtinId="9" hidden="1"/>
    <cellStyle name="Followed Hyperlink" xfId="6195" builtinId="9" hidden="1"/>
    <cellStyle name="Followed Hyperlink" xfId="6196" builtinId="9" hidden="1"/>
    <cellStyle name="Followed Hyperlink" xfId="6197" builtinId="9" hidden="1"/>
    <cellStyle name="Followed Hyperlink" xfId="6198" builtinId="9" hidden="1"/>
    <cellStyle name="Followed Hyperlink" xfId="6199" builtinId="9" hidden="1"/>
    <cellStyle name="Followed Hyperlink" xfId="6200" builtinId="9" hidden="1"/>
    <cellStyle name="Followed Hyperlink" xfId="6201" builtinId="9" hidden="1"/>
    <cellStyle name="Followed Hyperlink" xfId="6202" builtinId="9" hidden="1"/>
    <cellStyle name="Followed Hyperlink" xfId="6203" builtinId="9" hidden="1"/>
    <cellStyle name="Followed Hyperlink" xfId="6204" builtinId="9" hidden="1"/>
    <cellStyle name="Followed Hyperlink" xfId="6205" builtinId="9" hidden="1"/>
    <cellStyle name="Followed Hyperlink" xfId="6206" builtinId="9" hidden="1"/>
    <cellStyle name="Followed Hyperlink" xfId="6207" builtinId="9" hidden="1"/>
    <cellStyle name="Followed Hyperlink" xfId="6208" builtinId="9" hidden="1"/>
    <cellStyle name="Followed Hyperlink" xfId="6209" builtinId="9" hidden="1"/>
    <cellStyle name="Followed Hyperlink" xfId="6210" builtinId="9" hidden="1"/>
    <cellStyle name="Followed Hyperlink" xfId="6211" builtinId="9" hidden="1"/>
    <cellStyle name="Followed Hyperlink" xfId="6212" builtinId="9" hidden="1"/>
    <cellStyle name="Followed Hyperlink" xfId="6213" builtinId="9" hidden="1"/>
    <cellStyle name="Followed Hyperlink" xfId="6214" builtinId="9" hidden="1"/>
    <cellStyle name="Followed Hyperlink" xfId="6215" builtinId="9" hidden="1"/>
    <cellStyle name="Followed Hyperlink" xfId="6216" builtinId="9" hidden="1"/>
    <cellStyle name="Followed Hyperlink" xfId="6217" builtinId="9" hidden="1"/>
    <cellStyle name="Followed Hyperlink" xfId="6218" builtinId="9" hidden="1"/>
    <cellStyle name="Followed Hyperlink" xfId="6219" builtinId="9" hidden="1"/>
    <cellStyle name="Followed Hyperlink" xfId="6220" builtinId="9" hidden="1"/>
    <cellStyle name="Followed Hyperlink" xfId="6221" builtinId="9" hidden="1"/>
    <cellStyle name="Followed Hyperlink" xfId="6222" builtinId="9" hidden="1"/>
    <cellStyle name="Followed Hyperlink" xfId="6223" builtinId="9" hidden="1"/>
    <cellStyle name="Followed Hyperlink" xfId="6224" builtinId="9" hidden="1"/>
    <cellStyle name="Followed Hyperlink" xfId="6225" builtinId="9" hidden="1"/>
    <cellStyle name="Followed Hyperlink" xfId="6226" builtinId="9" hidden="1"/>
    <cellStyle name="Followed Hyperlink" xfId="6227" builtinId="9" hidden="1"/>
    <cellStyle name="Followed Hyperlink" xfId="6228" builtinId="9" hidden="1"/>
    <cellStyle name="Followed Hyperlink" xfId="6229" builtinId="9" hidden="1"/>
    <cellStyle name="Followed Hyperlink" xfId="6230" builtinId="9" hidden="1"/>
    <cellStyle name="Followed Hyperlink" xfId="6231" builtinId="9" hidden="1"/>
    <cellStyle name="Followed Hyperlink" xfId="6232" builtinId="9" hidden="1"/>
    <cellStyle name="Followed Hyperlink" xfId="6233" builtinId="9" hidden="1"/>
    <cellStyle name="Followed Hyperlink" xfId="6234" builtinId="9" hidden="1"/>
    <cellStyle name="Followed Hyperlink" xfId="6235" builtinId="9" hidden="1"/>
    <cellStyle name="Followed Hyperlink" xfId="6236" builtinId="9" hidden="1"/>
    <cellStyle name="Followed Hyperlink" xfId="6237" builtinId="9" hidden="1"/>
    <cellStyle name="Followed Hyperlink" xfId="6238" builtinId="9" hidden="1"/>
    <cellStyle name="Followed Hyperlink" xfId="6239" builtinId="9" hidden="1"/>
    <cellStyle name="Followed Hyperlink" xfId="6240" builtinId="9" hidden="1"/>
    <cellStyle name="Followed Hyperlink" xfId="6241" builtinId="9" hidden="1"/>
    <cellStyle name="Followed Hyperlink" xfId="6242" builtinId="9" hidden="1"/>
    <cellStyle name="Followed Hyperlink" xfId="6243" builtinId="9" hidden="1"/>
    <cellStyle name="Followed Hyperlink" xfId="6244" builtinId="9" hidden="1"/>
    <cellStyle name="Followed Hyperlink" xfId="6245" builtinId="9" hidden="1"/>
    <cellStyle name="Followed Hyperlink" xfId="6246" builtinId="9" hidden="1"/>
    <cellStyle name="Followed Hyperlink" xfId="6247" builtinId="9" hidden="1"/>
    <cellStyle name="Followed Hyperlink" xfId="6248" builtinId="9" hidden="1"/>
    <cellStyle name="Followed Hyperlink" xfId="6249" builtinId="9" hidden="1"/>
    <cellStyle name="Followed Hyperlink" xfId="6250" builtinId="9" hidden="1"/>
    <cellStyle name="Followed Hyperlink" xfId="6251" builtinId="9" hidden="1"/>
    <cellStyle name="Followed Hyperlink" xfId="6252" builtinId="9" hidden="1"/>
    <cellStyle name="Followed Hyperlink" xfId="6253" builtinId="9" hidden="1"/>
    <cellStyle name="Followed Hyperlink" xfId="6254" builtinId="9" hidden="1"/>
    <cellStyle name="Followed Hyperlink" xfId="6255" builtinId="9" hidden="1"/>
    <cellStyle name="Followed Hyperlink" xfId="6256" builtinId="9" hidden="1"/>
    <cellStyle name="Followed Hyperlink" xfId="6257" builtinId="9" hidden="1"/>
    <cellStyle name="Followed Hyperlink" xfId="6258" builtinId="9" hidden="1"/>
    <cellStyle name="Followed Hyperlink" xfId="6259" builtinId="9" hidden="1"/>
    <cellStyle name="Followed Hyperlink" xfId="6260" builtinId="9" hidden="1"/>
    <cellStyle name="Followed Hyperlink" xfId="6261" builtinId="9" hidden="1"/>
    <cellStyle name="Followed Hyperlink" xfId="6262" builtinId="9" hidden="1"/>
    <cellStyle name="Followed Hyperlink" xfId="6263" builtinId="9" hidden="1"/>
    <cellStyle name="Followed Hyperlink" xfId="6264" builtinId="9" hidden="1"/>
    <cellStyle name="Followed Hyperlink" xfId="6265" builtinId="9" hidden="1"/>
    <cellStyle name="Followed Hyperlink" xfId="6266" builtinId="9" hidden="1"/>
    <cellStyle name="Followed Hyperlink" xfId="6267" builtinId="9" hidden="1"/>
    <cellStyle name="Followed Hyperlink" xfId="6268" builtinId="9" hidden="1"/>
    <cellStyle name="Followed Hyperlink" xfId="6269" builtinId="9" hidden="1"/>
    <cellStyle name="Followed Hyperlink" xfId="6270" builtinId="9" hidden="1"/>
    <cellStyle name="Followed Hyperlink" xfId="6271" builtinId="9" hidden="1"/>
    <cellStyle name="Followed Hyperlink" xfId="6272" builtinId="9" hidden="1"/>
    <cellStyle name="Followed Hyperlink" xfId="6273" builtinId="9" hidden="1"/>
    <cellStyle name="Followed Hyperlink" xfId="6274" builtinId="9" hidden="1"/>
    <cellStyle name="Followed Hyperlink" xfId="6275" builtinId="9" hidden="1"/>
    <cellStyle name="Followed Hyperlink" xfId="6276" builtinId="9" hidden="1"/>
    <cellStyle name="Followed Hyperlink" xfId="6277" builtinId="9" hidden="1"/>
    <cellStyle name="Followed Hyperlink" xfId="6278" builtinId="9" hidden="1"/>
    <cellStyle name="Followed Hyperlink" xfId="6279" builtinId="9" hidden="1"/>
    <cellStyle name="Followed Hyperlink" xfId="6280" builtinId="9" hidden="1"/>
    <cellStyle name="Followed Hyperlink" xfId="6281" builtinId="9" hidden="1"/>
    <cellStyle name="Followed Hyperlink" xfId="6282" builtinId="9" hidden="1"/>
    <cellStyle name="Followed Hyperlink" xfId="6283" builtinId="9" hidden="1"/>
    <cellStyle name="Followed Hyperlink" xfId="6284" builtinId="9" hidden="1"/>
    <cellStyle name="Followed Hyperlink" xfId="6285" builtinId="9" hidden="1"/>
    <cellStyle name="Followed Hyperlink" xfId="6286" builtinId="9" hidden="1"/>
    <cellStyle name="Followed Hyperlink" xfId="6287" builtinId="9" hidden="1"/>
    <cellStyle name="Followed Hyperlink" xfId="6288" builtinId="9" hidden="1"/>
    <cellStyle name="Followed Hyperlink" xfId="6289" builtinId="9" hidden="1"/>
    <cellStyle name="Followed Hyperlink" xfId="6290" builtinId="9" hidden="1"/>
    <cellStyle name="Followed Hyperlink" xfId="6291" builtinId="9" hidden="1"/>
    <cellStyle name="Followed Hyperlink" xfId="6292" builtinId="9" hidden="1"/>
    <cellStyle name="Followed Hyperlink" xfId="6293" builtinId="9" hidden="1"/>
    <cellStyle name="Followed Hyperlink" xfId="6294" builtinId="9" hidden="1"/>
    <cellStyle name="Followed Hyperlink" xfId="6295" builtinId="9" hidden="1"/>
    <cellStyle name="Followed Hyperlink" xfId="6296" builtinId="9" hidden="1"/>
    <cellStyle name="Followed Hyperlink" xfId="6297" builtinId="9" hidden="1"/>
    <cellStyle name="Followed Hyperlink" xfId="6298" builtinId="9" hidden="1"/>
    <cellStyle name="Followed Hyperlink" xfId="6299" builtinId="9" hidden="1"/>
    <cellStyle name="Followed Hyperlink" xfId="6300" builtinId="9" hidden="1"/>
    <cellStyle name="Followed Hyperlink" xfId="6301" builtinId="9" hidden="1"/>
    <cellStyle name="Followed Hyperlink" xfId="6302" builtinId="9" hidden="1"/>
    <cellStyle name="Followed Hyperlink" xfId="6303" builtinId="9" hidden="1"/>
    <cellStyle name="Followed Hyperlink" xfId="6304" builtinId="9" hidden="1"/>
    <cellStyle name="Followed Hyperlink" xfId="6305" builtinId="9" hidden="1"/>
    <cellStyle name="Followed Hyperlink" xfId="6306" builtinId="9" hidden="1"/>
    <cellStyle name="Followed Hyperlink" xfId="6307" builtinId="9" hidden="1"/>
    <cellStyle name="Followed Hyperlink" xfId="6308" builtinId="9" hidden="1"/>
    <cellStyle name="Followed Hyperlink" xfId="6309" builtinId="9" hidden="1"/>
    <cellStyle name="Followed Hyperlink" xfId="6310" builtinId="9" hidden="1"/>
    <cellStyle name="Followed Hyperlink" xfId="6311" builtinId="9" hidden="1"/>
    <cellStyle name="Followed Hyperlink" xfId="6312" builtinId="9" hidden="1"/>
    <cellStyle name="Followed Hyperlink" xfId="6313" builtinId="9" hidden="1"/>
    <cellStyle name="Followed Hyperlink" xfId="6314" builtinId="9" hidden="1"/>
    <cellStyle name="Followed Hyperlink" xfId="6315" builtinId="9" hidden="1"/>
    <cellStyle name="Followed Hyperlink" xfId="6316" builtinId="9" hidden="1"/>
    <cellStyle name="Followed Hyperlink" xfId="6317" builtinId="9" hidden="1"/>
    <cellStyle name="Followed Hyperlink" xfId="6318" builtinId="9" hidden="1"/>
    <cellStyle name="Followed Hyperlink" xfId="6319" builtinId="9" hidden="1"/>
    <cellStyle name="Followed Hyperlink" xfId="6320" builtinId="9" hidden="1"/>
    <cellStyle name="Followed Hyperlink" xfId="6321" builtinId="9" hidden="1"/>
    <cellStyle name="Followed Hyperlink" xfId="6322" builtinId="9" hidden="1"/>
    <cellStyle name="Followed Hyperlink" xfId="6323" builtinId="9" hidden="1"/>
    <cellStyle name="Followed Hyperlink" xfId="6324" builtinId="9" hidden="1"/>
    <cellStyle name="Followed Hyperlink" xfId="6325" builtinId="9" hidden="1"/>
    <cellStyle name="Followed Hyperlink" xfId="6326" builtinId="9" hidden="1"/>
    <cellStyle name="Followed Hyperlink" xfId="6327" builtinId="9" hidden="1"/>
    <cellStyle name="Followed Hyperlink" xfId="6328" builtinId="9" hidden="1"/>
    <cellStyle name="Followed Hyperlink" xfId="6329" builtinId="9" hidden="1"/>
    <cellStyle name="Followed Hyperlink" xfId="6330" builtinId="9" hidden="1"/>
    <cellStyle name="Followed Hyperlink" xfId="6331" builtinId="9" hidden="1"/>
    <cellStyle name="Followed Hyperlink" xfId="6332" builtinId="9" hidden="1"/>
    <cellStyle name="Followed Hyperlink" xfId="6333" builtinId="9" hidden="1"/>
    <cellStyle name="Followed Hyperlink" xfId="6334" builtinId="9" hidden="1"/>
    <cellStyle name="Followed Hyperlink" xfId="6335" builtinId="9" hidden="1"/>
    <cellStyle name="Followed Hyperlink" xfId="6336" builtinId="9" hidden="1"/>
    <cellStyle name="Followed Hyperlink" xfId="6337" builtinId="9" hidden="1"/>
    <cellStyle name="Followed Hyperlink" xfId="6338" builtinId="9" hidden="1"/>
    <cellStyle name="Followed Hyperlink" xfId="6339" builtinId="9" hidden="1"/>
    <cellStyle name="Followed Hyperlink" xfId="6340" builtinId="9" hidden="1"/>
    <cellStyle name="Followed Hyperlink" xfId="6341" builtinId="9" hidden="1"/>
    <cellStyle name="Followed Hyperlink" xfId="6342" builtinId="9" hidden="1"/>
    <cellStyle name="Followed Hyperlink" xfId="6343" builtinId="9" hidden="1"/>
    <cellStyle name="Followed Hyperlink" xfId="6344" builtinId="9" hidden="1"/>
    <cellStyle name="Followed Hyperlink" xfId="6345" builtinId="9" hidden="1"/>
    <cellStyle name="Followed Hyperlink" xfId="6346" builtinId="9" hidden="1"/>
    <cellStyle name="Followed Hyperlink" xfId="6347" builtinId="9" hidden="1"/>
    <cellStyle name="Followed Hyperlink" xfId="6348" builtinId="9" hidden="1"/>
    <cellStyle name="Followed Hyperlink" xfId="6349" builtinId="9" hidden="1"/>
    <cellStyle name="Followed Hyperlink" xfId="6350" builtinId="9" hidden="1"/>
    <cellStyle name="Followed Hyperlink" xfId="6351" builtinId="9" hidden="1"/>
    <cellStyle name="Followed Hyperlink" xfId="6352" builtinId="9" hidden="1"/>
    <cellStyle name="Followed Hyperlink" xfId="6353" builtinId="9" hidden="1"/>
    <cellStyle name="Followed Hyperlink" xfId="6354" builtinId="9" hidden="1"/>
    <cellStyle name="Followed Hyperlink" xfId="6355" builtinId="9" hidden="1"/>
    <cellStyle name="Followed Hyperlink" xfId="6356" builtinId="9" hidden="1"/>
    <cellStyle name="Followed Hyperlink" xfId="6357" builtinId="9" hidden="1"/>
    <cellStyle name="Followed Hyperlink" xfId="6358" builtinId="9" hidden="1"/>
    <cellStyle name="Followed Hyperlink" xfId="6359" builtinId="9" hidden="1"/>
    <cellStyle name="Followed Hyperlink" xfId="6360" builtinId="9" hidden="1"/>
    <cellStyle name="Followed Hyperlink" xfId="6361" builtinId="9" hidden="1"/>
    <cellStyle name="Followed Hyperlink" xfId="6362" builtinId="9" hidden="1"/>
    <cellStyle name="Followed Hyperlink" xfId="6363" builtinId="9" hidden="1"/>
    <cellStyle name="Followed Hyperlink" xfId="6364" builtinId="9" hidden="1"/>
    <cellStyle name="Followed Hyperlink" xfId="6365" builtinId="9" hidden="1"/>
    <cellStyle name="Followed Hyperlink" xfId="6366" builtinId="9" hidden="1"/>
    <cellStyle name="Followed Hyperlink" xfId="6367" builtinId="9" hidden="1"/>
    <cellStyle name="Followed Hyperlink" xfId="6368" builtinId="9" hidden="1"/>
    <cellStyle name="Followed Hyperlink" xfId="6369" builtinId="9" hidden="1"/>
    <cellStyle name="Followed Hyperlink" xfId="6370" builtinId="9" hidden="1"/>
    <cellStyle name="Followed Hyperlink" xfId="6371" builtinId="9" hidden="1"/>
    <cellStyle name="Followed Hyperlink" xfId="6372" builtinId="9" hidden="1"/>
    <cellStyle name="Followed Hyperlink" xfId="6373" builtinId="9" hidden="1"/>
    <cellStyle name="Followed Hyperlink" xfId="6374" builtinId="9" hidden="1"/>
    <cellStyle name="Followed Hyperlink" xfId="6375" builtinId="9" hidden="1"/>
    <cellStyle name="Followed Hyperlink" xfId="6376" builtinId="9" hidden="1"/>
    <cellStyle name="Followed Hyperlink" xfId="6377" builtinId="9" hidden="1"/>
    <cellStyle name="Followed Hyperlink" xfId="6378" builtinId="9" hidden="1"/>
    <cellStyle name="Followed Hyperlink" xfId="6379" builtinId="9" hidden="1"/>
    <cellStyle name="Followed Hyperlink" xfId="6380" builtinId="9" hidden="1"/>
    <cellStyle name="Followed Hyperlink" xfId="6381" builtinId="9" hidden="1"/>
    <cellStyle name="Followed Hyperlink" xfId="6382" builtinId="9" hidden="1"/>
    <cellStyle name="Followed Hyperlink" xfId="6383" builtinId="9" hidden="1"/>
    <cellStyle name="Followed Hyperlink" xfId="6384" builtinId="9" hidden="1"/>
    <cellStyle name="Followed Hyperlink" xfId="6385" builtinId="9" hidden="1"/>
    <cellStyle name="Followed Hyperlink" xfId="6386" builtinId="9" hidden="1"/>
    <cellStyle name="Followed Hyperlink" xfId="6387" builtinId="9" hidden="1"/>
    <cellStyle name="Followed Hyperlink" xfId="6388" builtinId="9" hidden="1"/>
    <cellStyle name="Followed Hyperlink" xfId="6389" builtinId="9" hidden="1"/>
    <cellStyle name="Followed Hyperlink" xfId="6390" builtinId="9" hidden="1"/>
    <cellStyle name="Followed Hyperlink" xfId="6391" builtinId="9" hidden="1"/>
    <cellStyle name="Followed Hyperlink" xfId="6392" builtinId="9" hidden="1"/>
    <cellStyle name="Followed Hyperlink" xfId="6393" builtinId="9" hidden="1"/>
    <cellStyle name="Followed Hyperlink" xfId="6394" builtinId="9" hidden="1"/>
    <cellStyle name="Followed Hyperlink" xfId="6395" builtinId="9" hidden="1"/>
    <cellStyle name="Followed Hyperlink" xfId="6396" builtinId="9" hidden="1"/>
    <cellStyle name="Followed Hyperlink" xfId="6397" builtinId="9" hidden="1"/>
    <cellStyle name="Followed Hyperlink" xfId="6398" builtinId="9" hidden="1"/>
    <cellStyle name="Followed Hyperlink" xfId="6399" builtinId="9" hidden="1"/>
    <cellStyle name="Followed Hyperlink" xfId="6400" builtinId="9" hidden="1"/>
    <cellStyle name="Followed Hyperlink" xfId="6401" builtinId="9" hidden="1"/>
    <cellStyle name="Followed Hyperlink" xfId="6402" builtinId="9" hidden="1"/>
    <cellStyle name="Followed Hyperlink" xfId="6403" builtinId="9" hidden="1"/>
    <cellStyle name="Followed Hyperlink" xfId="6404" builtinId="9" hidden="1"/>
    <cellStyle name="Followed Hyperlink" xfId="6405" builtinId="9" hidden="1"/>
    <cellStyle name="Followed Hyperlink" xfId="6406" builtinId="9" hidden="1"/>
    <cellStyle name="Followed Hyperlink" xfId="6407" builtinId="9" hidden="1"/>
    <cellStyle name="Followed Hyperlink" xfId="6408" builtinId="9" hidden="1"/>
    <cellStyle name="Followed Hyperlink" xfId="6409" builtinId="9" hidden="1"/>
    <cellStyle name="Followed Hyperlink" xfId="6410" builtinId="9" hidden="1"/>
    <cellStyle name="Followed Hyperlink" xfId="6411" builtinId="9" hidden="1"/>
    <cellStyle name="Followed Hyperlink" xfId="6412" builtinId="9" hidden="1"/>
    <cellStyle name="Followed Hyperlink" xfId="6413" builtinId="9" hidden="1"/>
    <cellStyle name="Followed Hyperlink" xfId="6414" builtinId="9" hidden="1"/>
    <cellStyle name="Followed Hyperlink" xfId="6415" builtinId="9" hidden="1"/>
    <cellStyle name="Followed Hyperlink" xfId="6416" builtinId="9" hidden="1"/>
    <cellStyle name="Followed Hyperlink" xfId="6417" builtinId="9" hidden="1"/>
    <cellStyle name="Followed Hyperlink" xfId="6418" builtinId="9" hidden="1"/>
    <cellStyle name="Followed Hyperlink" xfId="6419" builtinId="9" hidden="1"/>
    <cellStyle name="Followed Hyperlink" xfId="6420" builtinId="9" hidden="1"/>
    <cellStyle name="Followed Hyperlink" xfId="6421" builtinId="9" hidden="1"/>
    <cellStyle name="Followed Hyperlink" xfId="6422" builtinId="9" hidden="1"/>
    <cellStyle name="Followed Hyperlink" xfId="6423" builtinId="9" hidden="1"/>
    <cellStyle name="Followed Hyperlink" xfId="6424" builtinId="9" hidden="1"/>
    <cellStyle name="Followed Hyperlink" xfId="6425" builtinId="9" hidden="1"/>
    <cellStyle name="Followed Hyperlink" xfId="6426" builtinId="9" hidden="1"/>
    <cellStyle name="Followed Hyperlink" xfId="6427" builtinId="9" hidden="1"/>
    <cellStyle name="Followed Hyperlink" xfId="6428" builtinId="9" hidden="1"/>
    <cellStyle name="Followed Hyperlink" xfId="6429" builtinId="9" hidden="1"/>
    <cellStyle name="Followed Hyperlink" xfId="6430" builtinId="9" hidden="1"/>
    <cellStyle name="Followed Hyperlink" xfId="6431" builtinId="9" hidden="1"/>
    <cellStyle name="Followed Hyperlink" xfId="6432" builtinId="9" hidden="1"/>
    <cellStyle name="Followed Hyperlink" xfId="6433" builtinId="9" hidden="1"/>
    <cellStyle name="Followed Hyperlink" xfId="6434" builtinId="9" hidden="1"/>
    <cellStyle name="Followed Hyperlink" xfId="6435" builtinId="9" hidden="1"/>
    <cellStyle name="Followed Hyperlink" xfId="6436" builtinId="9" hidden="1"/>
    <cellStyle name="Followed Hyperlink" xfId="6437" builtinId="9" hidden="1"/>
    <cellStyle name="Followed Hyperlink" xfId="6438" builtinId="9" hidden="1"/>
    <cellStyle name="Followed Hyperlink" xfId="6439" builtinId="9" hidden="1"/>
    <cellStyle name="Followed Hyperlink" xfId="6440" builtinId="9" hidden="1"/>
    <cellStyle name="Followed Hyperlink" xfId="6441" builtinId="9" hidden="1"/>
    <cellStyle name="Followed Hyperlink" xfId="6442" builtinId="9" hidden="1"/>
    <cellStyle name="Followed Hyperlink" xfId="6443" builtinId="9" hidden="1"/>
    <cellStyle name="Followed Hyperlink" xfId="6444" builtinId="9" hidden="1"/>
    <cellStyle name="Followed Hyperlink" xfId="6445" builtinId="9" hidden="1"/>
    <cellStyle name="Followed Hyperlink" xfId="6446" builtinId="9" hidden="1"/>
    <cellStyle name="Followed Hyperlink" xfId="6447" builtinId="9" hidden="1"/>
    <cellStyle name="Followed Hyperlink" xfId="6448" builtinId="9" hidden="1"/>
    <cellStyle name="Followed Hyperlink" xfId="6449" builtinId="9" hidden="1"/>
    <cellStyle name="Followed Hyperlink" xfId="6450" builtinId="9" hidden="1"/>
    <cellStyle name="Followed Hyperlink" xfId="6451" builtinId="9" hidden="1"/>
    <cellStyle name="Followed Hyperlink" xfId="6452" builtinId="9" hidden="1"/>
    <cellStyle name="Followed Hyperlink" xfId="6453" builtinId="9" hidden="1"/>
    <cellStyle name="Followed Hyperlink" xfId="6454" builtinId="9" hidden="1"/>
    <cellStyle name="Followed Hyperlink" xfId="6455" builtinId="9" hidden="1"/>
    <cellStyle name="Followed Hyperlink" xfId="6456" builtinId="9" hidden="1"/>
    <cellStyle name="Followed Hyperlink" xfId="6457" builtinId="9" hidden="1"/>
    <cellStyle name="Followed Hyperlink" xfId="6458" builtinId="9" hidden="1"/>
    <cellStyle name="Followed Hyperlink" xfId="6459" builtinId="9" hidden="1"/>
    <cellStyle name="Followed Hyperlink" xfId="6460" builtinId="9" hidden="1"/>
    <cellStyle name="Followed Hyperlink" xfId="6461" builtinId="9" hidden="1"/>
    <cellStyle name="Followed Hyperlink" xfId="6462" builtinId="9" hidden="1"/>
    <cellStyle name="Followed Hyperlink" xfId="6463" builtinId="9" hidden="1"/>
    <cellStyle name="Followed Hyperlink" xfId="6464" builtinId="9" hidden="1"/>
    <cellStyle name="Followed Hyperlink" xfId="6465" builtinId="9" hidden="1"/>
    <cellStyle name="Followed Hyperlink" xfId="6466" builtinId="9" hidden="1"/>
    <cellStyle name="Followed Hyperlink" xfId="6467" builtinId="9" hidden="1"/>
    <cellStyle name="Followed Hyperlink" xfId="6468" builtinId="9" hidden="1"/>
    <cellStyle name="Followed Hyperlink" xfId="6469" builtinId="9" hidden="1"/>
    <cellStyle name="Followed Hyperlink" xfId="6470" builtinId="9" hidden="1"/>
    <cellStyle name="Followed Hyperlink" xfId="6471" builtinId="9" hidden="1"/>
    <cellStyle name="Followed Hyperlink" xfId="6472" builtinId="9" hidden="1"/>
    <cellStyle name="Followed Hyperlink" xfId="6473" builtinId="9" hidden="1"/>
    <cellStyle name="Followed Hyperlink" xfId="6474" builtinId="9" hidden="1"/>
    <cellStyle name="Followed Hyperlink" xfId="6475" builtinId="9" hidden="1"/>
    <cellStyle name="Followed Hyperlink" xfId="6476" builtinId="9" hidden="1"/>
    <cellStyle name="Followed Hyperlink" xfId="6477" builtinId="9" hidden="1"/>
    <cellStyle name="Followed Hyperlink" xfId="6478" builtinId="9" hidden="1"/>
    <cellStyle name="Followed Hyperlink" xfId="6479" builtinId="9" hidden="1"/>
    <cellStyle name="Followed Hyperlink" xfId="6480" builtinId="9" hidden="1"/>
    <cellStyle name="Followed Hyperlink" xfId="6481" builtinId="9" hidden="1"/>
    <cellStyle name="Followed Hyperlink" xfId="6482" builtinId="9" hidden="1"/>
    <cellStyle name="Followed Hyperlink" xfId="6483" builtinId="9" hidden="1"/>
    <cellStyle name="Followed Hyperlink" xfId="6484" builtinId="9" hidden="1"/>
    <cellStyle name="Followed Hyperlink" xfId="6485" builtinId="9" hidden="1"/>
    <cellStyle name="Followed Hyperlink" xfId="6486" builtinId="9" hidden="1"/>
    <cellStyle name="Followed Hyperlink" xfId="6487" builtinId="9" hidden="1"/>
    <cellStyle name="Followed Hyperlink" xfId="6488" builtinId="9" hidden="1"/>
    <cellStyle name="Followed Hyperlink" xfId="6489" builtinId="9" hidden="1"/>
    <cellStyle name="Followed Hyperlink" xfId="6490" builtinId="9" hidden="1"/>
    <cellStyle name="Followed Hyperlink" xfId="6491" builtinId="9" hidden="1"/>
    <cellStyle name="Followed Hyperlink" xfId="6492" builtinId="9" hidden="1"/>
    <cellStyle name="Followed Hyperlink" xfId="6493" builtinId="9" hidden="1"/>
    <cellStyle name="Followed Hyperlink" xfId="6494" builtinId="9" hidden="1"/>
    <cellStyle name="Followed Hyperlink" xfId="6495" builtinId="9" hidden="1"/>
    <cellStyle name="Followed Hyperlink" xfId="6496" builtinId="9" hidden="1"/>
    <cellStyle name="Followed Hyperlink" xfId="6497" builtinId="9" hidden="1"/>
    <cellStyle name="Followed Hyperlink" xfId="6498" builtinId="9" hidden="1"/>
    <cellStyle name="Followed Hyperlink" xfId="6499" builtinId="9" hidden="1"/>
    <cellStyle name="Followed Hyperlink" xfId="6500" builtinId="9" hidden="1"/>
    <cellStyle name="Followed Hyperlink" xfId="6501" builtinId="9" hidden="1"/>
    <cellStyle name="Followed Hyperlink" xfId="6502" builtinId="9" hidden="1"/>
    <cellStyle name="Followed Hyperlink" xfId="6503" builtinId="9" hidden="1"/>
    <cellStyle name="Followed Hyperlink" xfId="6504" builtinId="9" hidden="1"/>
    <cellStyle name="Followed Hyperlink" xfId="6505" builtinId="9" hidden="1"/>
    <cellStyle name="Followed Hyperlink" xfId="6506" builtinId="9" hidden="1"/>
    <cellStyle name="Followed Hyperlink" xfId="6507" builtinId="9" hidden="1"/>
    <cellStyle name="Followed Hyperlink" xfId="6508" builtinId="9" hidden="1"/>
    <cellStyle name="Followed Hyperlink" xfId="6509" builtinId="9" hidden="1"/>
    <cellStyle name="Followed Hyperlink" xfId="6510" builtinId="9" hidden="1"/>
    <cellStyle name="Followed Hyperlink" xfId="6511" builtinId="9" hidden="1"/>
    <cellStyle name="Followed Hyperlink" xfId="6512" builtinId="9" hidden="1"/>
    <cellStyle name="Followed Hyperlink" xfId="6513" builtinId="9" hidden="1"/>
    <cellStyle name="Followed Hyperlink" xfId="6514" builtinId="9" hidden="1"/>
    <cellStyle name="Followed Hyperlink" xfId="6515" builtinId="9" hidden="1"/>
    <cellStyle name="Followed Hyperlink" xfId="6516" builtinId="9" hidden="1"/>
    <cellStyle name="Followed Hyperlink" xfId="6517" builtinId="9" hidden="1"/>
    <cellStyle name="Followed Hyperlink" xfId="6518" builtinId="9" hidden="1"/>
    <cellStyle name="Followed Hyperlink" xfId="6519" builtinId="9" hidden="1"/>
    <cellStyle name="Followed Hyperlink" xfId="6520" builtinId="9" hidden="1"/>
    <cellStyle name="Followed Hyperlink" xfId="6521" builtinId="9" hidden="1"/>
    <cellStyle name="Followed Hyperlink" xfId="6522" builtinId="9" hidden="1"/>
    <cellStyle name="Followed Hyperlink" xfId="6523" builtinId="9" hidden="1"/>
    <cellStyle name="Followed Hyperlink" xfId="6524" builtinId="9" hidden="1"/>
    <cellStyle name="Followed Hyperlink" xfId="6525" builtinId="9" hidden="1"/>
    <cellStyle name="Followed Hyperlink" xfId="6526" builtinId="9" hidden="1"/>
    <cellStyle name="Followed Hyperlink" xfId="6527" builtinId="9" hidden="1"/>
    <cellStyle name="Followed Hyperlink" xfId="6528" builtinId="9" hidden="1"/>
    <cellStyle name="Followed Hyperlink" xfId="6529" builtinId="9" hidden="1"/>
    <cellStyle name="Followed Hyperlink" xfId="6530" builtinId="9" hidden="1"/>
    <cellStyle name="Followed Hyperlink" xfId="6531" builtinId="9" hidden="1"/>
    <cellStyle name="Followed Hyperlink" xfId="6532" builtinId="9" hidden="1"/>
    <cellStyle name="Followed Hyperlink" xfId="6533" builtinId="9" hidden="1"/>
    <cellStyle name="Followed Hyperlink" xfId="6534" builtinId="9" hidden="1"/>
    <cellStyle name="Followed Hyperlink" xfId="6535" builtinId="9" hidden="1"/>
    <cellStyle name="Followed Hyperlink" xfId="6536" builtinId="9" hidden="1"/>
    <cellStyle name="Followed Hyperlink" xfId="6537" builtinId="9" hidden="1"/>
    <cellStyle name="Followed Hyperlink" xfId="6538" builtinId="9" hidden="1"/>
    <cellStyle name="Followed Hyperlink" xfId="6539" builtinId="9" hidden="1"/>
    <cellStyle name="Followed Hyperlink" xfId="6540" builtinId="9" hidden="1"/>
    <cellStyle name="Followed Hyperlink" xfId="6541" builtinId="9" hidden="1"/>
    <cellStyle name="Followed Hyperlink" xfId="6542" builtinId="9" hidden="1"/>
    <cellStyle name="Followed Hyperlink" xfId="6543" builtinId="9" hidden="1"/>
    <cellStyle name="Followed Hyperlink" xfId="6544" builtinId="9" hidden="1"/>
    <cellStyle name="Followed Hyperlink" xfId="6545" builtinId="9" hidden="1"/>
    <cellStyle name="Followed Hyperlink" xfId="6546" builtinId="9" hidden="1"/>
    <cellStyle name="Followed Hyperlink" xfId="6547" builtinId="9" hidden="1"/>
    <cellStyle name="Followed Hyperlink" xfId="6548" builtinId="9" hidden="1"/>
    <cellStyle name="Followed Hyperlink" xfId="6549" builtinId="9" hidden="1"/>
    <cellStyle name="Followed Hyperlink" xfId="6550" builtinId="9" hidden="1"/>
    <cellStyle name="Followed Hyperlink" xfId="6551" builtinId="9" hidden="1"/>
    <cellStyle name="Followed Hyperlink" xfId="6552" builtinId="9" hidden="1"/>
    <cellStyle name="Followed Hyperlink" xfId="6553" builtinId="9" hidden="1"/>
    <cellStyle name="Followed Hyperlink" xfId="6554" builtinId="9" hidden="1"/>
    <cellStyle name="Followed Hyperlink" xfId="6555" builtinId="9" hidden="1"/>
    <cellStyle name="Followed Hyperlink" xfId="6556" builtinId="9" hidden="1"/>
    <cellStyle name="Followed Hyperlink" xfId="6557" builtinId="9" hidden="1"/>
    <cellStyle name="Followed Hyperlink" xfId="6558" builtinId="9" hidden="1"/>
    <cellStyle name="Followed Hyperlink" xfId="6559" builtinId="9" hidden="1"/>
    <cellStyle name="Followed Hyperlink" xfId="6560" builtinId="9" hidden="1"/>
    <cellStyle name="Followed Hyperlink" xfId="6561" builtinId="9" hidden="1"/>
    <cellStyle name="Followed Hyperlink" xfId="6562" builtinId="9" hidden="1"/>
    <cellStyle name="Followed Hyperlink" xfId="6563" builtinId="9" hidden="1"/>
    <cellStyle name="Followed Hyperlink" xfId="6564" builtinId="9" hidden="1"/>
    <cellStyle name="Followed Hyperlink" xfId="6565" builtinId="9" hidden="1"/>
    <cellStyle name="Followed Hyperlink" xfId="6566" builtinId="9" hidden="1"/>
    <cellStyle name="Followed Hyperlink" xfId="6567" builtinId="9" hidden="1"/>
    <cellStyle name="Followed Hyperlink" xfId="6568" builtinId="9" hidden="1"/>
    <cellStyle name="Followed Hyperlink" xfId="6569" builtinId="9" hidden="1"/>
    <cellStyle name="Followed Hyperlink" xfId="6570" builtinId="9" hidden="1"/>
    <cellStyle name="Followed Hyperlink" xfId="6571" builtinId="9" hidden="1"/>
    <cellStyle name="Followed Hyperlink" xfId="6572" builtinId="9" hidden="1"/>
    <cellStyle name="Followed Hyperlink" xfId="6573" builtinId="9" hidden="1"/>
    <cellStyle name="Followed Hyperlink" xfId="6574" builtinId="9" hidden="1"/>
    <cellStyle name="Followed Hyperlink" xfId="6575" builtinId="9" hidden="1"/>
    <cellStyle name="Followed Hyperlink" xfId="6576" builtinId="9" hidden="1"/>
    <cellStyle name="Followed Hyperlink" xfId="6577" builtinId="9" hidden="1"/>
    <cellStyle name="Followed Hyperlink" xfId="6578" builtinId="9" hidden="1"/>
    <cellStyle name="Followed Hyperlink" xfId="6579" builtinId="9" hidden="1"/>
    <cellStyle name="Followed Hyperlink" xfId="6580" builtinId="9" hidden="1"/>
    <cellStyle name="Followed Hyperlink" xfId="6581" builtinId="9" hidden="1"/>
    <cellStyle name="Followed Hyperlink" xfId="6582" builtinId="9" hidden="1"/>
    <cellStyle name="Followed Hyperlink" xfId="6583" builtinId="9" hidden="1"/>
    <cellStyle name="Followed Hyperlink" xfId="6584" builtinId="9" hidden="1"/>
    <cellStyle name="Followed Hyperlink" xfId="6585" builtinId="9" hidden="1"/>
    <cellStyle name="Followed Hyperlink" xfId="6586" builtinId="9" hidden="1"/>
    <cellStyle name="Followed Hyperlink" xfId="6587" builtinId="9" hidden="1"/>
    <cellStyle name="Followed Hyperlink" xfId="6588" builtinId="9" hidden="1"/>
    <cellStyle name="Followed Hyperlink" xfId="6589" builtinId="9" hidden="1"/>
    <cellStyle name="Followed Hyperlink" xfId="6590" builtinId="9" hidden="1"/>
    <cellStyle name="Followed Hyperlink" xfId="6591" builtinId="9" hidden="1"/>
    <cellStyle name="Followed Hyperlink" xfId="6592" builtinId="9" hidden="1"/>
    <cellStyle name="Followed Hyperlink" xfId="6593" builtinId="9" hidden="1"/>
    <cellStyle name="Followed Hyperlink" xfId="6594" builtinId="9" hidden="1"/>
    <cellStyle name="Followed Hyperlink" xfId="6595" builtinId="9" hidden="1"/>
    <cellStyle name="Followed Hyperlink" xfId="6596" builtinId="9" hidden="1"/>
    <cellStyle name="Followed Hyperlink" xfId="6597" builtinId="9" hidden="1"/>
    <cellStyle name="Followed Hyperlink" xfId="6598" builtinId="9" hidden="1"/>
    <cellStyle name="Followed Hyperlink" xfId="6599" builtinId="9" hidden="1"/>
    <cellStyle name="Followed Hyperlink" xfId="6600" builtinId="9" hidden="1"/>
    <cellStyle name="Followed Hyperlink" xfId="6601" builtinId="9" hidden="1"/>
    <cellStyle name="Followed Hyperlink" xfId="6602" builtinId="9" hidden="1"/>
    <cellStyle name="Followed Hyperlink" xfId="6603" builtinId="9" hidden="1"/>
    <cellStyle name="Followed Hyperlink" xfId="6604" builtinId="9" hidden="1"/>
    <cellStyle name="Followed Hyperlink" xfId="6605" builtinId="9" hidden="1"/>
    <cellStyle name="Followed Hyperlink" xfId="6606" builtinId="9" hidden="1"/>
    <cellStyle name="Followed Hyperlink" xfId="6607" builtinId="9" hidden="1"/>
    <cellStyle name="Followed Hyperlink" xfId="6608" builtinId="9" hidden="1"/>
    <cellStyle name="Followed Hyperlink" xfId="6609" builtinId="9" hidden="1"/>
    <cellStyle name="Followed Hyperlink" xfId="6610" builtinId="9" hidden="1"/>
    <cellStyle name="Followed Hyperlink" xfId="6611" builtinId="9" hidden="1"/>
    <cellStyle name="Followed Hyperlink" xfId="6612" builtinId="9" hidden="1"/>
    <cellStyle name="Followed Hyperlink" xfId="6613" builtinId="9" hidden="1"/>
    <cellStyle name="Followed Hyperlink" xfId="6614" builtinId="9" hidden="1"/>
    <cellStyle name="Followed Hyperlink" xfId="6615" builtinId="9" hidden="1"/>
    <cellStyle name="Followed Hyperlink" xfId="6616" builtinId="9" hidden="1"/>
    <cellStyle name="Followed Hyperlink" xfId="6617" builtinId="9" hidden="1"/>
    <cellStyle name="Followed Hyperlink" xfId="6618" builtinId="9" hidden="1"/>
    <cellStyle name="Followed Hyperlink" xfId="6619" builtinId="9" hidden="1"/>
    <cellStyle name="Followed Hyperlink" xfId="6620" builtinId="9" hidden="1"/>
    <cellStyle name="Followed Hyperlink" xfId="6621" builtinId="9" hidden="1"/>
    <cellStyle name="Followed Hyperlink" xfId="6622" builtinId="9" hidden="1"/>
    <cellStyle name="Followed Hyperlink" xfId="6623" builtinId="9" hidden="1"/>
    <cellStyle name="Followed Hyperlink" xfId="6624" builtinId="9" hidden="1"/>
    <cellStyle name="Followed Hyperlink" xfId="6625" builtinId="9" hidden="1"/>
    <cellStyle name="Followed Hyperlink" xfId="6626" builtinId="9" hidden="1"/>
    <cellStyle name="Followed Hyperlink" xfId="6627" builtinId="9" hidden="1"/>
    <cellStyle name="Followed Hyperlink" xfId="6628" builtinId="9" hidden="1"/>
    <cellStyle name="Followed Hyperlink" xfId="6629" builtinId="9" hidden="1"/>
    <cellStyle name="Followed Hyperlink" xfId="6630" builtinId="9" hidden="1"/>
    <cellStyle name="Followed Hyperlink" xfId="6631" builtinId="9" hidden="1"/>
    <cellStyle name="Followed Hyperlink" xfId="6632" builtinId="9" hidden="1"/>
    <cellStyle name="Followed Hyperlink" xfId="6633" builtinId="9" hidden="1"/>
    <cellStyle name="Followed Hyperlink" xfId="6634" builtinId="9" hidden="1"/>
    <cellStyle name="Followed Hyperlink" xfId="6635" builtinId="9" hidden="1"/>
    <cellStyle name="Followed Hyperlink" xfId="6636" builtinId="9" hidden="1"/>
    <cellStyle name="Followed Hyperlink" xfId="6637" builtinId="9" hidden="1"/>
    <cellStyle name="Followed Hyperlink" xfId="6638" builtinId="9" hidden="1"/>
    <cellStyle name="Followed Hyperlink" xfId="6639" builtinId="9" hidden="1"/>
    <cellStyle name="Followed Hyperlink" xfId="6640" builtinId="9" hidden="1"/>
    <cellStyle name="Followed Hyperlink" xfId="6641" builtinId="9" hidden="1"/>
    <cellStyle name="Followed Hyperlink" xfId="6642" builtinId="9" hidden="1"/>
    <cellStyle name="Followed Hyperlink" xfId="6643" builtinId="9" hidden="1"/>
    <cellStyle name="Followed Hyperlink" xfId="6644" builtinId="9" hidden="1"/>
    <cellStyle name="Followed Hyperlink" xfId="6645" builtinId="9" hidden="1"/>
    <cellStyle name="Followed Hyperlink" xfId="6646" builtinId="9" hidden="1"/>
    <cellStyle name="Followed Hyperlink" xfId="6647" builtinId="9" hidden="1"/>
    <cellStyle name="Followed Hyperlink" xfId="6648" builtinId="9" hidden="1"/>
    <cellStyle name="Followed Hyperlink" xfId="6649" builtinId="9" hidden="1"/>
    <cellStyle name="Followed Hyperlink" xfId="6650" builtinId="9" hidden="1"/>
    <cellStyle name="Followed Hyperlink" xfId="6651" builtinId="9" hidden="1"/>
    <cellStyle name="Followed Hyperlink" xfId="6652" builtinId="9" hidden="1"/>
    <cellStyle name="Followed Hyperlink" xfId="6653" builtinId="9" hidden="1"/>
    <cellStyle name="Followed Hyperlink" xfId="6654" builtinId="9" hidden="1"/>
    <cellStyle name="Followed Hyperlink" xfId="6655" builtinId="9" hidden="1"/>
    <cellStyle name="Followed Hyperlink" xfId="6656" builtinId="9" hidden="1"/>
    <cellStyle name="Followed Hyperlink" xfId="6657" builtinId="9" hidden="1"/>
    <cellStyle name="Followed Hyperlink" xfId="6658" builtinId="9" hidden="1"/>
    <cellStyle name="Followed Hyperlink" xfId="6659" builtinId="9" hidden="1"/>
    <cellStyle name="Followed Hyperlink" xfId="6660" builtinId="9" hidden="1"/>
    <cellStyle name="Followed Hyperlink" xfId="6661" builtinId="9" hidden="1"/>
    <cellStyle name="Followed Hyperlink" xfId="6662" builtinId="9" hidden="1"/>
    <cellStyle name="Followed Hyperlink" xfId="6663" builtinId="9" hidden="1"/>
    <cellStyle name="Followed Hyperlink" xfId="6664" builtinId="9" hidden="1"/>
    <cellStyle name="Followed Hyperlink" xfId="6665" builtinId="9" hidden="1"/>
    <cellStyle name="Followed Hyperlink" xfId="6666" builtinId="9" hidden="1"/>
    <cellStyle name="Followed Hyperlink" xfId="6667" builtinId="9" hidden="1"/>
    <cellStyle name="Followed Hyperlink" xfId="6668" builtinId="9" hidden="1"/>
    <cellStyle name="Followed Hyperlink" xfId="6669" builtinId="9" hidden="1"/>
    <cellStyle name="Followed Hyperlink" xfId="6670" builtinId="9" hidden="1"/>
    <cellStyle name="Followed Hyperlink" xfId="6671" builtinId="9" hidden="1"/>
    <cellStyle name="Followed Hyperlink" xfId="6672" builtinId="9" hidden="1"/>
    <cellStyle name="Followed Hyperlink" xfId="6673" builtinId="9" hidden="1"/>
    <cellStyle name="Followed Hyperlink" xfId="6674" builtinId="9" hidden="1"/>
    <cellStyle name="Followed Hyperlink" xfId="6675" builtinId="9" hidden="1"/>
    <cellStyle name="Followed Hyperlink" xfId="6676" builtinId="9" hidden="1"/>
    <cellStyle name="Followed Hyperlink" xfId="6677" builtinId="9" hidden="1"/>
    <cellStyle name="Followed Hyperlink" xfId="6678" builtinId="9" hidden="1"/>
    <cellStyle name="Followed Hyperlink" xfId="6679" builtinId="9" hidden="1"/>
    <cellStyle name="Followed Hyperlink" xfId="6680" builtinId="9" hidden="1"/>
    <cellStyle name="Followed Hyperlink" xfId="6681" builtinId="9" hidden="1"/>
    <cellStyle name="Followed Hyperlink" xfId="6682" builtinId="9" hidden="1"/>
    <cellStyle name="Followed Hyperlink" xfId="6683" builtinId="9" hidden="1"/>
    <cellStyle name="Followed Hyperlink" xfId="6684" builtinId="9" hidden="1"/>
    <cellStyle name="Followed Hyperlink" xfId="6685" builtinId="9" hidden="1"/>
    <cellStyle name="Followed Hyperlink" xfId="6686" builtinId="9" hidden="1"/>
    <cellStyle name="Followed Hyperlink" xfId="6687" builtinId="9" hidden="1"/>
    <cellStyle name="Followed Hyperlink" xfId="6688" builtinId="9" hidden="1"/>
    <cellStyle name="Followed Hyperlink" xfId="6689" builtinId="9" hidden="1"/>
    <cellStyle name="Followed Hyperlink" xfId="6690" builtinId="9" hidden="1"/>
    <cellStyle name="Followed Hyperlink" xfId="6691" builtinId="9" hidden="1"/>
    <cellStyle name="Followed Hyperlink" xfId="6692" builtinId="9" hidden="1"/>
    <cellStyle name="Followed Hyperlink" xfId="6693" builtinId="9" hidden="1"/>
    <cellStyle name="Followed Hyperlink" xfId="6694" builtinId="9" hidden="1"/>
    <cellStyle name="Followed Hyperlink" xfId="6695" builtinId="9" hidden="1"/>
    <cellStyle name="Followed Hyperlink" xfId="6696" builtinId="9" hidden="1"/>
    <cellStyle name="Followed Hyperlink" xfId="6697" builtinId="9" hidden="1"/>
    <cellStyle name="Followed Hyperlink" xfId="6698" builtinId="9" hidden="1"/>
    <cellStyle name="Followed Hyperlink" xfId="6699" builtinId="9" hidden="1"/>
    <cellStyle name="Followed Hyperlink" xfId="6700" builtinId="9" hidden="1"/>
    <cellStyle name="Followed Hyperlink" xfId="6701" builtinId="9" hidden="1"/>
    <cellStyle name="Followed Hyperlink" xfId="6702" builtinId="9" hidden="1"/>
    <cellStyle name="Followed Hyperlink" xfId="6703" builtinId="9" hidden="1"/>
    <cellStyle name="Followed Hyperlink" xfId="6704" builtinId="9" hidden="1"/>
    <cellStyle name="Followed Hyperlink" xfId="6705" builtinId="9" hidden="1"/>
    <cellStyle name="Followed Hyperlink" xfId="6706" builtinId="9" hidden="1"/>
    <cellStyle name="Followed Hyperlink" xfId="6707" builtinId="9" hidden="1"/>
    <cellStyle name="Followed Hyperlink" xfId="6708" builtinId="9" hidden="1"/>
    <cellStyle name="Followed Hyperlink" xfId="6709" builtinId="9" hidden="1"/>
    <cellStyle name="Followed Hyperlink" xfId="6710" builtinId="9" hidden="1"/>
    <cellStyle name="Followed Hyperlink" xfId="6711" builtinId="9" hidden="1"/>
    <cellStyle name="Followed Hyperlink" xfId="6712" builtinId="9" hidden="1"/>
    <cellStyle name="Followed Hyperlink" xfId="6713" builtinId="9" hidden="1"/>
    <cellStyle name="Followed Hyperlink" xfId="6714" builtinId="9" hidden="1"/>
    <cellStyle name="Followed Hyperlink" xfId="6715" builtinId="9" hidden="1"/>
    <cellStyle name="Followed Hyperlink" xfId="6716" builtinId="9" hidden="1"/>
    <cellStyle name="Followed Hyperlink" xfId="6717" builtinId="9" hidden="1"/>
    <cellStyle name="Followed Hyperlink" xfId="6718" builtinId="9" hidden="1"/>
    <cellStyle name="Followed Hyperlink" xfId="6719" builtinId="9" hidden="1"/>
    <cellStyle name="Followed Hyperlink" xfId="6720" builtinId="9" hidden="1"/>
    <cellStyle name="Followed Hyperlink" xfId="6721" builtinId="9" hidden="1"/>
    <cellStyle name="Followed Hyperlink" xfId="6722" builtinId="9" hidden="1"/>
    <cellStyle name="Followed Hyperlink" xfId="6723" builtinId="9" hidden="1"/>
    <cellStyle name="Followed Hyperlink" xfId="6724" builtinId="9" hidden="1"/>
    <cellStyle name="Followed Hyperlink" xfId="6725" builtinId="9" hidden="1"/>
    <cellStyle name="Followed Hyperlink" xfId="6726" builtinId="9" hidden="1"/>
    <cellStyle name="Followed Hyperlink" xfId="6727" builtinId="9" hidden="1"/>
    <cellStyle name="Followed Hyperlink" xfId="6728" builtinId="9" hidden="1"/>
    <cellStyle name="Followed Hyperlink" xfId="6729" builtinId="9" hidden="1"/>
    <cellStyle name="Followed Hyperlink" xfId="6730" builtinId="9" hidden="1"/>
    <cellStyle name="Followed Hyperlink" xfId="6731" builtinId="9" hidden="1"/>
    <cellStyle name="Followed Hyperlink" xfId="6732" builtinId="9" hidden="1"/>
    <cellStyle name="Followed Hyperlink" xfId="6733" builtinId="9" hidden="1"/>
    <cellStyle name="Followed Hyperlink" xfId="6734" builtinId="9" hidden="1"/>
    <cellStyle name="Followed Hyperlink" xfId="6735" builtinId="9" hidden="1"/>
    <cellStyle name="Followed Hyperlink" xfId="6736" builtinId="9" hidden="1"/>
    <cellStyle name="Followed Hyperlink" xfId="6737" builtinId="9" hidden="1"/>
    <cellStyle name="Followed Hyperlink" xfId="6738" builtinId="9" hidden="1"/>
    <cellStyle name="Followed Hyperlink" xfId="6739" builtinId="9" hidden="1"/>
    <cellStyle name="Followed Hyperlink" xfId="6740" builtinId="9" hidden="1"/>
    <cellStyle name="Followed Hyperlink" xfId="6741" builtinId="9" hidden="1"/>
    <cellStyle name="Followed Hyperlink" xfId="6742" builtinId="9" hidden="1"/>
    <cellStyle name="Followed Hyperlink" xfId="6743" builtinId="9" hidden="1"/>
    <cellStyle name="Followed Hyperlink" xfId="6744" builtinId="9" hidden="1"/>
    <cellStyle name="Followed Hyperlink" xfId="6745" builtinId="9" hidden="1"/>
    <cellStyle name="Followed Hyperlink" xfId="6746" builtinId="9" hidden="1"/>
    <cellStyle name="Followed Hyperlink" xfId="6747" builtinId="9" hidden="1"/>
    <cellStyle name="Followed Hyperlink" xfId="6748" builtinId="9" hidden="1"/>
    <cellStyle name="Followed Hyperlink" xfId="6749" builtinId="9" hidden="1"/>
    <cellStyle name="Followed Hyperlink" xfId="6750" builtinId="9" hidden="1"/>
    <cellStyle name="Followed Hyperlink" xfId="6751" builtinId="9" hidden="1"/>
    <cellStyle name="Followed Hyperlink" xfId="6752" builtinId="9" hidden="1"/>
    <cellStyle name="Followed Hyperlink" xfId="6753" builtinId="9" hidden="1"/>
    <cellStyle name="Followed Hyperlink" xfId="6754" builtinId="9" hidden="1"/>
    <cellStyle name="Followed Hyperlink" xfId="6755" builtinId="9" hidden="1"/>
    <cellStyle name="Followed Hyperlink" xfId="6756" builtinId="9" hidden="1"/>
    <cellStyle name="Followed Hyperlink" xfId="6757" builtinId="9" hidden="1"/>
    <cellStyle name="Followed Hyperlink" xfId="6758" builtinId="9" hidden="1"/>
    <cellStyle name="Followed Hyperlink" xfId="6759" builtinId="9" hidden="1"/>
    <cellStyle name="Followed Hyperlink" xfId="6760" builtinId="9" hidden="1"/>
    <cellStyle name="Followed Hyperlink" xfId="6761" builtinId="9" hidden="1"/>
    <cellStyle name="Followed Hyperlink" xfId="6762" builtinId="9" hidden="1"/>
    <cellStyle name="Followed Hyperlink" xfId="6763" builtinId="9" hidden="1"/>
    <cellStyle name="Followed Hyperlink" xfId="6764" builtinId="9" hidden="1"/>
    <cellStyle name="Followed Hyperlink" xfId="6765" builtinId="9" hidden="1"/>
    <cellStyle name="Followed Hyperlink" xfId="6766" builtinId="9" hidden="1"/>
    <cellStyle name="Followed Hyperlink" xfId="6767" builtinId="9" hidden="1"/>
    <cellStyle name="Followed Hyperlink" xfId="6768" builtinId="9" hidden="1"/>
    <cellStyle name="Followed Hyperlink" xfId="6769" builtinId="9" hidden="1"/>
    <cellStyle name="Followed Hyperlink" xfId="6770" builtinId="9" hidden="1"/>
    <cellStyle name="Followed Hyperlink" xfId="6771" builtinId="9" hidden="1"/>
    <cellStyle name="Followed Hyperlink" xfId="6772" builtinId="9" hidden="1"/>
    <cellStyle name="Followed Hyperlink" xfId="6773" builtinId="9" hidden="1"/>
    <cellStyle name="Followed Hyperlink" xfId="6774" builtinId="9" hidden="1"/>
    <cellStyle name="Followed Hyperlink" xfId="6775" builtinId="9" hidden="1"/>
    <cellStyle name="Followed Hyperlink" xfId="6779" builtinId="9" hidden="1"/>
    <cellStyle name="Followed Hyperlink" xfId="6780" builtinId="9" hidden="1"/>
    <cellStyle name="Followed Hyperlink" xfId="6781" builtinId="9" hidden="1"/>
    <cellStyle name="Followed Hyperlink" xfId="6782" builtinId="9" hidden="1"/>
    <cellStyle name="Followed Hyperlink" xfId="6783" builtinId="9" hidden="1"/>
    <cellStyle name="Followed Hyperlink" xfId="6784" builtinId="9" hidden="1"/>
    <cellStyle name="Followed Hyperlink" xfId="6785" builtinId="9" hidden="1"/>
    <cellStyle name="Followed Hyperlink" xfId="6786" builtinId="9" hidden="1"/>
    <cellStyle name="Followed Hyperlink" xfId="6787" builtinId="9" hidden="1"/>
    <cellStyle name="Followed Hyperlink" xfId="6788" builtinId="9" hidden="1"/>
    <cellStyle name="Followed Hyperlink" xfId="6789" builtinId="9" hidden="1"/>
    <cellStyle name="Followed Hyperlink" xfId="6790" builtinId="9" hidden="1"/>
    <cellStyle name="Followed Hyperlink" xfId="6791" builtinId="9" hidden="1"/>
    <cellStyle name="Followed Hyperlink" xfId="6792" builtinId="9" hidden="1"/>
    <cellStyle name="Followed Hyperlink" xfId="6793" builtinId="9" hidden="1"/>
    <cellStyle name="Followed Hyperlink" xfId="6794" builtinId="9" hidden="1"/>
    <cellStyle name="Followed Hyperlink" xfId="6795" builtinId="9" hidden="1"/>
    <cellStyle name="Followed Hyperlink" xfId="6796" builtinId="9" hidden="1"/>
    <cellStyle name="Followed Hyperlink" xfId="6797" builtinId="9" hidden="1"/>
    <cellStyle name="Followed Hyperlink" xfId="6798" builtinId="9" hidden="1"/>
    <cellStyle name="Followed Hyperlink" xfId="6799" builtinId="9" hidden="1"/>
    <cellStyle name="Followed Hyperlink" xfId="6800" builtinId="9" hidden="1"/>
    <cellStyle name="Followed Hyperlink" xfId="6801" builtinId="9" hidden="1"/>
    <cellStyle name="Followed Hyperlink" xfId="6802" builtinId="9" hidden="1"/>
    <cellStyle name="Followed Hyperlink" xfId="6803" builtinId="9" hidden="1"/>
    <cellStyle name="Followed Hyperlink" xfId="6804" builtinId="9" hidden="1"/>
    <cellStyle name="Followed Hyperlink" xfId="6805" builtinId="9" hidden="1"/>
    <cellStyle name="Followed Hyperlink" xfId="6806" builtinId="9" hidden="1"/>
    <cellStyle name="Followed Hyperlink" xfId="6807" builtinId="9" hidden="1"/>
    <cellStyle name="Followed Hyperlink" xfId="6808" builtinId="9" hidden="1"/>
    <cellStyle name="Followed Hyperlink" xfId="6809" builtinId="9" hidden="1"/>
    <cellStyle name="Followed Hyperlink" xfId="6810" builtinId="9" hidden="1"/>
    <cellStyle name="Followed Hyperlink" xfId="6811" builtinId="9" hidden="1"/>
    <cellStyle name="Followed Hyperlink" xfId="6812" builtinId="9" hidden="1"/>
    <cellStyle name="Followed Hyperlink" xfId="6813" builtinId="9" hidden="1"/>
    <cellStyle name="Followed Hyperlink" xfId="6814" builtinId="9" hidden="1"/>
    <cellStyle name="Followed Hyperlink" xfId="6815" builtinId="9" hidden="1"/>
    <cellStyle name="Followed Hyperlink" xfId="6816" builtinId="9" hidden="1"/>
    <cellStyle name="Followed Hyperlink" xfId="6817" builtinId="9" hidden="1"/>
    <cellStyle name="Followed Hyperlink" xfId="6818" builtinId="9" hidden="1"/>
    <cellStyle name="Followed Hyperlink" xfId="6819" builtinId="9" hidden="1"/>
    <cellStyle name="Followed Hyperlink" xfId="6820" builtinId="9" hidden="1"/>
    <cellStyle name="Followed Hyperlink" xfId="6821" builtinId="9" hidden="1"/>
    <cellStyle name="Followed Hyperlink" xfId="6822" builtinId="9" hidden="1"/>
    <cellStyle name="Followed Hyperlink" xfId="6823" builtinId="9" hidden="1"/>
    <cellStyle name="Followed Hyperlink" xfId="6824" builtinId="9" hidden="1"/>
    <cellStyle name="Followed Hyperlink" xfId="6825" builtinId="9" hidden="1"/>
    <cellStyle name="Followed Hyperlink" xfId="6826" builtinId="9" hidden="1"/>
    <cellStyle name="Followed Hyperlink" xfId="6827" builtinId="9" hidden="1"/>
    <cellStyle name="Followed Hyperlink" xfId="6828" builtinId="9" hidden="1"/>
    <cellStyle name="Followed Hyperlink" xfId="6829" builtinId="9" hidden="1"/>
    <cellStyle name="Followed Hyperlink" xfId="6830" builtinId="9" hidden="1"/>
    <cellStyle name="Followed Hyperlink" xfId="6831" builtinId="9" hidden="1"/>
    <cellStyle name="Followed Hyperlink" xfId="6832" builtinId="9" hidden="1"/>
    <cellStyle name="Followed Hyperlink" xfId="6833" builtinId="9" hidden="1"/>
    <cellStyle name="Followed Hyperlink" xfId="6834" builtinId="9" hidden="1"/>
    <cellStyle name="Followed Hyperlink" xfId="6835" builtinId="9" hidden="1"/>
    <cellStyle name="Followed Hyperlink" xfId="6836" builtinId="9" hidden="1"/>
    <cellStyle name="Followed Hyperlink" xfId="6837" builtinId="9" hidden="1"/>
    <cellStyle name="Followed Hyperlink" xfId="6838" builtinId="9" hidden="1"/>
    <cellStyle name="Followed Hyperlink" xfId="6839" builtinId="9" hidden="1"/>
    <cellStyle name="Followed Hyperlink" xfId="6840" builtinId="9" hidden="1"/>
    <cellStyle name="Followed Hyperlink" xfId="6841" builtinId="9" hidden="1"/>
    <cellStyle name="Followed Hyperlink" xfId="6842" builtinId="9" hidden="1"/>
    <cellStyle name="Followed Hyperlink" xfId="6843" builtinId="9" hidden="1"/>
    <cellStyle name="Followed Hyperlink" xfId="6844" builtinId="9" hidden="1"/>
    <cellStyle name="Followed Hyperlink" xfId="6845" builtinId="9" hidden="1"/>
    <cellStyle name="Followed Hyperlink" xfId="6846" builtinId="9" hidden="1"/>
    <cellStyle name="Followed Hyperlink" xfId="6847" builtinId="9" hidden="1"/>
    <cellStyle name="Followed Hyperlink" xfId="6848" builtinId="9" hidden="1"/>
    <cellStyle name="Followed Hyperlink" xfId="6849" builtinId="9" hidden="1"/>
    <cellStyle name="Followed Hyperlink" xfId="6850" builtinId="9" hidden="1"/>
    <cellStyle name="Followed Hyperlink" xfId="6851" builtinId="9" hidden="1"/>
    <cellStyle name="Followed Hyperlink" xfId="6852" builtinId="9" hidden="1"/>
    <cellStyle name="Followed Hyperlink" xfId="6853" builtinId="9" hidden="1"/>
    <cellStyle name="Followed Hyperlink" xfId="6854" builtinId="9" hidden="1"/>
    <cellStyle name="Followed Hyperlink" xfId="6855" builtinId="9" hidden="1"/>
    <cellStyle name="Followed Hyperlink" xfId="6856" builtinId="9" hidden="1"/>
    <cellStyle name="Followed Hyperlink" xfId="6857" builtinId="9" hidden="1"/>
    <cellStyle name="Followed Hyperlink" xfId="6858" builtinId="9" hidden="1"/>
    <cellStyle name="Followed Hyperlink" xfId="6859" builtinId="9" hidden="1"/>
    <cellStyle name="Followed Hyperlink" xfId="6860" builtinId="9" hidden="1"/>
    <cellStyle name="Followed Hyperlink" xfId="6861" builtinId="9" hidden="1"/>
    <cellStyle name="Followed Hyperlink" xfId="6862" builtinId="9" hidden="1"/>
    <cellStyle name="Followed Hyperlink" xfId="6863" builtinId="9" hidden="1"/>
    <cellStyle name="Followed Hyperlink" xfId="6864" builtinId="9" hidden="1"/>
    <cellStyle name="Followed Hyperlink" xfId="6865" builtinId="9" hidden="1"/>
    <cellStyle name="Followed Hyperlink" xfId="6866" builtinId="9" hidden="1"/>
    <cellStyle name="Followed Hyperlink" xfId="6867" builtinId="9" hidden="1"/>
    <cellStyle name="Followed Hyperlink" xfId="6868" builtinId="9" hidden="1"/>
    <cellStyle name="Followed Hyperlink" xfId="6869" builtinId="9" hidden="1"/>
    <cellStyle name="Followed Hyperlink" xfId="6870" builtinId="9" hidden="1"/>
    <cellStyle name="Followed Hyperlink" xfId="6871" builtinId="9" hidden="1"/>
    <cellStyle name="Followed Hyperlink" xfId="6872" builtinId="9" hidden="1"/>
    <cellStyle name="Followed Hyperlink" xfId="6873" builtinId="9" hidden="1"/>
    <cellStyle name="Followed Hyperlink" xfId="6874" builtinId="9" hidden="1"/>
    <cellStyle name="Followed Hyperlink" xfId="6875" builtinId="9" hidden="1"/>
    <cellStyle name="Followed Hyperlink" xfId="6876" builtinId="9" hidden="1"/>
    <cellStyle name="Followed Hyperlink" xfId="6877" builtinId="9" hidden="1"/>
    <cellStyle name="Followed Hyperlink" xfId="6878" builtinId="9" hidden="1"/>
    <cellStyle name="Followed Hyperlink" xfId="6879" builtinId="9" hidden="1"/>
    <cellStyle name="Followed Hyperlink" xfId="6880" builtinId="9" hidden="1"/>
    <cellStyle name="Followed Hyperlink" xfId="6881" builtinId="9" hidden="1"/>
    <cellStyle name="Followed Hyperlink" xfId="6882" builtinId="9" hidden="1"/>
    <cellStyle name="Followed Hyperlink" xfId="6883" builtinId="9" hidden="1"/>
    <cellStyle name="Followed Hyperlink" xfId="6884" builtinId="9" hidden="1"/>
    <cellStyle name="Followed Hyperlink" xfId="6885" builtinId="9" hidden="1"/>
    <cellStyle name="Followed Hyperlink" xfId="6886" builtinId="9" hidden="1"/>
    <cellStyle name="Followed Hyperlink" xfId="6887" builtinId="9" hidden="1"/>
    <cellStyle name="Followed Hyperlink" xfId="6888" builtinId="9" hidden="1"/>
    <cellStyle name="Followed Hyperlink" xfId="6889" builtinId="9" hidden="1"/>
    <cellStyle name="Followed Hyperlink" xfId="6890" builtinId="9" hidden="1"/>
    <cellStyle name="Followed Hyperlink" xfId="6891" builtinId="9" hidden="1"/>
    <cellStyle name="Followed Hyperlink" xfId="6892" builtinId="9" hidden="1"/>
    <cellStyle name="Followed Hyperlink" xfId="6893" builtinId="9" hidden="1"/>
    <cellStyle name="Followed Hyperlink" xfId="6894" builtinId="9" hidden="1"/>
    <cellStyle name="Followed Hyperlink" xfId="6895" builtinId="9" hidden="1"/>
    <cellStyle name="Followed Hyperlink" xfId="6896" builtinId="9" hidden="1"/>
    <cellStyle name="Followed Hyperlink" xfId="6897" builtinId="9" hidden="1"/>
    <cellStyle name="Followed Hyperlink" xfId="6898" builtinId="9" hidden="1"/>
    <cellStyle name="Followed Hyperlink" xfId="6899" builtinId="9" hidden="1"/>
    <cellStyle name="Followed Hyperlink" xfId="6900" builtinId="9" hidden="1"/>
    <cellStyle name="Followed Hyperlink" xfId="6901" builtinId="9" hidden="1"/>
    <cellStyle name="Followed Hyperlink" xfId="6902" builtinId="9" hidden="1"/>
    <cellStyle name="Followed Hyperlink" xfId="6903" builtinId="9" hidden="1"/>
    <cellStyle name="Followed Hyperlink" xfId="6904" builtinId="9" hidden="1"/>
    <cellStyle name="Followed Hyperlink" xfId="6905" builtinId="9" hidden="1"/>
    <cellStyle name="Followed Hyperlink" xfId="6906" builtinId="9" hidden="1"/>
    <cellStyle name="Followed Hyperlink" xfId="6907" builtinId="9" hidden="1"/>
    <cellStyle name="Followed Hyperlink" xfId="6908" builtinId="9" hidden="1"/>
    <cellStyle name="Followed Hyperlink" xfId="6909" builtinId="9" hidden="1"/>
    <cellStyle name="Followed Hyperlink" xfId="6910" builtinId="9" hidden="1"/>
    <cellStyle name="Followed Hyperlink" xfId="6911" builtinId="9" hidden="1"/>
    <cellStyle name="Followed Hyperlink" xfId="6912" builtinId="9" hidden="1"/>
    <cellStyle name="Followed Hyperlink" xfId="6913" builtinId="9" hidden="1"/>
    <cellStyle name="Followed Hyperlink" xfId="6914" builtinId="9" hidden="1"/>
    <cellStyle name="Followed Hyperlink" xfId="6915" builtinId="9" hidden="1"/>
    <cellStyle name="Followed Hyperlink" xfId="6916" builtinId="9" hidden="1"/>
    <cellStyle name="Followed Hyperlink" xfId="6917" builtinId="9" hidden="1"/>
    <cellStyle name="Followed Hyperlink" xfId="6918" builtinId="9" hidden="1"/>
    <cellStyle name="Followed Hyperlink" xfId="6919" builtinId="9" hidden="1"/>
    <cellStyle name="Followed Hyperlink" xfId="6920" builtinId="9" hidden="1"/>
    <cellStyle name="Followed Hyperlink" xfId="6921" builtinId="9" hidden="1"/>
    <cellStyle name="Followed Hyperlink" xfId="6922" builtinId="9" hidden="1"/>
    <cellStyle name="Followed Hyperlink" xfId="6923" builtinId="9" hidden="1"/>
    <cellStyle name="Followed Hyperlink" xfId="6924" builtinId="9" hidden="1"/>
    <cellStyle name="Followed Hyperlink" xfId="6925" builtinId="9" hidden="1"/>
    <cellStyle name="Followed Hyperlink" xfId="6926" builtinId="9" hidden="1"/>
    <cellStyle name="Followed Hyperlink" xfId="6927" builtinId="9" hidden="1"/>
    <cellStyle name="Followed Hyperlink" xfId="6928" builtinId="9" hidden="1"/>
    <cellStyle name="Followed Hyperlink" xfId="6929" builtinId="9" hidden="1"/>
    <cellStyle name="Followed Hyperlink" xfId="6930" builtinId="9" hidden="1"/>
    <cellStyle name="Followed Hyperlink" xfId="6931" builtinId="9" hidden="1"/>
    <cellStyle name="Followed Hyperlink" xfId="6932" builtinId="9" hidden="1"/>
    <cellStyle name="Followed Hyperlink" xfId="6933" builtinId="9" hidden="1"/>
    <cellStyle name="Followed Hyperlink" xfId="6934" builtinId="9" hidden="1"/>
    <cellStyle name="Followed Hyperlink" xfId="6935" builtinId="9" hidden="1"/>
    <cellStyle name="Followed Hyperlink" xfId="6936" builtinId="9" hidden="1"/>
    <cellStyle name="Followed Hyperlink" xfId="6937" builtinId="9" hidden="1"/>
    <cellStyle name="Followed Hyperlink" xfId="6938" builtinId="9" hidden="1"/>
    <cellStyle name="Followed Hyperlink" xfId="6939" builtinId="9" hidden="1"/>
    <cellStyle name="Followed Hyperlink" xfId="6940" builtinId="9" hidden="1"/>
    <cellStyle name="Followed Hyperlink" xfId="6941" builtinId="9" hidden="1"/>
    <cellStyle name="Followed Hyperlink" xfId="6942" builtinId="9" hidden="1"/>
    <cellStyle name="Followed Hyperlink" xfId="6943" builtinId="9" hidden="1"/>
    <cellStyle name="Followed Hyperlink" xfId="6944" builtinId="9" hidden="1"/>
    <cellStyle name="Followed Hyperlink" xfId="6945" builtinId="9" hidden="1"/>
    <cellStyle name="Followed Hyperlink" xfId="6946" builtinId="9" hidden="1"/>
    <cellStyle name="Followed Hyperlink" xfId="6947" builtinId="9" hidden="1"/>
    <cellStyle name="Followed Hyperlink" xfId="6948" builtinId="9" hidden="1"/>
    <cellStyle name="Followed Hyperlink" xfId="6949" builtinId="9" hidden="1"/>
    <cellStyle name="Followed Hyperlink" xfId="6950" builtinId="9" hidden="1"/>
    <cellStyle name="Followed Hyperlink" xfId="6951" builtinId="9" hidden="1"/>
    <cellStyle name="Followed Hyperlink" xfId="6952" builtinId="9" hidden="1"/>
    <cellStyle name="Followed Hyperlink" xfId="6953" builtinId="9" hidden="1"/>
    <cellStyle name="Followed Hyperlink" xfId="6954" builtinId="9" hidden="1"/>
    <cellStyle name="Followed Hyperlink" xfId="6955" builtinId="9" hidden="1"/>
    <cellStyle name="Followed Hyperlink" xfId="6956" builtinId="9" hidden="1"/>
    <cellStyle name="Followed Hyperlink" xfId="6957" builtinId="9" hidden="1"/>
    <cellStyle name="Followed Hyperlink" xfId="6958" builtinId="9" hidden="1"/>
    <cellStyle name="Followed Hyperlink" xfId="6959" builtinId="9" hidden="1"/>
    <cellStyle name="Followed Hyperlink" xfId="6960" builtinId="9" hidden="1"/>
    <cellStyle name="Followed Hyperlink" xfId="6961" builtinId="9" hidden="1"/>
    <cellStyle name="Followed Hyperlink" xfId="6962" builtinId="9" hidden="1"/>
    <cellStyle name="Followed Hyperlink" xfId="6963" builtinId="9" hidden="1"/>
    <cellStyle name="Followed Hyperlink" xfId="6964" builtinId="9" hidden="1"/>
    <cellStyle name="Followed Hyperlink" xfId="6965" builtinId="9" hidden="1"/>
    <cellStyle name="Followed Hyperlink" xfId="6966" builtinId="9" hidden="1"/>
    <cellStyle name="Followed Hyperlink" xfId="6967" builtinId="9" hidden="1"/>
    <cellStyle name="Followed Hyperlink" xfId="6968" builtinId="9" hidden="1"/>
    <cellStyle name="Followed Hyperlink" xfId="6969" builtinId="9" hidden="1"/>
    <cellStyle name="Followed Hyperlink" xfId="6970" builtinId="9" hidden="1"/>
    <cellStyle name="Followed Hyperlink" xfId="6971" builtinId="9" hidden="1"/>
    <cellStyle name="Followed Hyperlink" xfId="6972" builtinId="9" hidden="1"/>
    <cellStyle name="Followed Hyperlink" xfId="6973" builtinId="9" hidden="1"/>
    <cellStyle name="Followed Hyperlink" xfId="6974" builtinId="9" hidden="1"/>
    <cellStyle name="Followed Hyperlink" xfId="6975" builtinId="9" hidden="1"/>
    <cellStyle name="Followed Hyperlink" xfId="6976" builtinId="9" hidden="1"/>
    <cellStyle name="Followed Hyperlink" xfId="6977" builtinId="9" hidden="1"/>
    <cellStyle name="Followed Hyperlink" xfId="6978" builtinId="9" hidden="1"/>
    <cellStyle name="Followed Hyperlink" xfId="6979" builtinId="9" hidden="1"/>
    <cellStyle name="Followed Hyperlink" xfId="6980" builtinId="9" hidden="1"/>
    <cellStyle name="Followed Hyperlink" xfId="6981" builtinId="9" hidden="1"/>
    <cellStyle name="Followed Hyperlink" xfId="6982" builtinId="9" hidden="1"/>
    <cellStyle name="Followed Hyperlink" xfId="6983" builtinId="9" hidden="1"/>
    <cellStyle name="Followed Hyperlink" xfId="6984" builtinId="9" hidden="1"/>
    <cellStyle name="Followed Hyperlink" xfId="6985" builtinId="9" hidden="1"/>
    <cellStyle name="Followed Hyperlink" xfId="6986" builtinId="9" hidden="1"/>
    <cellStyle name="Followed Hyperlink" xfId="6987" builtinId="9" hidden="1"/>
    <cellStyle name="Followed Hyperlink" xfId="6988" builtinId="9" hidden="1"/>
    <cellStyle name="Followed Hyperlink" xfId="6989" builtinId="9" hidden="1"/>
    <cellStyle name="Followed Hyperlink" xfId="6990" builtinId="9" hidden="1"/>
    <cellStyle name="Followed Hyperlink" xfId="6991" builtinId="9" hidden="1"/>
    <cellStyle name="Followed Hyperlink" xfId="6992" builtinId="9" hidden="1"/>
    <cellStyle name="Followed Hyperlink" xfId="6993" builtinId="9" hidden="1"/>
    <cellStyle name="Followed Hyperlink" xfId="6994" builtinId="9" hidden="1"/>
    <cellStyle name="Followed Hyperlink" xfId="6995" builtinId="9" hidden="1"/>
    <cellStyle name="Followed Hyperlink" xfId="6996" builtinId="9" hidden="1"/>
    <cellStyle name="Followed Hyperlink" xfId="6997" builtinId="9" hidden="1"/>
    <cellStyle name="Followed Hyperlink" xfId="6998" builtinId="9" hidden="1"/>
    <cellStyle name="Followed Hyperlink" xfId="6999" builtinId="9" hidden="1"/>
    <cellStyle name="Followed Hyperlink" xfId="7000" builtinId="9" hidden="1"/>
    <cellStyle name="Followed Hyperlink" xfId="7001" builtinId="9" hidden="1"/>
    <cellStyle name="Followed Hyperlink" xfId="7002" builtinId="9" hidden="1"/>
    <cellStyle name="Followed Hyperlink" xfId="7003" builtinId="9" hidden="1"/>
    <cellStyle name="Followed Hyperlink" xfId="7004" builtinId="9" hidden="1"/>
    <cellStyle name="Followed Hyperlink" xfId="7005" builtinId="9" hidden="1"/>
    <cellStyle name="Followed Hyperlink" xfId="7006" builtinId="9" hidden="1"/>
    <cellStyle name="Followed Hyperlink" xfId="7007" builtinId="9" hidden="1"/>
    <cellStyle name="Followed Hyperlink" xfId="7008" builtinId="9" hidden="1"/>
    <cellStyle name="Followed Hyperlink" xfId="7009" builtinId="9" hidden="1"/>
    <cellStyle name="Followed Hyperlink" xfId="7010" builtinId="9" hidden="1"/>
    <cellStyle name="Followed Hyperlink" xfId="7011" builtinId="9" hidden="1"/>
    <cellStyle name="Followed Hyperlink" xfId="7012" builtinId="9" hidden="1"/>
    <cellStyle name="Followed Hyperlink" xfId="7013" builtinId="9" hidden="1"/>
    <cellStyle name="Followed Hyperlink" xfId="7014" builtinId="9" hidden="1"/>
    <cellStyle name="Followed Hyperlink" xfId="7015" builtinId="9" hidden="1"/>
    <cellStyle name="Followed Hyperlink" xfId="7016" builtinId="9" hidden="1"/>
    <cellStyle name="Followed Hyperlink" xfId="7017" builtinId="9" hidden="1"/>
    <cellStyle name="Followed Hyperlink" xfId="7018" builtinId="9" hidden="1"/>
    <cellStyle name="Followed Hyperlink" xfId="7019" builtinId="9" hidden="1"/>
    <cellStyle name="Followed Hyperlink" xfId="7020" builtinId="9" hidden="1"/>
    <cellStyle name="Followed Hyperlink" xfId="7021" builtinId="9" hidden="1"/>
    <cellStyle name="Followed Hyperlink" xfId="7022" builtinId="9" hidden="1"/>
    <cellStyle name="Followed Hyperlink" xfId="7023" builtinId="9" hidden="1"/>
    <cellStyle name="Followed Hyperlink" xfId="7024" builtinId="9" hidden="1"/>
    <cellStyle name="Followed Hyperlink" xfId="7025" builtinId="9" hidden="1"/>
    <cellStyle name="Followed Hyperlink" xfId="7026" builtinId="9" hidden="1"/>
    <cellStyle name="Followed Hyperlink" xfId="7027" builtinId="9" hidden="1"/>
    <cellStyle name="Followed Hyperlink" xfId="7028" builtinId="9" hidden="1"/>
    <cellStyle name="Followed Hyperlink" xfId="7029" builtinId="9" hidden="1"/>
    <cellStyle name="Followed Hyperlink" xfId="7030" builtinId="9" hidden="1"/>
    <cellStyle name="Followed Hyperlink" xfId="7031" builtinId="9" hidden="1"/>
    <cellStyle name="Followed Hyperlink" xfId="7032" builtinId="9" hidden="1"/>
    <cellStyle name="Followed Hyperlink" xfId="7033" builtinId="9" hidden="1"/>
    <cellStyle name="Followed Hyperlink" xfId="7034" builtinId="9" hidden="1"/>
    <cellStyle name="Followed Hyperlink" xfId="7035" builtinId="9" hidden="1"/>
    <cellStyle name="Followed Hyperlink" xfId="7036" builtinId="9" hidden="1"/>
    <cellStyle name="Followed Hyperlink" xfId="7037" builtinId="9" hidden="1"/>
    <cellStyle name="Followed Hyperlink" xfId="7038" builtinId="9" hidden="1"/>
    <cellStyle name="Followed Hyperlink" xfId="7039" builtinId="9" hidden="1"/>
    <cellStyle name="Followed Hyperlink" xfId="7040" builtinId="9" hidden="1"/>
    <cellStyle name="Followed Hyperlink" xfId="7041" builtinId="9" hidden="1"/>
    <cellStyle name="Followed Hyperlink" xfId="7042" builtinId="9" hidden="1"/>
    <cellStyle name="Followed Hyperlink" xfId="7043" builtinId="9" hidden="1"/>
    <cellStyle name="Followed Hyperlink" xfId="7044" builtinId="9" hidden="1"/>
    <cellStyle name="Followed Hyperlink" xfId="7045" builtinId="9" hidden="1"/>
    <cellStyle name="Followed Hyperlink" xfId="7046" builtinId="9" hidden="1"/>
    <cellStyle name="Followed Hyperlink" xfId="7047" builtinId="9" hidden="1"/>
    <cellStyle name="Followed Hyperlink" xfId="7049" builtinId="9" hidden="1"/>
    <cellStyle name="Followed Hyperlink" xfId="7051" builtinId="9" hidden="1"/>
    <cellStyle name="Followed Hyperlink" xfId="7053" builtinId="9" hidden="1"/>
    <cellStyle name="Followed Hyperlink" xfId="7055" builtinId="9" hidden="1"/>
    <cellStyle name="Followed Hyperlink" xfId="7057" builtinId="9" hidden="1"/>
    <cellStyle name="Followed Hyperlink" xfId="7059" builtinId="9" hidden="1"/>
    <cellStyle name="Followed Hyperlink" xfId="7061" builtinId="9" hidden="1"/>
    <cellStyle name="Followed Hyperlink" xfId="7063" builtinId="9" hidden="1"/>
    <cellStyle name="Followed Hyperlink" xfId="7065" builtinId="9" hidden="1"/>
    <cellStyle name="Followed Hyperlink" xfId="7067" builtinId="9" hidden="1"/>
    <cellStyle name="Followed Hyperlink" xfId="7069" builtinId="9" hidden="1"/>
    <cellStyle name="Followed Hyperlink" xfId="7071" builtinId="9" hidden="1"/>
    <cellStyle name="Followed Hyperlink" xfId="7073" builtinId="9" hidden="1"/>
    <cellStyle name="Followed Hyperlink" xfId="7075" builtinId="9" hidden="1"/>
    <cellStyle name="Followed Hyperlink" xfId="7077" builtinId="9" hidden="1"/>
    <cellStyle name="Followed Hyperlink" xfId="7079" builtinId="9" hidden="1"/>
    <cellStyle name="Followed Hyperlink" xfId="7081" builtinId="9" hidden="1"/>
    <cellStyle name="Followed Hyperlink" xfId="7083" builtinId="9" hidden="1"/>
    <cellStyle name="Followed Hyperlink" xfId="7085" builtinId="9" hidden="1"/>
    <cellStyle name="Followed Hyperlink" xfId="7087" builtinId="9" hidden="1"/>
    <cellStyle name="Followed Hyperlink" xfId="7089" builtinId="9" hidden="1"/>
    <cellStyle name="Followed Hyperlink" xfId="7091" builtinId="9" hidden="1"/>
    <cellStyle name="Followed Hyperlink" xfId="7093" builtinId="9" hidden="1"/>
    <cellStyle name="Followed Hyperlink" xfId="7095" builtinId="9" hidden="1"/>
    <cellStyle name="Followed Hyperlink" xfId="7097" builtinId="9" hidden="1"/>
    <cellStyle name="Followed Hyperlink" xfId="7099" builtinId="9" hidden="1"/>
    <cellStyle name="Followed Hyperlink" xfId="7101" builtinId="9" hidden="1"/>
    <cellStyle name="Followed Hyperlink" xfId="7103" builtinId="9" hidden="1"/>
    <cellStyle name="Followed Hyperlink" xfId="7105" builtinId="9" hidden="1"/>
    <cellStyle name="Followed Hyperlink" xfId="7107" builtinId="9" hidden="1"/>
    <cellStyle name="Followed Hyperlink" xfId="7109" builtinId="9" hidden="1"/>
    <cellStyle name="Followed Hyperlink" xfId="7111" builtinId="9" hidden="1"/>
    <cellStyle name="Followed Hyperlink" xfId="7113" builtinId="9" hidden="1"/>
    <cellStyle name="Followed Hyperlink" xfId="7115" builtinId="9" hidden="1"/>
    <cellStyle name="Followed Hyperlink" xfId="7117" builtinId="9" hidden="1"/>
    <cellStyle name="Followed Hyperlink" xfId="7119" builtinId="9" hidden="1"/>
    <cellStyle name="Followed Hyperlink" xfId="7121" builtinId="9" hidden="1"/>
    <cellStyle name="Followed Hyperlink" xfId="7123" builtinId="9" hidden="1"/>
    <cellStyle name="Followed Hyperlink" xfId="7125" builtinId="9" hidden="1"/>
    <cellStyle name="Followed Hyperlink" xfId="7127" builtinId="9" hidden="1"/>
    <cellStyle name="Followed Hyperlink" xfId="7129" builtinId="9" hidden="1"/>
    <cellStyle name="Followed Hyperlink" xfId="7131" builtinId="9" hidden="1"/>
    <cellStyle name="Followed Hyperlink" xfId="7133" builtinId="9" hidden="1"/>
    <cellStyle name="Followed Hyperlink" xfId="7135" builtinId="9" hidden="1"/>
    <cellStyle name="Followed Hyperlink" xfId="7137" builtinId="9" hidden="1"/>
    <cellStyle name="Followed Hyperlink" xfId="7139" builtinId="9" hidden="1"/>
    <cellStyle name="Followed Hyperlink" xfId="7141" builtinId="9" hidden="1"/>
    <cellStyle name="Followed Hyperlink" xfId="7143" builtinId="9" hidden="1"/>
    <cellStyle name="Followed Hyperlink" xfId="7145" builtinId="9" hidden="1"/>
    <cellStyle name="Followed Hyperlink" xfId="7147" builtinId="9" hidden="1"/>
    <cellStyle name="Followed Hyperlink" xfId="7149" builtinId="9" hidden="1"/>
    <cellStyle name="Followed Hyperlink" xfId="7151" builtinId="9" hidden="1"/>
    <cellStyle name="Followed Hyperlink" xfId="7153" builtinId="9" hidden="1"/>
    <cellStyle name="Followed Hyperlink" xfId="7155" builtinId="9" hidden="1"/>
    <cellStyle name="Followed Hyperlink" xfId="7157" builtinId="9" hidden="1"/>
    <cellStyle name="Followed Hyperlink" xfId="7159" builtinId="9" hidden="1"/>
    <cellStyle name="Followed Hyperlink" xfId="7161" builtinId="9" hidden="1"/>
    <cellStyle name="Followed Hyperlink" xfId="7163" builtinId="9" hidden="1"/>
    <cellStyle name="Followed Hyperlink" xfId="7165" builtinId="9" hidden="1"/>
    <cellStyle name="Followed Hyperlink" xfId="7167" builtinId="9" hidden="1"/>
    <cellStyle name="Followed Hyperlink" xfId="7169" builtinId="9" hidden="1"/>
    <cellStyle name="Followed Hyperlink" xfId="7171" builtinId="9" hidden="1"/>
    <cellStyle name="Followed Hyperlink" xfId="7173" builtinId="9" hidden="1"/>
    <cellStyle name="Followed Hyperlink" xfId="7175" builtinId="9" hidden="1"/>
    <cellStyle name="Followed Hyperlink" xfId="7177" builtinId="9" hidden="1"/>
    <cellStyle name="Followed Hyperlink" xfId="7179" builtinId="9" hidden="1"/>
    <cellStyle name="Followed Hyperlink" xfId="7181" builtinId="9" hidden="1"/>
    <cellStyle name="Followed Hyperlink" xfId="7183" builtinId="9" hidden="1"/>
    <cellStyle name="Followed Hyperlink" xfId="7185" builtinId="9" hidden="1"/>
    <cellStyle name="Followed Hyperlink" xfId="718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Hyperlink" xfId="2506" builtinId="8" hidden="1"/>
    <cellStyle name="Hyperlink" xfId="2508" builtinId="8" hidden="1"/>
    <cellStyle name="Hyperlink" xfId="2510" builtinId="8" hidden="1"/>
    <cellStyle name="Hyperlink" xfId="2512" builtinId="8" hidden="1"/>
    <cellStyle name="Hyperlink" xfId="2514" builtinId="8" hidden="1"/>
    <cellStyle name="Hyperlink" xfId="2516" builtinId="8" hidden="1"/>
    <cellStyle name="Hyperlink" xfId="2518" builtinId="8" hidden="1"/>
    <cellStyle name="Hyperlink" xfId="2520" builtinId="8" hidden="1"/>
    <cellStyle name="Hyperlink" xfId="2522" builtinId="8" hidden="1"/>
    <cellStyle name="Hyperlink" xfId="2524" builtinId="8" hidden="1"/>
    <cellStyle name="Hyperlink" xfId="2526" builtinId="8" hidden="1"/>
    <cellStyle name="Hyperlink" xfId="2528" builtinId="8" hidden="1"/>
    <cellStyle name="Hyperlink" xfId="2530" builtinId="8" hidden="1"/>
    <cellStyle name="Hyperlink" xfId="2532" builtinId="8" hidden="1"/>
    <cellStyle name="Hyperlink" xfId="2534" builtinId="8" hidden="1"/>
    <cellStyle name="Hyperlink" xfId="2536" builtinId="8" hidden="1"/>
    <cellStyle name="Hyperlink" xfId="2538" builtinId="8" hidden="1"/>
    <cellStyle name="Hyperlink" xfId="2540" builtinId="8" hidden="1"/>
    <cellStyle name="Hyperlink" xfId="2542" builtinId="8" hidden="1"/>
    <cellStyle name="Hyperlink" xfId="2544" builtinId="8" hidden="1"/>
    <cellStyle name="Hyperlink" xfId="2546" builtinId="8" hidden="1"/>
    <cellStyle name="Hyperlink" xfId="2548" builtinId="8" hidden="1"/>
    <cellStyle name="Hyperlink" xfId="2550" builtinId="8" hidden="1"/>
    <cellStyle name="Hyperlink" xfId="2552" builtinId="8" hidden="1"/>
    <cellStyle name="Hyperlink" xfId="2554" builtinId="8" hidden="1"/>
    <cellStyle name="Hyperlink" xfId="2556" builtinId="8" hidden="1"/>
    <cellStyle name="Hyperlink" xfId="2558" builtinId="8" hidden="1"/>
    <cellStyle name="Hyperlink" xfId="2560" builtinId="8" hidden="1"/>
    <cellStyle name="Hyperlink" xfId="2562" builtinId="8" hidden="1"/>
    <cellStyle name="Hyperlink" xfId="2564" builtinId="8" hidden="1"/>
    <cellStyle name="Hyperlink" xfId="2566" builtinId="8" hidden="1"/>
    <cellStyle name="Hyperlink" xfId="2568" builtinId="8" hidden="1"/>
    <cellStyle name="Hyperlink" xfId="2570" builtinId="8" hidden="1"/>
    <cellStyle name="Hyperlink" xfId="2572" builtinId="8" hidden="1"/>
    <cellStyle name="Hyperlink" xfId="2574" builtinId="8" hidden="1"/>
    <cellStyle name="Hyperlink" xfId="2576" builtinId="8" hidden="1"/>
    <cellStyle name="Hyperlink" xfId="2578" builtinId="8" hidden="1"/>
    <cellStyle name="Hyperlink" xfId="2580" builtinId="8" hidden="1"/>
    <cellStyle name="Hyperlink" xfId="2582" builtinId="8" hidden="1"/>
    <cellStyle name="Hyperlink" xfId="2584" builtinId="8" hidden="1"/>
    <cellStyle name="Hyperlink" xfId="2586" builtinId="8" hidden="1"/>
    <cellStyle name="Hyperlink" xfId="2588" builtinId="8" hidden="1"/>
    <cellStyle name="Hyperlink" xfId="2590" builtinId="8" hidden="1"/>
    <cellStyle name="Hyperlink" xfId="2592" builtinId="8" hidden="1"/>
    <cellStyle name="Hyperlink" xfId="2594" builtinId="8" hidden="1"/>
    <cellStyle name="Hyperlink" xfId="2596" builtinId="8" hidden="1"/>
    <cellStyle name="Hyperlink" xfId="2598" builtinId="8" hidden="1"/>
    <cellStyle name="Hyperlink" xfId="2600" builtinId="8" hidden="1"/>
    <cellStyle name="Hyperlink" xfId="2602" builtinId="8" hidden="1"/>
    <cellStyle name="Hyperlink" xfId="2604" builtinId="8" hidden="1"/>
    <cellStyle name="Hyperlink" xfId="2606" builtinId="8" hidden="1"/>
    <cellStyle name="Hyperlink" xfId="2608" builtinId="8" hidden="1"/>
    <cellStyle name="Hyperlink" xfId="2610" builtinId="8" hidden="1"/>
    <cellStyle name="Hyperlink" xfId="2612" builtinId="8" hidden="1"/>
    <cellStyle name="Hyperlink" xfId="2614" builtinId="8" hidden="1"/>
    <cellStyle name="Hyperlink" xfId="2616" builtinId="8" hidden="1"/>
    <cellStyle name="Hyperlink" xfId="2618" builtinId="8" hidden="1"/>
    <cellStyle name="Hyperlink" xfId="2620" builtinId="8" hidden="1"/>
    <cellStyle name="Hyperlink" xfId="2622" builtinId="8" hidden="1"/>
    <cellStyle name="Hyperlink" xfId="2624" builtinId="8" hidden="1"/>
    <cellStyle name="Hyperlink" xfId="2626" builtinId="8" hidden="1"/>
    <cellStyle name="Hyperlink" xfId="2628" builtinId="8" hidden="1"/>
    <cellStyle name="Hyperlink" xfId="2630" builtinId="8" hidden="1"/>
    <cellStyle name="Hyperlink" xfId="2632" builtinId="8" hidden="1"/>
    <cellStyle name="Hyperlink" xfId="2634" builtinId="8" hidden="1"/>
    <cellStyle name="Hyperlink" xfId="2636" builtinId="8" hidden="1"/>
    <cellStyle name="Hyperlink" xfId="2638" builtinId="8" hidden="1"/>
    <cellStyle name="Hyperlink" xfId="2640" builtinId="8" hidden="1"/>
    <cellStyle name="Hyperlink" xfId="2642" builtinId="8" hidden="1"/>
    <cellStyle name="Hyperlink" xfId="2644" builtinId="8" hidden="1"/>
    <cellStyle name="Hyperlink" xfId="2646" builtinId="8" hidden="1"/>
    <cellStyle name="Hyperlink" xfId="2648" builtinId="8" hidden="1"/>
    <cellStyle name="Hyperlink" xfId="2650" builtinId="8" hidden="1"/>
    <cellStyle name="Hyperlink" xfId="2652" builtinId="8" hidden="1"/>
    <cellStyle name="Hyperlink" xfId="2654" builtinId="8" hidden="1"/>
    <cellStyle name="Hyperlink" xfId="2656" builtinId="8" hidden="1"/>
    <cellStyle name="Hyperlink" xfId="2658" builtinId="8" hidden="1"/>
    <cellStyle name="Hyperlink" xfId="2660" builtinId="8" hidden="1"/>
    <cellStyle name="Hyperlink" xfId="2662" builtinId="8" hidden="1"/>
    <cellStyle name="Hyperlink" xfId="2664" builtinId="8" hidden="1"/>
    <cellStyle name="Hyperlink" xfId="2666" builtinId="8" hidden="1"/>
    <cellStyle name="Hyperlink" xfId="2668" builtinId="8" hidden="1"/>
    <cellStyle name="Hyperlink" xfId="2670" builtinId="8" hidden="1"/>
    <cellStyle name="Hyperlink" xfId="2672" builtinId="8" hidden="1"/>
    <cellStyle name="Hyperlink" xfId="2674" builtinId="8" hidden="1"/>
    <cellStyle name="Hyperlink" xfId="2676" builtinId="8" hidden="1"/>
    <cellStyle name="Hyperlink" xfId="2678" builtinId="8" hidden="1"/>
    <cellStyle name="Hyperlink" xfId="2680" builtinId="8" hidden="1"/>
    <cellStyle name="Hyperlink" xfId="2682" builtinId="8" hidden="1"/>
    <cellStyle name="Hyperlink" xfId="2684" builtinId="8" hidden="1"/>
    <cellStyle name="Hyperlink" xfId="2686" builtinId="8" hidden="1"/>
    <cellStyle name="Hyperlink" xfId="2688" builtinId="8" hidden="1"/>
    <cellStyle name="Hyperlink" xfId="2690" builtinId="8" hidden="1"/>
    <cellStyle name="Hyperlink" xfId="2692" builtinId="8" hidden="1"/>
    <cellStyle name="Hyperlink" xfId="2694" builtinId="8" hidden="1"/>
    <cellStyle name="Hyperlink" xfId="2696" builtinId="8" hidden="1"/>
    <cellStyle name="Hyperlink" xfId="2698" builtinId="8" hidden="1"/>
    <cellStyle name="Hyperlink" xfId="2700" builtinId="8" hidden="1"/>
    <cellStyle name="Hyperlink" xfId="2702" builtinId="8" hidden="1"/>
    <cellStyle name="Hyperlink" xfId="2704" builtinId="8" hidden="1"/>
    <cellStyle name="Hyperlink" xfId="2706" builtinId="8" hidden="1"/>
    <cellStyle name="Hyperlink" xfId="2708" builtinId="8" hidden="1"/>
    <cellStyle name="Hyperlink" xfId="2710" builtinId="8" hidden="1"/>
    <cellStyle name="Hyperlink" xfId="2712" builtinId="8" hidden="1"/>
    <cellStyle name="Hyperlink" xfId="2714" builtinId="8" hidden="1"/>
    <cellStyle name="Hyperlink" xfId="2716" builtinId="8" hidden="1"/>
    <cellStyle name="Hyperlink" xfId="2718" builtinId="8" hidden="1"/>
    <cellStyle name="Hyperlink" xfId="2720" builtinId="8" hidden="1"/>
    <cellStyle name="Hyperlink" xfId="2722" builtinId="8" hidden="1"/>
    <cellStyle name="Hyperlink" xfId="2724" builtinId="8" hidden="1"/>
    <cellStyle name="Hyperlink" xfId="2726" builtinId="8" hidden="1"/>
    <cellStyle name="Hyperlink" xfId="2728" builtinId="8" hidden="1"/>
    <cellStyle name="Hyperlink" xfId="2730" builtinId="8" hidden="1"/>
    <cellStyle name="Hyperlink" xfId="2732" builtinId="8" hidden="1"/>
    <cellStyle name="Hyperlink" xfId="2734" builtinId="8" hidden="1"/>
    <cellStyle name="Hyperlink" xfId="2736" builtinId="8" hidden="1"/>
    <cellStyle name="Hyperlink" xfId="2738" builtinId="8" hidden="1"/>
    <cellStyle name="Hyperlink" xfId="2740" builtinId="8" hidden="1"/>
    <cellStyle name="Hyperlink" xfId="2742" builtinId="8" hidden="1"/>
    <cellStyle name="Hyperlink" xfId="2744" builtinId="8" hidden="1"/>
    <cellStyle name="Hyperlink" xfId="2746" builtinId="8" hidden="1"/>
    <cellStyle name="Hyperlink" xfId="2748" builtinId="8" hidden="1"/>
    <cellStyle name="Hyperlink" xfId="2750" builtinId="8" hidden="1"/>
    <cellStyle name="Hyperlink" xfId="2752" builtinId="8" hidden="1"/>
    <cellStyle name="Hyperlink" xfId="2754" builtinId="8" hidden="1"/>
    <cellStyle name="Hyperlink" xfId="2756" builtinId="8" hidden="1"/>
    <cellStyle name="Hyperlink" xfId="2758" builtinId="8" hidden="1"/>
    <cellStyle name="Hyperlink" xfId="2760" builtinId="8" hidden="1"/>
    <cellStyle name="Hyperlink" xfId="2762" builtinId="8" hidden="1"/>
    <cellStyle name="Hyperlink" xfId="2764" builtinId="8" hidden="1"/>
    <cellStyle name="Hyperlink" xfId="2766" builtinId="8" hidden="1"/>
    <cellStyle name="Hyperlink" xfId="2768" builtinId="8" hidden="1"/>
    <cellStyle name="Hyperlink" xfId="2770" builtinId="8" hidden="1"/>
    <cellStyle name="Hyperlink" xfId="2772" builtinId="8" hidden="1"/>
    <cellStyle name="Hyperlink" xfId="2774" builtinId="8" hidden="1"/>
    <cellStyle name="Hyperlink" xfId="2776" builtinId="8" hidden="1"/>
    <cellStyle name="Hyperlink" xfId="2778" builtinId="8" hidden="1"/>
    <cellStyle name="Hyperlink" xfId="2780" builtinId="8" hidden="1"/>
    <cellStyle name="Hyperlink" xfId="2782" builtinId="8" hidden="1"/>
    <cellStyle name="Hyperlink" xfId="2784" builtinId="8" hidden="1"/>
    <cellStyle name="Hyperlink" xfId="2786" builtinId="8" hidden="1"/>
    <cellStyle name="Hyperlink" xfId="2788" builtinId="8" hidden="1"/>
    <cellStyle name="Hyperlink" xfId="2790" builtinId="8" hidden="1"/>
    <cellStyle name="Hyperlink" xfId="2792" builtinId="8" hidden="1"/>
    <cellStyle name="Hyperlink" xfId="2794" builtinId="8" hidden="1"/>
    <cellStyle name="Hyperlink" xfId="2796" builtinId="8" hidden="1"/>
    <cellStyle name="Hyperlink" xfId="2798" builtinId="8" hidden="1"/>
    <cellStyle name="Hyperlink" xfId="2800" builtinId="8" hidden="1"/>
    <cellStyle name="Hyperlink" xfId="2802" builtinId="8" hidden="1"/>
    <cellStyle name="Hyperlink" xfId="2804" builtinId="8" hidden="1"/>
    <cellStyle name="Hyperlink" xfId="2806" builtinId="8" hidden="1"/>
    <cellStyle name="Hyperlink" xfId="2808" builtinId="8" hidden="1"/>
    <cellStyle name="Hyperlink" xfId="2810" builtinId="8" hidden="1"/>
    <cellStyle name="Hyperlink" xfId="2812" builtinId="8" hidden="1"/>
    <cellStyle name="Hyperlink" xfId="2814" builtinId="8" hidden="1"/>
    <cellStyle name="Hyperlink" xfId="2816" builtinId="8" hidden="1"/>
    <cellStyle name="Hyperlink" xfId="2818" builtinId="8" hidden="1"/>
    <cellStyle name="Hyperlink" xfId="2820" builtinId="8" hidden="1"/>
    <cellStyle name="Hyperlink" xfId="2822" builtinId="8" hidden="1"/>
    <cellStyle name="Hyperlink" xfId="2824" builtinId="8" hidden="1"/>
    <cellStyle name="Hyperlink" xfId="2826" builtinId="8" hidden="1"/>
    <cellStyle name="Hyperlink" xfId="2828" builtinId="8" hidden="1"/>
    <cellStyle name="Hyperlink" xfId="2830" builtinId="8" hidden="1"/>
    <cellStyle name="Hyperlink" xfId="2832" builtinId="8" hidden="1"/>
    <cellStyle name="Hyperlink" xfId="2834" builtinId="8" hidden="1"/>
    <cellStyle name="Hyperlink" xfId="2836" builtinId="8" hidden="1"/>
    <cellStyle name="Hyperlink" xfId="2838" builtinId="8" hidden="1"/>
    <cellStyle name="Hyperlink" xfId="2840" builtinId="8" hidden="1"/>
    <cellStyle name="Hyperlink" xfId="2842" builtinId="8" hidden="1"/>
    <cellStyle name="Hyperlink" xfId="2844" builtinId="8" hidden="1"/>
    <cellStyle name="Hyperlink" xfId="2846" builtinId="8" hidden="1"/>
    <cellStyle name="Hyperlink" xfId="2848" builtinId="8" hidden="1"/>
    <cellStyle name="Hyperlink" xfId="2850" builtinId="8" hidden="1"/>
    <cellStyle name="Hyperlink" xfId="2852" builtinId="8" hidden="1"/>
    <cellStyle name="Hyperlink" xfId="2854" builtinId="8" hidden="1"/>
    <cellStyle name="Hyperlink" xfId="2856" builtinId="8" hidden="1"/>
    <cellStyle name="Hyperlink" xfId="2858" builtinId="8" hidden="1"/>
    <cellStyle name="Hyperlink" xfId="2860" builtinId="8" hidden="1"/>
    <cellStyle name="Hyperlink" xfId="2862" builtinId="8" hidden="1"/>
    <cellStyle name="Hyperlink" xfId="2864" builtinId="8" hidden="1"/>
    <cellStyle name="Hyperlink" xfId="2866" builtinId="8" hidden="1"/>
    <cellStyle name="Hyperlink" xfId="2868" builtinId="8" hidden="1"/>
    <cellStyle name="Hyperlink" xfId="2870" builtinId="8" hidden="1"/>
    <cellStyle name="Hyperlink" xfId="2872" builtinId="8" hidden="1"/>
    <cellStyle name="Hyperlink" xfId="2874" builtinId="8" hidden="1"/>
    <cellStyle name="Hyperlink" xfId="2876" builtinId="8" hidden="1"/>
    <cellStyle name="Hyperlink" xfId="2878" builtinId="8" hidden="1"/>
    <cellStyle name="Hyperlink" xfId="2880" builtinId="8" hidden="1"/>
    <cellStyle name="Hyperlink" xfId="2882" builtinId="8" hidden="1"/>
    <cellStyle name="Hyperlink" xfId="2884" builtinId="8" hidden="1"/>
    <cellStyle name="Hyperlink" xfId="2886" builtinId="8" hidden="1"/>
    <cellStyle name="Hyperlink" xfId="2888" builtinId="8" hidden="1"/>
    <cellStyle name="Hyperlink" xfId="2890" builtinId="8" hidden="1"/>
    <cellStyle name="Hyperlink" xfId="2892" builtinId="8" hidden="1"/>
    <cellStyle name="Hyperlink" xfId="2894" builtinId="8" hidden="1"/>
    <cellStyle name="Hyperlink" xfId="2896" builtinId="8" hidden="1"/>
    <cellStyle name="Hyperlink" xfId="2898" builtinId="8" hidden="1"/>
    <cellStyle name="Hyperlink" xfId="2900" builtinId="8" hidden="1"/>
    <cellStyle name="Hyperlink" xfId="2902" builtinId="8" hidden="1"/>
    <cellStyle name="Hyperlink" xfId="2904" builtinId="8" hidden="1"/>
    <cellStyle name="Hyperlink" xfId="2906" builtinId="8" hidden="1"/>
    <cellStyle name="Hyperlink" xfId="2908" builtinId="8" hidden="1"/>
    <cellStyle name="Hyperlink" xfId="2910" builtinId="8" hidden="1"/>
    <cellStyle name="Hyperlink" xfId="2912" builtinId="8" hidden="1"/>
    <cellStyle name="Hyperlink" xfId="2914" builtinId="8" hidden="1"/>
    <cellStyle name="Hyperlink" xfId="2916" builtinId="8" hidden="1"/>
    <cellStyle name="Hyperlink" xfId="2918" builtinId="8" hidden="1"/>
    <cellStyle name="Hyperlink" xfId="2920" builtinId="8" hidden="1"/>
    <cellStyle name="Hyperlink" xfId="2922" builtinId="8" hidden="1"/>
    <cellStyle name="Hyperlink" xfId="2924" builtinId="8" hidden="1"/>
    <cellStyle name="Hyperlink" xfId="2926" builtinId="8" hidden="1"/>
    <cellStyle name="Hyperlink" xfId="2928" builtinId="8" hidden="1"/>
    <cellStyle name="Hyperlink" xfId="2930" builtinId="8" hidden="1"/>
    <cellStyle name="Hyperlink" xfId="2932" builtinId="8" hidden="1"/>
    <cellStyle name="Hyperlink" xfId="2934" builtinId="8" hidden="1"/>
    <cellStyle name="Hyperlink" xfId="2936" builtinId="8" hidden="1"/>
    <cellStyle name="Hyperlink" xfId="2938" builtinId="8" hidden="1"/>
    <cellStyle name="Hyperlink" xfId="2940" builtinId="8" hidden="1"/>
    <cellStyle name="Hyperlink" xfId="2942" builtinId="8" hidden="1"/>
    <cellStyle name="Hyperlink" xfId="2944" builtinId="8" hidden="1"/>
    <cellStyle name="Hyperlink" xfId="2946" builtinId="8" hidden="1"/>
    <cellStyle name="Hyperlink" xfId="2948" builtinId="8" hidden="1"/>
    <cellStyle name="Hyperlink" xfId="2950" builtinId="8" hidden="1"/>
    <cellStyle name="Hyperlink" xfId="2952" builtinId="8" hidden="1"/>
    <cellStyle name="Hyperlink" xfId="2954" builtinId="8" hidden="1"/>
    <cellStyle name="Hyperlink" xfId="2956" builtinId="8" hidden="1"/>
    <cellStyle name="Hyperlink" xfId="2958" builtinId="8" hidden="1"/>
    <cellStyle name="Hyperlink" xfId="2960" builtinId="8" hidden="1"/>
    <cellStyle name="Hyperlink" xfId="2962" builtinId="8" hidden="1"/>
    <cellStyle name="Hyperlink" xfId="2964" builtinId="8" hidden="1"/>
    <cellStyle name="Hyperlink" xfId="2966" builtinId="8" hidden="1"/>
    <cellStyle name="Hyperlink" xfId="2968" builtinId="8" hidden="1"/>
    <cellStyle name="Hyperlink" xfId="2970" builtinId="8" hidden="1"/>
    <cellStyle name="Hyperlink" xfId="2972" builtinId="8" hidden="1"/>
    <cellStyle name="Hyperlink" xfId="2974" builtinId="8" hidden="1"/>
    <cellStyle name="Hyperlink" xfId="2976" builtinId="8" hidden="1"/>
    <cellStyle name="Hyperlink" xfId="2978" builtinId="8" hidden="1"/>
    <cellStyle name="Hyperlink" xfId="2980" builtinId="8" hidden="1"/>
    <cellStyle name="Hyperlink" xfId="2982" builtinId="8" hidden="1"/>
    <cellStyle name="Hyperlink" xfId="2984" builtinId="8" hidden="1"/>
    <cellStyle name="Hyperlink" xfId="2986" builtinId="8" hidden="1"/>
    <cellStyle name="Hyperlink" xfId="2988" builtinId="8" hidden="1"/>
    <cellStyle name="Hyperlink" xfId="2990" builtinId="8" hidden="1"/>
    <cellStyle name="Hyperlink" xfId="2992" builtinId="8" hidden="1"/>
    <cellStyle name="Hyperlink" xfId="2994" builtinId="8" hidden="1"/>
    <cellStyle name="Hyperlink" xfId="2996" builtinId="8" hidden="1"/>
    <cellStyle name="Hyperlink" xfId="2998" builtinId="8" hidden="1"/>
    <cellStyle name="Hyperlink" xfId="3000" builtinId="8" hidden="1"/>
    <cellStyle name="Hyperlink" xfId="3002" builtinId="8" hidden="1"/>
    <cellStyle name="Hyperlink" xfId="3004" builtinId="8" hidden="1"/>
    <cellStyle name="Hyperlink" xfId="3006" builtinId="8" hidden="1"/>
    <cellStyle name="Hyperlink" xfId="3008" builtinId="8" hidden="1"/>
    <cellStyle name="Hyperlink" xfId="3010" builtinId="8" hidden="1"/>
    <cellStyle name="Hyperlink" xfId="3012" builtinId="8" hidden="1"/>
    <cellStyle name="Hyperlink" xfId="3014" builtinId="8" hidden="1"/>
    <cellStyle name="Hyperlink" xfId="3016" builtinId="8" hidden="1"/>
    <cellStyle name="Hyperlink" xfId="3018" builtinId="8" hidden="1"/>
    <cellStyle name="Hyperlink" xfId="3020" builtinId="8" hidden="1"/>
    <cellStyle name="Hyperlink" xfId="3022" builtinId="8" hidden="1"/>
    <cellStyle name="Hyperlink" xfId="3024" builtinId="8" hidden="1"/>
    <cellStyle name="Hyperlink" xfId="3026" builtinId="8" hidden="1"/>
    <cellStyle name="Hyperlink" xfId="3028" builtinId="8" hidden="1"/>
    <cellStyle name="Hyperlink" xfId="3030" builtinId="8" hidden="1"/>
    <cellStyle name="Hyperlink" xfId="3032" builtinId="8" hidden="1"/>
    <cellStyle name="Hyperlink" xfId="3034" builtinId="8" hidden="1"/>
    <cellStyle name="Hyperlink" xfId="3036" builtinId="8" hidden="1"/>
    <cellStyle name="Hyperlink" xfId="3038" builtinId="8" hidden="1"/>
    <cellStyle name="Hyperlink" xfId="3040" builtinId="8" hidden="1"/>
    <cellStyle name="Hyperlink" xfId="3042" builtinId="8" hidden="1"/>
    <cellStyle name="Hyperlink" xfId="3044" builtinId="8" hidden="1"/>
    <cellStyle name="Hyperlink" xfId="3046" builtinId="8" hidden="1"/>
    <cellStyle name="Hyperlink" xfId="3048" builtinId="8" hidden="1"/>
    <cellStyle name="Hyperlink" xfId="3050" builtinId="8" hidden="1"/>
    <cellStyle name="Hyperlink" xfId="3052" builtinId="8" hidden="1"/>
    <cellStyle name="Hyperlink" xfId="3054" builtinId="8" hidden="1"/>
    <cellStyle name="Hyperlink" xfId="3056" builtinId="8" hidden="1"/>
    <cellStyle name="Hyperlink" xfId="3058" builtinId="8" hidden="1"/>
    <cellStyle name="Hyperlink" xfId="3060" builtinId="8" hidden="1"/>
    <cellStyle name="Hyperlink" xfId="3062" builtinId="8" hidden="1"/>
    <cellStyle name="Hyperlink" xfId="3064" builtinId="8" hidden="1"/>
    <cellStyle name="Hyperlink" xfId="3066" builtinId="8" hidden="1"/>
    <cellStyle name="Hyperlink" xfId="3068" builtinId="8" hidden="1"/>
    <cellStyle name="Hyperlink" xfId="3070" builtinId="8" hidden="1"/>
    <cellStyle name="Hyperlink" xfId="3072" builtinId="8" hidden="1"/>
    <cellStyle name="Hyperlink" xfId="3074" builtinId="8" hidden="1"/>
    <cellStyle name="Hyperlink" xfId="3076" builtinId="8" hidden="1"/>
    <cellStyle name="Hyperlink" xfId="3078" builtinId="8" hidden="1"/>
    <cellStyle name="Hyperlink" xfId="3080" builtinId="8" hidden="1"/>
    <cellStyle name="Hyperlink" xfId="3082" builtinId="8" hidden="1"/>
    <cellStyle name="Hyperlink" xfId="3084" builtinId="8" hidden="1"/>
    <cellStyle name="Hyperlink" xfId="3086" builtinId="8" hidden="1"/>
    <cellStyle name="Hyperlink" xfId="3088" builtinId="8" hidden="1"/>
    <cellStyle name="Hyperlink" xfId="3090" builtinId="8" hidden="1"/>
    <cellStyle name="Hyperlink" xfId="3092" builtinId="8" hidden="1"/>
    <cellStyle name="Hyperlink" xfId="3094" builtinId="8" hidden="1"/>
    <cellStyle name="Hyperlink" xfId="3096" builtinId="8" hidden="1"/>
    <cellStyle name="Hyperlink" xfId="3098" builtinId="8" hidden="1"/>
    <cellStyle name="Hyperlink" xfId="3100" builtinId="8" hidden="1"/>
    <cellStyle name="Hyperlink" xfId="3102" builtinId="8" hidden="1"/>
    <cellStyle name="Hyperlink" xfId="3104" builtinId="8" hidden="1"/>
    <cellStyle name="Hyperlink" xfId="3106" builtinId="8" hidden="1"/>
    <cellStyle name="Hyperlink" xfId="3108" builtinId="8" hidden="1"/>
    <cellStyle name="Hyperlink" xfId="3110" builtinId="8" hidden="1"/>
    <cellStyle name="Hyperlink" xfId="3112" builtinId="8" hidden="1"/>
    <cellStyle name="Hyperlink" xfId="3114" builtinId="8" hidden="1"/>
    <cellStyle name="Hyperlink" xfId="3116" builtinId="8" hidden="1"/>
    <cellStyle name="Hyperlink" xfId="3118" builtinId="8" hidden="1"/>
    <cellStyle name="Hyperlink" xfId="3120" builtinId="8" hidden="1"/>
    <cellStyle name="Hyperlink" xfId="3122" builtinId="8" hidden="1"/>
    <cellStyle name="Hyperlink" xfId="3124" builtinId="8" hidden="1"/>
    <cellStyle name="Hyperlink" xfId="3126" builtinId="8" hidden="1"/>
    <cellStyle name="Hyperlink" xfId="3128" builtinId="8" hidden="1"/>
    <cellStyle name="Hyperlink" xfId="3130" builtinId="8" hidden="1"/>
    <cellStyle name="Hyperlink" xfId="3132" builtinId="8" hidden="1"/>
    <cellStyle name="Hyperlink" xfId="3134" builtinId="8" hidden="1"/>
    <cellStyle name="Hyperlink" xfId="3136" builtinId="8" hidden="1"/>
    <cellStyle name="Hyperlink" xfId="3138" builtinId="8" hidden="1"/>
    <cellStyle name="Hyperlink" xfId="3140" builtinId="8" hidden="1"/>
    <cellStyle name="Hyperlink" xfId="3142" builtinId="8" hidden="1"/>
    <cellStyle name="Hyperlink" xfId="3144" builtinId="8" hidden="1"/>
    <cellStyle name="Hyperlink" xfId="3146" builtinId="8" hidden="1"/>
    <cellStyle name="Hyperlink" xfId="3148" builtinId="8" hidden="1"/>
    <cellStyle name="Hyperlink" xfId="3150" builtinId="8" hidden="1"/>
    <cellStyle name="Hyperlink" xfId="3152" builtinId="8" hidden="1"/>
    <cellStyle name="Hyperlink" xfId="3154" builtinId="8" hidden="1"/>
    <cellStyle name="Hyperlink" xfId="3156" builtinId="8" hidden="1"/>
    <cellStyle name="Hyperlink" xfId="3158" builtinId="8" hidden="1"/>
    <cellStyle name="Hyperlink" xfId="3160" builtinId="8" hidden="1"/>
    <cellStyle name="Hyperlink" xfId="3162" builtinId="8" hidden="1"/>
    <cellStyle name="Hyperlink" xfId="3164" builtinId="8" hidden="1"/>
    <cellStyle name="Hyperlink" xfId="3166" builtinId="8" hidden="1"/>
    <cellStyle name="Hyperlink" xfId="3168" builtinId="8" hidden="1"/>
    <cellStyle name="Hyperlink" xfId="3170" builtinId="8" hidden="1"/>
    <cellStyle name="Hyperlink" xfId="3172" builtinId="8" hidden="1"/>
    <cellStyle name="Hyperlink" xfId="3174" builtinId="8" hidden="1"/>
    <cellStyle name="Hyperlink" xfId="3176" builtinId="8" hidden="1"/>
    <cellStyle name="Hyperlink" xfId="3178" builtinId="8" hidden="1"/>
    <cellStyle name="Hyperlink" xfId="3180" builtinId="8" hidden="1"/>
    <cellStyle name="Hyperlink" xfId="3182" builtinId="8" hidden="1"/>
    <cellStyle name="Hyperlink" xfId="3184" builtinId="8" hidden="1"/>
    <cellStyle name="Hyperlink" xfId="3186" builtinId="8" hidden="1"/>
    <cellStyle name="Hyperlink" xfId="3188" builtinId="8" hidden="1"/>
    <cellStyle name="Hyperlink" xfId="3190" builtinId="8" hidden="1"/>
    <cellStyle name="Hyperlink" xfId="3192" builtinId="8" hidden="1"/>
    <cellStyle name="Hyperlink" xfId="3194" builtinId="8" hidden="1"/>
    <cellStyle name="Hyperlink" xfId="3196" builtinId="8" hidden="1"/>
    <cellStyle name="Hyperlink" xfId="3198" builtinId="8" hidden="1"/>
    <cellStyle name="Hyperlink" xfId="3200" builtinId="8" hidden="1"/>
    <cellStyle name="Hyperlink" xfId="3202" builtinId="8" hidden="1"/>
    <cellStyle name="Hyperlink" xfId="3204" builtinId="8" hidden="1"/>
    <cellStyle name="Hyperlink" xfId="3206" builtinId="8" hidden="1"/>
    <cellStyle name="Hyperlink" xfId="3208" builtinId="8" hidden="1"/>
    <cellStyle name="Hyperlink" xfId="3210" builtinId="8" hidden="1"/>
    <cellStyle name="Hyperlink" xfId="3212" builtinId="8" hidden="1"/>
    <cellStyle name="Hyperlink" xfId="3214" builtinId="8" hidden="1"/>
    <cellStyle name="Hyperlink" xfId="3216" builtinId="8" hidden="1"/>
    <cellStyle name="Hyperlink" xfId="3218" builtinId="8" hidden="1"/>
    <cellStyle name="Hyperlink" xfId="3220" builtinId="8" hidden="1"/>
    <cellStyle name="Hyperlink" xfId="3222" builtinId="8" hidden="1"/>
    <cellStyle name="Hyperlink" xfId="3224" builtinId="8" hidden="1"/>
    <cellStyle name="Hyperlink" xfId="3226" builtinId="8" hidden="1"/>
    <cellStyle name="Hyperlink" xfId="3228" builtinId="8" hidden="1"/>
    <cellStyle name="Hyperlink" xfId="3230" builtinId="8" hidden="1"/>
    <cellStyle name="Hyperlink" xfId="3232" builtinId="8" hidden="1"/>
    <cellStyle name="Hyperlink" xfId="3234" builtinId="8" hidden="1"/>
    <cellStyle name="Hyperlink" xfId="3236" builtinId="8" hidden="1"/>
    <cellStyle name="Hyperlink" xfId="3238" builtinId="8" hidden="1"/>
    <cellStyle name="Hyperlink" xfId="3240" builtinId="8" hidden="1"/>
    <cellStyle name="Hyperlink" xfId="3242" builtinId="8" hidden="1"/>
    <cellStyle name="Hyperlink" xfId="3244" builtinId="8" hidden="1"/>
    <cellStyle name="Hyperlink" xfId="3246" builtinId="8" hidden="1"/>
    <cellStyle name="Hyperlink" xfId="3248" builtinId="8" hidden="1"/>
    <cellStyle name="Hyperlink" xfId="3250" builtinId="8" hidden="1"/>
    <cellStyle name="Hyperlink" xfId="3252" builtinId="8" hidden="1"/>
    <cellStyle name="Hyperlink" xfId="3254" builtinId="8" hidden="1"/>
    <cellStyle name="Hyperlink" xfId="3256" builtinId="8" hidden="1"/>
    <cellStyle name="Hyperlink" xfId="3258" builtinId="8" hidden="1"/>
    <cellStyle name="Hyperlink" xfId="3260" builtinId="8" hidden="1"/>
    <cellStyle name="Hyperlink" xfId="3262" builtinId="8" hidden="1"/>
    <cellStyle name="Hyperlink" xfId="3264" builtinId="8" hidden="1"/>
    <cellStyle name="Hyperlink" xfId="3266" builtinId="8" hidden="1"/>
    <cellStyle name="Hyperlink" xfId="3268" builtinId="8" hidden="1"/>
    <cellStyle name="Hyperlink" xfId="3270" builtinId="8" hidden="1"/>
    <cellStyle name="Hyperlink" xfId="3272" builtinId="8" hidden="1"/>
    <cellStyle name="Hyperlink" xfId="3274" builtinId="8" hidden="1"/>
    <cellStyle name="Hyperlink" xfId="3276" builtinId="8" hidden="1"/>
    <cellStyle name="Hyperlink" xfId="3278" builtinId="8" hidden="1"/>
    <cellStyle name="Hyperlink" xfId="3280" builtinId="8" hidden="1"/>
    <cellStyle name="Hyperlink" xfId="3282" builtinId="8" hidden="1"/>
    <cellStyle name="Hyperlink" xfId="3284" builtinId="8" hidden="1"/>
    <cellStyle name="Hyperlink" xfId="3286" builtinId="8" hidden="1"/>
    <cellStyle name="Hyperlink" xfId="3288" builtinId="8" hidden="1"/>
    <cellStyle name="Hyperlink" xfId="3290" builtinId="8" hidden="1"/>
    <cellStyle name="Hyperlink" xfId="3292" builtinId="8" hidden="1"/>
    <cellStyle name="Hyperlink" xfId="3294" builtinId="8" hidden="1"/>
    <cellStyle name="Hyperlink" xfId="3296" builtinId="8" hidden="1"/>
    <cellStyle name="Hyperlink" xfId="3298" builtinId="8" hidden="1"/>
    <cellStyle name="Hyperlink" xfId="3300" builtinId="8" hidden="1"/>
    <cellStyle name="Hyperlink" xfId="3302" builtinId="8" hidden="1"/>
    <cellStyle name="Hyperlink" xfId="3304" builtinId="8" hidden="1"/>
    <cellStyle name="Hyperlink" xfId="3306" builtinId="8" hidden="1"/>
    <cellStyle name="Hyperlink" xfId="3308" builtinId="8" hidden="1"/>
    <cellStyle name="Hyperlink" xfId="3310" builtinId="8" hidden="1"/>
    <cellStyle name="Hyperlink" xfId="3312" builtinId="8" hidden="1"/>
    <cellStyle name="Hyperlink" xfId="3314" builtinId="8" hidden="1"/>
    <cellStyle name="Hyperlink" xfId="3316" builtinId="8" hidden="1"/>
    <cellStyle name="Hyperlink" xfId="3318" builtinId="8" hidden="1"/>
    <cellStyle name="Hyperlink" xfId="3320" builtinId="8" hidden="1"/>
    <cellStyle name="Hyperlink" xfId="3322" builtinId="8" hidden="1"/>
    <cellStyle name="Hyperlink" xfId="3324" builtinId="8" hidden="1"/>
    <cellStyle name="Hyperlink" xfId="3326" builtinId="8" hidden="1"/>
    <cellStyle name="Hyperlink" xfId="3328" builtinId="8" hidden="1"/>
    <cellStyle name="Hyperlink" xfId="3330" builtinId="8" hidden="1"/>
    <cellStyle name="Hyperlink" xfId="3332" builtinId="8" hidden="1"/>
    <cellStyle name="Hyperlink" xfId="3334" builtinId="8" hidden="1"/>
    <cellStyle name="Hyperlink" xfId="3336" builtinId="8" hidden="1"/>
    <cellStyle name="Hyperlink" xfId="3338" builtinId="8" hidden="1"/>
    <cellStyle name="Hyperlink" xfId="3340" builtinId="8" hidden="1"/>
    <cellStyle name="Hyperlink" xfId="3342" builtinId="8" hidden="1"/>
    <cellStyle name="Hyperlink" xfId="3344" builtinId="8" hidden="1"/>
    <cellStyle name="Hyperlink" xfId="3346" builtinId="8" hidden="1"/>
    <cellStyle name="Hyperlink" xfId="3348" builtinId="8" hidden="1"/>
    <cellStyle name="Hyperlink" xfId="3350" builtinId="8" hidden="1"/>
    <cellStyle name="Hyperlink" xfId="3352" builtinId="8" hidden="1"/>
    <cellStyle name="Hyperlink" xfId="3354" builtinId="8" hidden="1"/>
    <cellStyle name="Hyperlink" xfId="3356" builtinId="8" hidden="1"/>
    <cellStyle name="Hyperlink" xfId="3358" builtinId="8" hidden="1"/>
    <cellStyle name="Hyperlink" xfId="3360" builtinId="8" hidden="1"/>
    <cellStyle name="Hyperlink" xfId="3362" builtinId="8" hidden="1"/>
    <cellStyle name="Hyperlink" xfId="3364" builtinId="8" hidden="1"/>
    <cellStyle name="Hyperlink" xfId="3366" builtinId="8" hidden="1"/>
    <cellStyle name="Hyperlink" xfId="3368" builtinId="8" hidden="1"/>
    <cellStyle name="Hyperlink" xfId="3370" builtinId="8" hidden="1"/>
    <cellStyle name="Hyperlink" xfId="3372" builtinId="8" hidden="1"/>
    <cellStyle name="Hyperlink" xfId="3374" builtinId="8" hidden="1"/>
    <cellStyle name="Hyperlink" xfId="3376" builtinId="8" hidden="1"/>
    <cellStyle name="Hyperlink" xfId="3378" builtinId="8" hidden="1"/>
    <cellStyle name="Hyperlink" xfId="3380" builtinId="8" hidden="1"/>
    <cellStyle name="Hyperlink" xfId="3382" builtinId="8" hidden="1"/>
    <cellStyle name="Hyperlink" xfId="3384" builtinId="8" hidden="1"/>
    <cellStyle name="Hyperlink" xfId="3386" builtinId="8" hidden="1"/>
    <cellStyle name="Hyperlink" xfId="3388" builtinId="8" hidden="1"/>
    <cellStyle name="Hyperlink" xfId="3390" builtinId="8" hidden="1"/>
    <cellStyle name="Hyperlink" xfId="3392" builtinId="8" hidden="1"/>
    <cellStyle name="Hyperlink" xfId="3394" builtinId="8" hidden="1"/>
    <cellStyle name="Hyperlink" xfId="3396" builtinId="8" hidden="1"/>
    <cellStyle name="Hyperlink" xfId="3398" builtinId="8" hidden="1"/>
    <cellStyle name="Hyperlink" xfId="3400" builtinId="8" hidden="1"/>
    <cellStyle name="Hyperlink" xfId="3402" builtinId="8" hidden="1"/>
    <cellStyle name="Hyperlink" xfId="3404" builtinId="8" hidden="1"/>
    <cellStyle name="Hyperlink" xfId="3406" builtinId="8" hidden="1"/>
    <cellStyle name="Hyperlink" xfId="3408" builtinId="8" hidden="1"/>
    <cellStyle name="Hyperlink" xfId="3410" builtinId="8" hidden="1"/>
    <cellStyle name="Hyperlink" xfId="3412" builtinId="8" hidden="1"/>
    <cellStyle name="Hyperlink" xfId="3414" builtinId="8" hidden="1"/>
    <cellStyle name="Hyperlink" xfId="3416" builtinId="8" hidden="1"/>
    <cellStyle name="Hyperlink" xfId="3418" builtinId="8" hidden="1"/>
    <cellStyle name="Hyperlink" xfId="3420" builtinId="8" hidden="1"/>
    <cellStyle name="Hyperlink" xfId="3422" builtinId="8" hidden="1"/>
    <cellStyle name="Hyperlink" xfId="3424" builtinId="8" hidden="1"/>
    <cellStyle name="Hyperlink" xfId="3426" builtinId="8" hidden="1"/>
    <cellStyle name="Hyperlink" xfId="3428" builtinId="8" hidden="1"/>
    <cellStyle name="Hyperlink" xfId="3430" builtinId="8" hidden="1"/>
    <cellStyle name="Hyperlink" xfId="3432" builtinId="8" hidden="1"/>
    <cellStyle name="Hyperlink" xfId="3434" builtinId="8" hidden="1"/>
    <cellStyle name="Hyperlink" xfId="3436" builtinId="8" hidden="1"/>
    <cellStyle name="Hyperlink" xfId="3438" builtinId="8" hidden="1"/>
    <cellStyle name="Hyperlink" xfId="3440" builtinId="8" hidden="1"/>
    <cellStyle name="Hyperlink" xfId="3442" builtinId="8" hidden="1"/>
    <cellStyle name="Hyperlink" xfId="3444" builtinId="8" hidden="1"/>
    <cellStyle name="Hyperlink" xfId="3446" builtinId="8" hidden="1"/>
    <cellStyle name="Hyperlink" xfId="3448" builtinId="8" hidden="1"/>
    <cellStyle name="Hyperlink" xfId="3450" builtinId="8" hidden="1"/>
    <cellStyle name="Hyperlink" xfId="3452" builtinId="8" hidden="1"/>
    <cellStyle name="Hyperlink" xfId="3454" builtinId="8" hidden="1"/>
    <cellStyle name="Hyperlink" xfId="3456" builtinId="8" hidden="1"/>
    <cellStyle name="Hyperlink" xfId="3458" builtinId="8" hidden="1"/>
    <cellStyle name="Hyperlink" xfId="3460" builtinId="8" hidden="1"/>
    <cellStyle name="Hyperlink" xfId="3462" builtinId="8" hidden="1"/>
    <cellStyle name="Hyperlink" xfId="3464" builtinId="8" hidden="1"/>
    <cellStyle name="Hyperlink" xfId="3466" builtinId="8" hidden="1"/>
    <cellStyle name="Hyperlink" xfId="3468" builtinId="8" hidden="1"/>
    <cellStyle name="Hyperlink" xfId="3470" builtinId="8" hidden="1"/>
    <cellStyle name="Hyperlink" xfId="3472" builtinId="8" hidden="1"/>
    <cellStyle name="Hyperlink" xfId="3474" builtinId="8" hidden="1"/>
    <cellStyle name="Hyperlink" xfId="3476" builtinId="8" hidden="1"/>
    <cellStyle name="Hyperlink" xfId="3478" builtinId="8" hidden="1"/>
    <cellStyle name="Hyperlink" xfId="3480" builtinId="8" hidden="1"/>
    <cellStyle name="Hyperlink" xfId="3482" builtinId="8" hidden="1"/>
    <cellStyle name="Hyperlink" xfId="3484" builtinId="8" hidden="1"/>
    <cellStyle name="Hyperlink" xfId="3486" builtinId="8" hidden="1"/>
    <cellStyle name="Hyperlink" xfId="3488" builtinId="8" hidden="1"/>
    <cellStyle name="Hyperlink" xfId="3490" builtinId="8" hidden="1"/>
    <cellStyle name="Hyperlink" xfId="3492" builtinId="8" hidden="1"/>
    <cellStyle name="Hyperlink" xfId="3494" builtinId="8" hidden="1"/>
    <cellStyle name="Hyperlink" xfId="3496" builtinId="8" hidden="1"/>
    <cellStyle name="Hyperlink" xfId="3498" builtinId="8" hidden="1"/>
    <cellStyle name="Hyperlink" xfId="3500" builtinId="8" hidden="1"/>
    <cellStyle name="Hyperlink" xfId="3502" builtinId="8" hidden="1"/>
    <cellStyle name="Hyperlink" xfId="3504" builtinId="8" hidden="1"/>
    <cellStyle name="Hyperlink" xfId="3506" builtinId="8" hidden="1"/>
    <cellStyle name="Hyperlink" xfId="3508" builtinId="8" hidden="1"/>
    <cellStyle name="Hyperlink" xfId="3510" builtinId="8" hidden="1"/>
    <cellStyle name="Hyperlink" xfId="3512" builtinId="8" hidden="1"/>
    <cellStyle name="Hyperlink" xfId="3514" builtinId="8" hidden="1"/>
    <cellStyle name="Hyperlink" xfId="3516" builtinId="8" hidden="1"/>
    <cellStyle name="Hyperlink" xfId="3518" builtinId="8" hidden="1"/>
    <cellStyle name="Hyperlink" xfId="3520" builtinId="8" hidden="1"/>
    <cellStyle name="Hyperlink" xfId="3522" builtinId="8" hidden="1"/>
    <cellStyle name="Hyperlink" xfId="3524" builtinId="8" hidden="1"/>
    <cellStyle name="Hyperlink" xfId="3526" builtinId="8" hidden="1"/>
    <cellStyle name="Hyperlink" xfId="3528" builtinId="8" hidden="1"/>
    <cellStyle name="Hyperlink" xfId="3530" builtinId="8" hidden="1"/>
    <cellStyle name="Hyperlink" xfId="3532" builtinId="8" hidden="1"/>
    <cellStyle name="Hyperlink" xfId="3534" builtinId="8" hidden="1"/>
    <cellStyle name="Hyperlink" xfId="3536" builtinId="8" hidden="1"/>
    <cellStyle name="Hyperlink" xfId="3538" builtinId="8" hidden="1"/>
    <cellStyle name="Hyperlink" xfId="3540" builtinId="8" hidden="1"/>
    <cellStyle name="Hyperlink" xfId="3542" builtinId="8" hidden="1"/>
    <cellStyle name="Hyperlink" xfId="3544" builtinId="8" hidden="1"/>
    <cellStyle name="Hyperlink" xfId="3546" builtinId="8" hidden="1"/>
    <cellStyle name="Hyperlink" xfId="3548" builtinId="8" hidden="1"/>
    <cellStyle name="Hyperlink" xfId="3550" builtinId="8" hidden="1"/>
    <cellStyle name="Hyperlink" xfId="3552" builtinId="8" hidden="1"/>
    <cellStyle name="Hyperlink" xfId="3554" builtinId="8" hidden="1"/>
    <cellStyle name="Hyperlink" xfId="3556" builtinId="8" hidden="1"/>
    <cellStyle name="Hyperlink" xfId="3558" builtinId="8" hidden="1"/>
    <cellStyle name="Hyperlink" xfId="3560" builtinId="8" hidden="1"/>
    <cellStyle name="Hyperlink" xfId="3562" builtinId="8" hidden="1"/>
    <cellStyle name="Hyperlink" xfId="3564" builtinId="8" hidden="1"/>
    <cellStyle name="Hyperlink" xfId="3566" builtinId="8" hidden="1"/>
    <cellStyle name="Hyperlink" xfId="3568" builtinId="8" hidden="1"/>
    <cellStyle name="Hyperlink" xfId="3570" builtinId="8" hidden="1"/>
    <cellStyle name="Hyperlink" xfId="3572" builtinId="8" hidden="1"/>
    <cellStyle name="Hyperlink" xfId="3574" builtinId="8" hidden="1"/>
    <cellStyle name="Hyperlink" xfId="3576" builtinId="8" hidden="1"/>
    <cellStyle name="Hyperlink" xfId="3578" builtinId="8" hidden="1"/>
    <cellStyle name="Hyperlink" xfId="3580" builtinId="8" hidden="1"/>
    <cellStyle name="Hyperlink" xfId="3582" builtinId="8" hidden="1"/>
    <cellStyle name="Hyperlink" xfId="3584" builtinId="8" hidden="1"/>
    <cellStyle name="Hyperlink" xfId="3586" builtinId="8" hidden="1"/>
    <cellStyle name="Hyperlink" xfId="3588" builtinId="8" hidden="1"/>
    <cellStyle name="Hyperlink" xfId="3590" builtinId="8" hidden="1"/>
    <cellStyle name="Hyperlink" xfId="3592" builtinId="8" hidden="1"/>
    <cellStyle name="Hyperlink" xfId="3594" builtinId="8" hidden="1"/>
    <cellStyle name="Hyperlink" xfId="3596" builtinId="8" hidden="1"/>
    <cellStyle name="Hyperlink" xfId="3598" builtinId="8" hidden="1"/>
    <cellStyle name="Hyperlink" xfId="3600" builtinId="8" hidden="1"/>
    <cellStyle name="Hyperlink" xfId="3602" builtinId="8" hidden="1"/>
    <cellStyle name="Hyperlink" xfId="3604" builtinId="8" hidden="1"/>
    <cellStyle name="Hyperlink" xfId="3606" builtinId="8" hidden="1"/>
    <cellStyle name="Hyperlink" xfId="3608" builtinId="8" hidden="1"/>
    <cellStyle name="Hyperlink" xfId="3610" builtinId="8" hidden="1"/>
    <cellStyle name="Hyperlink" xfId="3612" builtinId="8" hidden="1"/>
    <cellStyle name="Hyperlink" xfId="3614" builtinId="8" hidden="1"/>
    <cellStyle name="Hyperlink" xfId="3616" builtinId="8" hidden="1"/>
    <cellStyle name="Hyperlink" xfId="3618" builtinId="8" hidden="1"/>
    <cellStyle name="Hyperlink" xfId="3620" builtinId="8" hidden="1"/>
    <cellStyle name="Hyperlink" xfId="3622" builtinId="8" hidden="1"/>
    <cellStyle name="Hyperlink" xfId="3624" builtinId="8" hidden="1"/>
    <cellStyle name="Hyperlink" xfId="3626" builtinId="8" hidden="1"/>
    <cellStyle name="Hyperlink" xfId="3628" builtinId="8" hidden="1"/>
    <cellStyle name="Hyperlink" xfId="3630" builtinId="8" hidden="1"/>
    <cellStyle name="Hyperlink" xfId="3632" builtinId="8" hidden="1"/>
    <cellStyle name="Hyperlink" xfId="3634" builtinId="8" hidden="1"/>
    <cellStyle name="Hyperlink" xfId="3636" builtinId="8" hidden="1"/>
    <cellStyle name="Hyperlink" xfId="3638" builtinId="8" hidden="1"/>
    <cellStyle name="Hyperlink" xfId="3640" builtinId="8" hidden="1"/>
    <cellStyle name="Hyperlink" xfId="3642" builtinId="8" hidden="1"/>
    <cellStyle name="Hyperlink" xfId="3644" builtinId="8" hidden="1"/>
    <cellStyle name="Hyperlink" xfId="3646" builtinId="8" hidden="1"/>
    <cellStyle name="Hyperlink" xfId="3648" builtinId="8" hidden="1"/>
    <cellStyle name="Hyperlink" xfId="3650" builtinId="8" hidden="1"/>
    <cellStyle name="Hyperlink" xfId="3652" builtinId="8" hidden="1"/>
    <cellStyle name="Hyperlink" xfId="3654" builtinId="8" hidden="1"/>
    <cellStyle name="Hyperlink" xfId="3656" builtinId="8" hidden="1"/>
    <cellStyle name="Hyperlink" xfId="3658" builtinId="8" hidden="1"/>
    <cellStyle name="Hyperlink" xfId="3660" builtinId="8" hidden="1"/>
    <cellStyle name="Hyperlink" xfId="3662" builtinId="8" hidden="1"/>
    <cellStyle name="Hyperlink" xfId="3664" builtinId="8" hidden="1"/>
    <cellStyle name="Hyperlink" xfId="3666" builtinId="8" hidden="1"/>
    <cellStyle name="Hyperlink" xfId="3668" builtinId="8" hidden="1"/>
    <cellStyle name="Hyperlink" xfId="3670" builtinId="8" hidden="1"/>
    <cellStyle name="Hyperlink" xfId="3672" builtinId="8" hidden="1"/>
    <cellStyle name="Hyperlink" xfId="3674" builtinId="8" hidden="1"/>
    <cellStyle name="Hyperlink" xfId="3676" builtinId="8" hidden="1"/>
    <cellStyle name="Hyperlink" xfId="3678" builtinId="8" hidden="1"/>
    <cellStyle name="Hyperlink" xfId="3680" builtinId="8" hidden="1"/>
    <cellStyle name="Hyperlink" xfId="3682" builtinId="8" hidden="1"/>
    <cellStyle name="Hyperlink" xfId="3684" builtinId="8" hidden="1"/>
    <cellStyle name="Hyperlink" xfId="3686" builtinId="8" hidden="1"/>
    <cellStyle name="Hyperlink" xfId="3688" builtinId="8" hidden="1"/>
    <cellStyle name="Hyperlink" xfId="3690" builtinId="8" hidden="1"/>
    <cellStyle name="Hyperlink" xfId="3692" builtinId="8" hidden="1"/>
    <cellStyle name="Hyperlink" xfId="3694" builtinId="8" hidden="1"/>
    <cellStyle name="Hyperlink" xfId="3696" builtinId="8" hidden="1"/>
    <cellStyle name="Hyperlink" xfId="3698" builtinId="8" hidden="1"/>
    <cellStyle name="Hyperlink" xfId="3700" builtinId="8" hidden="1"/>
    <cellStyle name="Hyperlink" xfId="3702" builtinId="8" hidden="1"/>
    <cellStyle name="Hyperlink" xfId="3704" builtinId="8" hidden="1"/>
    <cellStyle name="Hyperlink" xfId="3706" builtinId="8" hidden="1"/>
    <cellStyle name="Hyperlink" xfId="3708" builtinId="8" hidden="1"/>
    <cellStyle name="Hyperlink" xfId="3710" builtinId="8" hidden="1"/>
    <cellStyle name="Hyperlink" xfId="3712" builtinId="8" hidden="1"/>
    <cellStyle name="Hyperlink" xfId="3714" builtinId="8" hidden="1"/>
    <cellStyle name="Hyperlink" xfId="3716" builtinId="8" hidden="1"/>
    <cellStyle name="Hyperlink" xfId="3718" builtinId="8" hidden="1"/>
    <cellStyle name="Hyperlink" xfId="3720" builtinId="8" hidden="1"/>
    <cellStyle name="Hyperlink" xfId="3722" builtinId="8" hidden="1"/>
    <cellStyle name="Hyperlink" xfId="3724" builtinId="8" hidden="1"/>
    <cellStyle name="Hyperlink" xfId="3726" builtinId="8" hidden="1"/>
    <cellStyle name="Hyperlink" xfId="3728" builtinId="8" hidden="1"/>
    <cellStyle name="Hyperlink" xfId="3730" builtinId="8" hidden="1"/>
    <cellStyle name="Hyperlink" xfId="3732" builtinId="8" hidden="1"/>
    <cellStyle name="Hyperlink" xfId="3734" builtinId="8" hidden="1"/>
    <cellStyle name="Hyperlink" xfId="3736" builtinId="8" hidden="1"/>
    <cellStyle name="Hyperlink" xfId="3738" builtinId="8" hidden="1"/>
    <cellStyle name="Hyperlink" xfId="3740" builtinId="8" hidden="1"/>
    <cellStyle name="Hyperlink" xfId="3742" builtinId="8" hidden="1"/>
    <cellStyle name="Hyperlink" xfId="3744" builtinId="8" hidden="1"/>
    <cellStyle name="Hyperlink" xfId="3746" builtinId="8" hidden="1"/>
    <cellStyle name="Hyperlink" xfId="3748" builtinId="8" hidden="1"/>
    <cellStyle name="Hyperlink" xfId="3750" builtinId="8" hidden="1"/>
    <cellStyle name="Hyperlink" xfId="3752" builtinId="8" hidden="1"/>
    <cellStyle name="Hyperlink" xfId="3754" builtinId="8" hidden="1"/>
    <cellStyle name="Hyperlink" xfId="3756" builtinId="8" hidden="1"/>
    <cellStyle name="Hyperlink" xfId="3758" builtinId="8" hidden="1"/>
    <cellStyle name="Hyperlink" xfId="3760" builtinId="8" hidden="1"/>
    <cellStyle name="Hyperlink" xfId="3762" builtinId="8" hidden="1"/>
    <cellStyle name="Hyperlink" xfId="3764" builtinId="8" hidden="1"/>
    <cellStyle name="Hyperlink" xfId="3766" builtinId="8" hidden="1"/>
    <cellStyle name="Hyperlink" xfId="3768" builtinId="8" hidden="1"/>
    <cellStyle name="Hyperlink" xfId="3770" builtinId="8" hidden="1"/>
    <cellStyle name="Hyperlink" xfId="3772" builtinId="8" hidden="1"/>
    <cellStyle name="Hyperlink" xfId="3774" builtinId="8" hidden="1"/>
    <cellStyle name="Hyperlink" xfId="3776" builtinId="8" hidden="1"/>
    <cellStyle name="Hyperlink" xfId="3778" builtinId="8" hidden="1"/>
    <cellStyle name="Hyperlink" xfId="3780" builtinId="8" hidden="1"/>
    <cellStyle name="Hyperlink" xfId="3782" builtinId="8" hidden="1"/>
    <cellStyle name="Hyperlink" xfId="3784" builtinId="8" hidden="1"/>
    <cellStyle name="Hyperlink" xfId="3786" builtinId="8" hidden="1"/>
    <cellStyle name="Hyperlink" xfId="3788" builtinId="8" hidden="1"/>
    <cellStyle name="Hyperlink" xfId="3790" builtinId="8" hidden="1"/>
    <cellStyle name="Hyperlink" xfId="3792" builtinId="8" hidden="1"/>
    <cellStyle name="Hyperlink" xfId="3794" builtinId="8" hidden="1"/>
    <cellStyle name="Hyperlink" xfId="3796" builtinId="8" hidden="1"/>
    <cellStyle name="Hyperlink" xfId="3798" builtinId="8" hidden="1"/>
    <cellStyle name="Hyperlink" xfId="3800" builtinId="8" hidden="1"/>
    <cellStyle name="Hyperlink" xfId="3802" builtinId="8" hidden="1"/>
    <cellStyle name="Hyperlink" xfId="3804" builtinId="8" hidden="1"/>
    <cellStyle name="Hyperlink" xfId="3806" builtinId="8" hidden="1"/>
    <cellStyle name="Hyperlink" xfId="3808" builtinId="8" hidden="1"/>
    <cellStyle name="Hyperlink" xfId="3810" builtinId="8" hidden="1"/>
    <cellStyle name="Hyperlink" xfId="3812" builtinId="8" hidden="1"/>
    <cellStyle name="Hyperlink" xfId="3814" builtinId="8" hidden="1"/>
    <cellStyle name="Hyperlink" xfId="3816" builtinId="8" hidden="1"/>
    <cellStyle name="Hyperlink" xfId="3818" builtinId="8" hidden="1"/>
    <cellStyle name="Hyperlink" xfId="3820" builtinId="8" hidden="1"/>
    <cellStyle name="Hyperlink" xfId="3822" builtinId="8" hidden="1"/>
    <cellStyle name="Hyperlink" xfId="3824" builtinId="8" hidden="1"/>
    <cellStyle name="Hyperlink" xfId="3826" builtinId="8" hidden="1"/>
    <cellStyle name="Hyperlink" xfId="3828" builtinId="8" hidden="1"/>
    <cellStyle name="Hyperlink" xfId="3830" builtinId="8" hidden="1"/>
    <cellStyle name="Hyperlink" xfId="3832" builtinId="8" hidden="1"/>
    <cellStyle name="Hyperlink" xfId="3834" builtinId="8" hidden="1"/>
    <cellStyle name="Hyperlink" xfId="3836" builtinId="8" hidden="1"/>
    <cellStyle name="Hyperlink" xfId="3838" builtinId="8" hidden="1"/>
    <cellStyle name="Hyperlink" xfId="3840" builtinId="8" hidden="1"/>
    <cellStyle name="Hyperlink" xfId="3842" builtinId="8" hidden="1"/>
    <cellStyle name="Hyperlink" xfId="3844" builtinId="8" hidden="1"/>
    <cellStyle name="Hyperlink" xfId="3846" builtinId="8" hidden="1"/>
    <cellStyle name="Hyperlink" xfId="3848" builtinId="8" hidden="1"/>
    <cellStyle name="Hyperlink" xfId="3850" builtinId="8" hidden="1"/>
    <cellStyle name="Hyperlink" xfId="3852" builtinId="8" hidden="1"/>
    <cellStyle name="Hyperlink" xfId="3854" builtinId="8" hidden="1"/>
    <cellStyle name="Hyperlink" xfId="3856" builtinId="8" hidden="1"/>
    <cellStyle name="Hyperlink" xfId="3858" builtinId="8" hidden="1"/>
    <cellStyle name="Hyperlink" xfId="3860" builtinId="8" hidden="1"/>
    <cellStyle name="Hyperlink" xfId="3862" builtinId="8" hidden="1"/>
    <cellStyle name="Hyperlink" xfId="3864" builtinId="8" hidden="1"/>
    <cellStyle name="Hyperlink" xfId="3866" builtinId="8" hidden="1"/>
    <cellStyle name="Hyperlink" xfId="3868" builtinId="8" hidden="1"/>
    <cellStyle name="Hyperlink" xfId="3870" builtinId="8" hidden="1"/>
    <cellStyle name="Hyperlink" xfId="3872" builtinId="8" hidden="1"/>
    <cellStyle name="Hyperlink" xfId="3874" builtinId="8" hidden="1"/>
    <cellStyle name="Hyperlink" xfId="3876" builtinId="8" hidden="1"/>
    <cellStyle name="Hyperlink" xfId="3878" builtinId="8" hidden="1"/>
    <cellStyle name="Hyperlink" xfId="3880" builtinId="8" hidden="1"/>
    <cellStyle name="Hyperlink" xfId="3882" builtinId="8" hidden="1"/>
    <cellStyle name="Hyperlink" xfId="3884" builtinId="8" hidden="1"/>
    <cellStyle name="Hyperlink" xfId="3886" builtinId="8" hidden="1"/>
    <cellStyle name="Hyperlink" xfId="3888" builtinId="8" hidden="1"/>
    <cellStyle name="Hyperlink" xfId="3890" builtinId="8" hidden="1"/>
    <cellStyle name="Hyperlink" xfId="3892" builtinId="8" hidden="1"/>
    <cellStyle name="Hyperlink" xfId="3894" builtinId="8" hidden="1"/>
    <cellStyle name="Hyperlink" xfId="3896" builtinId="8" hidden="1"/>
    <cellStyle name="Hyperlink" xfId="3898" builtinId="8" hidden="1"/>
    <cellStyle name="Hyperlink" xfId="3900" builtinId="8" hidden="1"/>
    <cellStyle name="Hyperlink" xfId="3902" builtinId="8" hidden="1"/>
    <cellStyle name="Hyperlink" xfId="3904" builtinId="8" hidden="1"/>
    <cellStyle name="Hyperlink" xfId="3906" builtinId="8" hidden="1"/>
    <cellStyle name="Hyperlink" xfId="3908" builtinId="8" hidden="1"/>
    <cellStyle name="Hyperlink" xfId="3910" builtinId="8" hidden="1"/>
    <cellStyle name="Hyperlink" xfId="3912" builtinId="8" hidden="1"/>
    <cellStyle name="Hyperlink" xfId="3914" builtinId="8" hidden="1"/>
    <cellStyle name="Hyperlink" xfId="3916" builtinId="8" hidden="1"/>
    <cellStyle name="Hyperlink" xfId="3918" builtinId="8" hidden="1"/>
    <cellStyle name="Hyperlink" xfId="3920" builtinId="8" hidden="1"/>
    <cellStyle name="Hyperlink" xfId="3922" builtinId="8" hidden="1"/>
    <cellStyle name="Hyperlink" xfId="3924" builtinId="8" hidden="1"/>
    <cellStyle name="Hyperlink" xfId="3926" builtinId="8" hidden="1"/>
    <cellStyle name="Hyperlink" xfId="3928" builtinId="8" hidden="1"/>
    <cellStyle name="Hyperlink" xfId="3930" builtinId="8" hidden="1"/>
    <cellStyle name="Hyperlink" xfId="3932" builtinId="8" hidden="1"/>
    <cellStyle name="Hyperlink" xfId="3934" builtinId="8" hidden="1"/>
    <cellStyle name="Hyperlink" xfId="3936" builtinId="8" hidden="1"/>
    <cellStyle name="Hyperlink" xfId="3938" builtinId="8" hidden="1"/>
    <cellStyle name="Hyperlink" xfId="3940" builtinId="8" hidden="1"/>
    <cellStyle name="Hyperlink" xfId="3942" builtinId="8" hidden="1"/>
    <cellStyle name="Hyperlink" xfId="3944" builtinId="8" hidden="1"/>
    <cellStyle name="Hyperlink" xfId="3946" builtinId="8" hidden="1"/>
    <cellStyle name="Hyperlink" xfId="3948" builtinId="8" hidden="1"/>
    <cellStyle name="Hyperlink" xfId="3950" builtinId="8" hidden="1"/>
    <cellStyle name="Hyperlink" xfId="3952" builtinId="8" hidden="1"/>
    <cellStyle name="Hyperlink" xfId="3954" builtinId="8" hidden="1"/>
    <cellStyle name="Hyperlink" xfId="3956" builtinId="8" hidden="1"/>
    <cellStyle name="Hyperlink" xfId="3958" builtinId="8" hidden="1"/>
    <cellStyle name="Hyperlink" xfId="3960" builtinId="8" hidden="1"/>
    <cellStyle name="Hyperlink" xfId="3962" builtinId="8" hidden="1"/>
    <cellStyle name="Hyperlink" xfId="3964" builtinId="8" hidden="1"/>
    <cellStyle name="Hyperlink" xfId="3966" builtinId="8" hidden="1"/>
    <cellStyle name="Hyperlink" xfId="3968" builtinId="8" hidden="1"/>
    <cellStyle name="Hyperlink" xfId="3970" builtinId="8" hidden="1"/>
    <cellStyle name="Hyperlink" xfId="3972" builtinId="8" hidden="1"/>
    <cellStyle name="Hyperlink" xfId="3974" builtinId="8" hidden="1"/>
    <cellStyle name="Hyperlink" xfId="3976" builtinId="8" hidden="1"/>
    <cellStyle name="Hyperlink" xfId="3978" builtinId="8" hidden="1"/>
    <cellStyle name="Hyperlink" xfId="3980" builtinId="8" hidden="1"/>
    <cellStyle name="Hyperlink" xfId="3982" builtinId="8" hidden="1"/>
    <cellStyle name="Hyperlink" xfId="3984" builtinId="8" hidden="1"/>
    <cellStyle name="Hyperlink" xfId="3986" builtinId="8" hidden="1"/>
    <cellStyle name="Hyperlink" xfId="3988" builtinId="8" hidden="1"/>
    <cellStyle name="Hyperlink" xfId="3990" builtinId="8" hidden="1"/>
    <cellStyle name="Hyperlink" xfId="3992" builtinId="8" hidden="1"/>
    <cellStyle name="Hyperlink" xfId="3994" builtinId="8" hidden="1"/>
    <cellStyle name="Hyperlink" xfId="3996" builtinId="8" hidden="1"/>
    <cellStyle name="Hyperlink" xfId="3998" builtinId="8" hidden="1"/>
    <cellStyle name="Hyperlink" xfId="4000" builtinId="8" hidden="1"/>
    <cellStyle name="Hyperlink" xfId="4002" builtinId="8" hidden="1"/>
    <cellStyle name="Hyperlink" xfId="4004" builtinId="8" hidden="1"/>
    <cellStyle name="Hyperlink" xfId="4006" builtinId="8" hidden="1"/>
    <cellStyle name="Hyperlink" xfId="4008" builtinId="8" hidden="1"/>
    <cellStyle name="Hyperlink" xfId="4010" builtinId="8" hidden="1"/>
    <cellStyle name="Hyperlink" xfId="4012" builtinId="8" hidden="1"/>
    <cellStyle name="Hyperlink" xfId="4014" builtinId="8" hidden="1"/>
    <cellStyle name="Hyperlink" xfId="4016" builtinId="8" hidden="1"/>
    <cellStyle name="Hyperlink" xfId="4018" builtinId="8" hidden="1"/>
    <cellStyle name="Hyperlink" xfId="4020" builtinId="8" hidden="1"/>
    <cellStyle name="Hyperlink" xfId="4022" builtinId="8" hidden="1"/>
    <cellStyle name="Hyperlink" xfId="4024" builtinId="8" hidden="1"/>
    <cellStyle name="Hyperlink" xfId="4026" builtinId="8" hidden="1"/>
    <cellStyle name="Hyperlink" xfId="4028" builtinId="8" hidden="1"/>
    <cellStyle name="Hyperlink" xfId="4030" builtinId="8" hidden="1"/>
    <cellStyle name="Hyperlink" xfId="4032" builtinId="8" hidden="1"/>
    <cellStyle name="Hyperlink" xfId="4034" builtinId="8" hidden="1"/>
    <cellStyle name="Hyperlink" xfId="4036" builtinId="8" hidden="1"/>
    <cellStyle name="Hyperlink" xfId="4038" builtinId="8" hidden="1"/>
    <cellStyle name="Hyperlink" xfId="4040" builtinId="8" hidden="1"/>
    <cellStyle name="Hyperlink" xfId="4042" builtinId="8" hidden="1"/>
    <cellStyle name="Hyperlink" xfId="4044" builtinId="8" hidden="1"/>
    <cellStyle name="Hyperlink" xfId="4046" builtinId="8" hidden="1"/>
    <cellStyle name="Hyperlink" xfId="4048" builtinId="8" hidden="1"/>
    <cellStyle name="Hyperlink" xfId="4050" builtinId="8" hidden="1"/>
    <cellStyle name="Hyperlink" xfId="4052" builtinId="8" hidden="1"/>
    <cellStyle name="Hyperlink" xfId="4054" builtinId="8" hidden="1"/>
    <cellStyle name="Hyperlink" xfId="4056" builtinId="8" hidden="1"/>
    <cellStyle name="Hyperlink" xfId="4058" builtinId="8" hidden="1"/>
    <cellStyle name="Hyperlink" xfId="4060" builtinId="8" hidden="1"/>
    <cellStyle name="Hyperlink" xfId="4062" builtinId="8" hidden="1"/>
    <cellStyle name="Hyperlink" xfId="4064" builtinId="8" hidden="1"/>
    <cellStyle name="Hyperlink" xfId="4066" builtinId="8" hidden="1"/>
    <cellStyle name="Hyperlink" xfId="4068" builtinId="8" hidden="1"/>
    <cellStyle name="Hyperlink" xfId="4070" builtinId="8" hidden="1"/>
    <cellStyle name="Hyperlink" xfId="4072" builtinId="8" hidden="1"/>
    <cellStyle name="Hyperlink" xfId="4074" builtinId="8" hidden="1"/>
    <cellStyle name="Hyperlink" xfId="4076" builtinId="8" hidden="1"/>
    <cellStyle name="Hyperlink" xfId="4078" builtinId="8" hidden="1"/>
    <cellStyle name="Hyperlink" xfId="4080" builtinId="8" hidden="1"/>
    <cellStyle name="Hyperlink" xfId="4082" builtinId="8" hidden="1"/>
    <cellStyle name="Hyperlink" xfId="4084" builtinId="8" hidden="1"/>
    <cellStyle name="Hyperlink" xfId="4086" builtinId="8" hidden="1"/>
    <cellStyle name="Hyperlink" xfId="4088" builtinId="8" hidden="1"/>
    <cellStyle name="Hyperlink" xfId="4090" builtinId="8" hidden="1"/>
    <cellStyle name="Hyperlink" xfId="4092" builtinId="8" hidden="1"/>
    <cellStyle name="Hyperlink" xfId="4094" builtinId="8" hidden="1"/>
    <cellStyle name="Hyperlink" xfId="4096" builtinId="8" hidden="1"/>
    <cellStyle name="Hyperlink" xfId="4098" builtinId="8" hidden="1"/>
    <cellStyle name="Hyperlink" xfId="4100" builtinId="8" hidden="1"/>
    <cellStyle name="Hyperlink" xfId="4102" builtinId="8" hidden="1"/>
    <cellStyle name="Hyperlink" xfId="4104" builtinId="8" hidden="1"/>
    <cellStyle name="Hyperlink" xfId="4106" builtinId="8" hidden="1"/>
    <cellStyle name="Hyperlink" xfId="4108" builtinId="8" hidden="1"/>
    <cellStyle name="Hyperlink" xfId="4110" builtinId="8" hidden="1"/>
    <cellStyle name="Hyperlink" xfId="4112" builtinId="8" hidden="1"/>
    <cellStyle name="Hyperlink" xfId="4114" builtinId="8" hidden="1"/>
    <cellStyle name="Hyperlink" xfId="4116" builtinId="8" hidden="1"/>
    <cellStyle name="Hyperlink" xfId="4118" builtinId="8" hidden="1"/>
    <cellStyle name="Hyperlink" xfId="4120" builtinId="8" hidden="1"/>
    <cellStyle name="Hyperlink" xfId="4122" builtinId="8" hidden="1"/>
    <cellStyle name="Hyperlink" xfId="4124" builtinId="8" hidden="1"/>
    <cellStyle name="Hyperlink" xfId="4126" builtinId="8" hidden="1"/>
    <cellStyle name="Hyperlink" xfId="4128" builtinId="8" hidden="1"/>
    <cellStyle name="Hyperlink" xfId="4130" builtinId="8" hidden="1"/>
    <cellStyle name="Hyperlink" xfId="4132" builtinId="8" hidden="1"/>
    <cellStyle name="Hyperlink" xfId="4134" builtinId="8" hidden="1"/>
    <cellStyle name="Hyperlink" xfId="4136" builtinId="8" hidden="1"/>
    <cellStyle name="Hyperlink" xfId="4138" builtinId="8" hidden="1"/>
    <cellStyle name="Hyperlink" xfId="4140" builtinId="8" hidden="1"/>
    <cellStyle name="Hyperlink" xfId="4142" builtinId="8" hidden="1"/>
    <cellStyle name="Hyperlink" xfId="4144" builtinId="8" hidden="1"/>
    <cellStyle name="Hyperlink" xfId="4146" builtinId="8" hidden="1"/>
    <cellStyle name="Hyperlink" xfId="4148" builtinId="8" hidden="1"/>
    <cellStyle name="Hyperlink" xfId="4150" builtinId="8" hidden="1"/>
    <cellStyle name="Hyperlink" xfId="4152" builtinId="8" hidden="1"/>
    <cellStyle name="Hyperlink" xfId="4154" builtinId="8" hidden="1"/>
    <cellStyle name="Hyperlink" xfId="4156" builtinId="8" hidden="1"/>
    <cellStyle name="Hyperlink" xfId="4158" builtinId="8" hidden="1"/>
    <cellStyle name="Hyperlink" xfId="4160" builtinId="8" hidden="1"/>
    <cellStyle name="Hyperlink" xfId="4162" builtinId="8" hidden="1"/>
    <cellStyle name="Hyperlink" xfId="4164" builtinId="8" hidden="1"/>
    <cellStyle name="Hyperlink" xfId="4166" builtinId="8" hidden="1"/>
    <cellStyle name="Hyperlink" xfId="4168" builtinId="8" hidden="1"/>
    <cellStyle name="Hyperlink" xfId="4170" builtinId="8" hidden="1"/>
    <cellStyle name="Hyperlink" xfId="4172" builtinId="8" hidden="1"/>
    <cellStyle name="Hyperlink" xfId="4174" builtinId="8" hidden="1"/>
    <cellStyle name="Hyperlink" xfId="4176" builtinId="8" hidden="1"/>
    <cellStyle name="Hyperlink" xfId="4178" builtinId="8" hidden="1"/>
    <cellStyle name="Hyperlink" xfId="4180" builtinId="8" hidden="1"/>
    <cellStyle name="Hyperlink" xfId="4182" builtinId="8" hidden="1"/>
    <cellStyle name="Hyperlink" xfId="4184" builtinId="8" hidden="1"/>
    <cellStyle name="Hyperlink" xfId="4186" builtinId="8" hidden="1"/>
    <cellStyle name="Hyperlink" xfId="4188" builtinId="8" hidden="1"/>
    <cellStyle name="Hyperlink" xfId="4190" builtinId="8" hidden="1"/>
    <cellStyle name="Hyperlink" xfId="4192" builtinId="8" hidden="1"/>
    <cellStyle name="Hyperlink" xfId="4194" builtinId="8" hidden="1"/>
    <cellStyle name="Hyperlink" xfId="4196" builtinId="8" hidden="1"/>
    <cellStyle name="Hyperlink" xfId="4198" builtinId="8" hidden="1"/>
    <cellStyle name="Hyperlink" xfId="4200" builtinId="8" hidden="1"/>
    <cellStyle name="Hyperlink" xfId="4202" builtinId="8" hidden="1"/>
    <cellStyle name="Hyperlink" xfId="4204" builtinId="8" hidden="1"/>
    <cellStyle name="Hyperlink" xfId="4206" builtinId="8" hidden="1"/>
    <cellStyle name="Hyperlink" xfId="4208" builtinId="8" hidden="1"/>
    <cellStyle name="Hyperlink" xfId="4210" builtinId="8" hidden="1"/>
    <cellStyle name="Hyperlink" xfId="4212" builtinId="8" hidden="1"/>
    <cellStyle name="Hyperlink" xfId="4214" builtinId="8" hidden="1"/>
    <cellStyle name="Hyperlink" xfId="4216" builtinId="8" hidden="1"/>
    <cellStyle name="Hyperlink" xfId="4218" builtinId="8" hidden="1"/>
    <cellStyle name="Hyperlink" xfId="4220" builtinId="8" hidden="1"/>
    <cellStyle name="Hyperlink" xfId="4222" builtinId="8" hidden="1"/>
    <cellStyle name="Hyperlink" xfId="4224" builtinId="8" hidden="1"/>
    <cellStyle name="Hyperlink" xfId="4226" builtinId="8" hidden="1"/>
    <cellStyle name="Hyperlink" xfId="4228" builtinId="8" hidden="1"/>
    <cellStyle name="Hyperlink" xfId="4230" builtinId="8" hidden="1"/>
    <cellStyle name="Hyperlink" xfId="4232" builtinId="8" hidden="1"/>
    <cellStyle name="Hyperlink" xfId="4234" builtinId="8" hidden="1"/>
    <cellStyle name="Hyperlink" xfId="4236" builtinId="8" hidden="1"/>
    <cellStyle name="Hyperlink" xfId="4238" builtinId="8" hidden="1"/>
    <cellStyle name="Hyperlink" xfId="4240" builtinId="8" hidden="1"/>
    <cellStyle name="Hyperlink" xfId="4242" builtinId="8" hidden="1"/>
    <cellStyle name="Hyperlink" xfId="4244" builtinId="8" hidden="1"/>
    <cellStyle name="Hyperlink" xfId="4246" builtinId="8" hidden="1"/>
    <cellStyle name="Hyperlink" xfId="4248" builtinId="8" hidden="1"/>
    <cellStyle name="Hyperlink" xfId="4250" builtinId="8" hidden="1"/>
    <cellStyle name="Hyperlink" xfId="4252" builtinId="8" hidden="1"/>
    <cellStyle name="Hyperlink" xfId="4254" builtinId="8" hidden="1"/>
    <cellStyle name="Hyperlink" xfId="4256" builtinId="8" hidden="1"/>
    <cellStyle name="Hyperlink" xfId="4258" builtinId="8" hidden="1"/>
    <cellStyle name="Hyperlink" xfId="4260" builtinId="8" hidden="1"/>
    <cellStyle name="Hyperlink" xfId="4262" builtinId="8" hidden="1"/>
    <cellStyle name="Hyperlink" xfId="4264" builtinId="8" hidden="1"/>
    <cellStyle name="Hyperlink" xfId="4266" builtinId="8" hidden="1"/>
    <cellStyle name="Hyperlink" xfId="4268" builtinId="8" hidden="1"/>
    <cellStyle name="Hyperlink" xfId="4270" builtinId="8" hidden="1"/>
    <cellStyle name="Hyperlink" xfId="4272" builtinId="8" hidden="1"/>
    <cellStyle name="Hyperlink" xfId="4274" builtinId="8" hidden="1"/>
    <cellStyle name="Hyperlink" xfId="4276" builtinId="8" hidden="1"/>
    <cellStyle name="Hyperlink" xfId="4278" builtinId="8" hidden="1"/>
    <cellStyle name="Hyperlink" xfId="4280" builtinId="8" hidden="1"/>
    <cellStyle name="Hyperlink" xfId="4282" builtinId="8" hidden="1"/>
    <cellStyle name="Hyperlink" xfId="4284" builtinId="8" hidden="1"/>
    <cellStyle name="Hyperlink" xfId="4286" builtinId="8" hidden="1"/>
    <cellStyle name="Hyperlink" xfId="4288" builtinId="8" hidden="1"/>
    <cellStyle name="Hyperlink" xfId="4290" builtinId="8" hidden="1"/>
    <cellStyle name="Hyperlink" xfId="4292" builtinId="8" hidden="1"/>
    <cellStyle name="Hyperlink" xfId="4294" builtinId="8" hidden="1"/>
    <cellStyle name="Hyperlink" xfId="4296" builtinId="8" hidden="1"/>
    <cellStyle name="Hyperlink" xfId="4298" builtinId="8" hidden="1"/>
    <cellStyle name="Hyperlink" xfId="4300" builtinId="8" hidden="1"/>
    <cellStyle name="Hyperlink" xfId="4302" builtinId="8" hidden="1"/>
    <cellStyle name="Hyperlink" xfId="4304" builtinId="8" hidden="1"/>
    <cellStyle name="Hyperlink" xfId="4306" builtinId="8" hidden="1"/>
    <cellStyle name="Hyperlink" xfId="4308" builtinId="8" hidden="1"/>
    <cellStyle name="Hyperlink" xfId="4310" builtinId="8" hidden="1"/>
    <cellStyle name="Hyperlink" xfId="4312" builtinId="8" hidden="1"/>
    <cellStyle name="Hyperlink" xfId="4314" builtinId="8" hidden="1"/>
    <cellStyle name="Hyperlink" xfId="4316" builtinId="8" hidden="1"/>
    <cellStyle name="Hyperlink" xfId="4318" builtinId="8" hidden="1"/>
    <cellStyle name="Hyperlink" xfId="4320" builtinId="8" hidden="1"/>
    <cellStyle name="Hyperlink" xfId="4322" builtinId="8" hidden="1"/>
    <cellStyle name="Hyperlink" xfId="4324" builtinId="8" hidden="1"/>
    <cellStyle name="Hyperlink" xfId="4326" builtinId="8" hidden="1"/>
    <cellStyle name="Hyperlink" xfId="4328" builtinId="8" hidden="1"/>
    <cellStyle name="Hyperlink" xfId="4330" builtinId="8" hidden="1"/>
    <cellStyle name="Hyperlink" xfId="4332" builtinId="8" hidden="1"/>
    <cellStyle name="Hyperlink" xfId="4334" builtinId="8" hidden="1"/>
    <cellStyle name="Hyperlink" xfId="4336" builtinId="8" hidden="1"/>
    <cellStyle name="Hyperlink" xfId="4338" builtinId="8" hidden="1"/>
    <cellStyle name="Hyperlink" xfId="4340" builtinId="8" hidden="1"/>
    <cellStyle name="Hyperlink" xfId="4342" builtinId="8" hidden="1"/>
    <cellStyle name="Hyperlink" xfId="4344" builtinId="8" hidden="1"/>
    <cellStyle name="Hyperlink" xfId="4346" builtinId="8" hidden="1"/>
    <cellStyle name="Hyperlink" xfId="4348" builtinId="8" hidden="1"/>
    <cellStyle name="Hyperlink" xfId="4350" builtinId="8" hidden="1"/>
    <cellStyle name="Hyperlink" xfId="4352" builtinId="8" hidden="1"/>
    <cellStyle name="Hyperlink" xfId="4354" builtinId="8" hidden="1"/>
    <cellStyle name="Hyperlink" xfId="4356" builtinId="8" hidden="1"/>
    <cellStyle name="Hyperlink" xfId="4358" builtinId="8" hidden="1"/>
    <cellStyle name="Hyperlink" xfId="4360" builtinId="8" hidden="1"/>
    <cellStyle name="Hyperlink" xfId="4362" builtinId="8" hidden="1"/>
    <cellStyle name="Hyperlink" xfId="4364" builtinId="8" hidden="1"/>
    <cellStyle name="Hyperlink" xfId="4366" builtinId="8" hidden="1"/>
    <cellStyle name="Hyperlink" xfId="4368" builtinId="8" hidden="1"/>
    <cellStyle name="Hyperlink" xfId="4370" builtinId="8" hidden="1"/>
    <cellStyle name="Hyperlink" xfId="4372" builtinId="8" hidden="1"/>
    <cellStyle name="Hyperlink" xfId="4374" builtinId="8" hidden="1"/>
    <cellStyle name="Hyperlink" xfId="4376" builtinId="8" hidden="1"/>
    <cellStyle name="Hyperlink" xfId="4378" builtinId="8" hidden="1"/>
    <cellStyle name="Hyperlink" xfId="4380" builtinId="8" hidden="1"/>
    <cellStyle name="Hyperlink" xfId="4382" builtinId="8" hidden="1"/>
    <cellStyle name="Hyperlink" xfId="4384" builtinId="8" hidden="1"/>
    <cellStyle name="Hyperlink" xfId="4386" builtinId="8" hidden="1"/>
    <cellStyle name="Hyperlink" xfId="4388" builtinId="8" hidden="1"/>
    <cellStyle name="Hyperlink" xfId="4390" builtinId="8" hidden="1"/>
    <cellStyle name="Hyperlink" xfId="4392" builtinId="8" hidden="1"/>
    <cellStyle name="Hyperlink" xfId="4394" builtinId="8" hidden="1"/>
    <cellStyle name="Hyperlink" xfId="4396" builtinId="8" hidden="1"/>
    <cellStyle name="Hyperlink" xfId="4398" builtinId="8" hidden="1"/>
    <cellStyle name="Hyperlink" xfId="4400" builtinId="8" hidden="1"/>
    <cellStyle name="Hyperlink" xfId="4402" builtinId="8" hidden="1"/>
    <cellStyle name="Hyperlink" xfId="4404" builtinId="8" hidden="1"/>
    <cellStyle name="Hyperlink" xfId="4406" builtinId="8" hidden="1"/>
    <cellStyle name="Hyperlink" xfId="4408" builtinId="8" hidden="1"/>
    <cellStyle name="Hyperlink" xfId="4410" builtinId="8" hidden="1"/>
    <cellStyle name="Hyperlink" xfId="4412" builtinId="8" hidden="1"/>
    <cellStyle name="Hyperlink" xfId="4414" builtinId="8" hidden="1"/>
    <cellStyle name="Hyperlink" xfId="4416" builtinId="8" hidden="1"/>
    <cellStyle name="Hyperlink" xfId="4418" builtinId="8" hidden="1"/>
    <cellStyle name="Hyperlink" xfId="4420" builtinId="8" hidden="1"/>
    <cellStyle name="Hyperlink" xfId="4422" builtinId="8" hidden="1"/>
    <cellStyle name="Hyperlink" xfId="4424" builtinId="8" hidden="1"/>
    <cellStyle name="Hyperlink" xfId="4426" builtinId="8" hidden="1"/>
    <cellStyle name="Hyperlink" xfId="4428" builtinId="8" hidden="1"/>
    <cellStyle name="Hyperlink" xfId="4430" builtinId="8" hidden="1"/>
    <cellStyle name="Hyperlink" xfId="4432" builtinId="8" hidden="1"/>
    <cellStyle name="Hyperlink" xfId="4434" builtinId="8" hidden="1"/>
    <cellStyle name="Hyperlink" xfId="4436" builtinId="8" hidden="1"/>
    <cellStyle name="Hyperlink" xfId="4438" builtinId="8" hidden="1"/>
    <cellStyle name="Hyperlink" xfId="4440" builtinId="8" hidden="1"/>
    <cellStyle name="Hyperlink" xfId="4442" builtinId="8" hidden="1"/>
    <cellStyle name="Hyperlink" xfId="4444" builtinId="8" hidden="1"/>
    <cellStyle name="Hyperlink" xfId="4446" builtinId="8" hidden="1"/>
    <cellStyle name="Hyperlink" xfId="4448" builtinId="8" hidden="1"/>
    <cellStyle name="Hyperlink" xfId="4450" builtinId="8" hidden="1"/>
    <cellStyle name="Hyperlink" xfId="4452" builtinId="8" hidden="1"/>
    <cellStyle name="Hyperlink" xfId="4454" builtinId="8" hidden="1"/>
    <cellStyle name="Hyperlink" xfId="4456" builtinId="8" hidden="1"/>
    <cellStyle name="Hyperlink" xfId="4458" builtinId="8" hidden="1"/>
    <cellStyle name="Hyperlink" xfId="4460" builtinId="8" hidden="1"/>
    <cellStyle name="Hyperlink" xfId="4462" builtinId="8" hidden="1"/>
    <cellStyle name="Hyperlink" xfId="4464" builtinId="8" hidden="1"/>
    <cellStyle name="Hyperlink" xfId="4466" builtinId="8" hidden="1"/>
    <cellStyle name="Hyperlink" xfId="4468" builtinId="8" hidden="1"/>
    <cellStyle name="Hyperlink" xfId="4470" builtinId="8" hidden="1"/>
    <cellStyle name="Hyperlink" xfId="4472" builtinId="8" hidden="1"/>
    <cellStyle name="Hyperlink" xfId="4474" builtinId="8" hidden="1"/>
    <cellStyle name="Hyperlink" xfId="4476" builtinId="8" hidden="1"/>
    <cellStyle name="Hyperlink" xfId="4478" builtinId="8" hidden="1"/>
    <cellStyle name="Hyperlink" xfId="4480" builtinId="8" hidden="1"/>
    <cellStyle name="Hyperlink" xfId="4482" builtinId="8" hidden="1"/>
    <cellStyle name="Hyperlink" xfId="4484" builtinId="8" hidden="1"/>
    <cellStyle name="Hyperlink" xfId="4486" builtinId="8" hidden="1"/>
    <cellStyle name="Hyperlink" xfId="4488" builtinId="8" hidden="1"/>
    <cellStyle name="Hyperlink" xfId="4490" builtinId="8" hidden="1"/>
    <cellStyle name="Hyperlink" xfId="4492" builtinId="8" hidden="1"/>
    <cellStyle name="Hyperlink" xfId="4494" builtinId="8" hidden="1"/>
    <cellStyle name="Hyperlink" xfId="4496" builtinId="8" hidden="1"/>
    <cellStyle name="Hyperlink" xfId="4498" builtinId="8" hidden="1"/>
    <cellStyle name="Hyperlink" xfId="4500" builtinId="8" hidden="1"/>
    <cellStyle name="Hyperlink" xfId="4502" builtinId="8" hidden="1"/>
    <cellStyle name="Hyperlink" xfId="4504" builtinId="8" hidden="1"/>
    <cellStyle name="Hyperlink" xfId="4506" builtinId="8" hidden="1"/>
    <cellStyle name="Hyperlink" xfId="4508" builtinId="8" hidden="1"/>
    <cellStyle name="Hyperlink" xfId="4510" builtinId="8" hidden="1"/>
    <cellStyle name="Hyperlink" xfId="4512" builtinId="8" hidden="1"/>
    <cellStyle name="Hyperlink" xfId="4514" builtinId="8" hidden="1"/>
    <cellStyle name="Hyperlink" xfId="4516" builtinId="8" hidden="1"/>
    <cellStyle name="Hyperlink" xfId="4518" builtinId="8" hidden="1"/>
    <cellStyle name="Hyperlink" xfId="4520" builtinId="8" hidden="1"/>
    <cellStyle name="Hyperlink" xfId="4522" builtinId="8" hidden="1"/>
    <cellStyle name="Hyperlink" xfId="4524" builtinId="8" hidden="1"/>
    <cellStyle name="Hyperlink" xfId="4526" builtinId="8" hidden="1"/>
    <cellStyle name="Hyperlink" xfId="4528" builtinId="8" hidden="1"/>
    <cellStyle name="Hyperlink" xfId="4530" builtinId="8" hidden="1"/>
    <cellStyle name="Hyperlink" xfId="4532" builtinId="8" hidden="1"/>
    <cellStyle name="Hyperlink" xfId="4534" builtinId="8" hidden="1"/>
    <cellStyle name="Hyperlink" xfId="4536" builtinId="8" hidden="1"/>
    <cellStyle name="Hyperlink" xfId="4538" builtinId="8" hidden="1"/>
    <cellStyle name="Hyperlink" xfId="4540" builtinId="8" hidden="1"/>
    <cellStyle name="Hyperlink" xfId="4542" builtinId="8" hidden="1"/>
    <cellStyle name="Hyperlink" xfId="4544" builtinId="8" hidden="1"/>
    <cellStyle name="Hyperlink" xfId="4546" builtinId="8" hidden="1"/>
    <cellStyle name="Hyperlink" xfId="4548" builtinId="8" hidden="1"/>
    <cellStyle name="Hyperlink" xfId="4550" builtinId="8" hidden="1"/>
    <cellStyle name="Hyperlink" xfId="4552" builtinId="8" hidden="1"/>
    <cellStyle name="Hyperlink" xfId="4554" builtinId="8" hidden="1"/>
    <cellStyle name="Hyperlink" xfId="4556" builtinId="8" hidden="1"/>
    <cellStyle name="Hyperlink" xfId="4558" builtinId="8" hidden="1"/>
    <cellStyle name="Hyperlink" xfId="4560" builtinId="8" hidden="1"/>
    <cellStyle name="Hyperlink" xfId="4562" builtinId="8" hidden="1"/>
    <cellStyle name="Hyperlink" xfId="4564" builtinId="8" hidden="1"/>
    <cellStyle name="Hyperlink" xfId="4566" builtinId="8" hidden="1"/>
    <cellStyle name="Hyperlink" xfId="4568" builtinId="8" hidden="1"/>
    <cellStyle name="Hyperlink" xfId="4570" builtinId="8" hidden="1"/>
    <cellStyle name="Hyperlink" xfId="4572" builtinId="8" hidden="1"/>
    <cellStyle name="Hyperlink" xfId="4574" builtinId="8" hidden="1"/>
    <cellStyle name="Hyperlink" xfId="4576" builtinId="8" hidden="1"/>
    <cellStyle name="Hyperlink" xfId="4578" builtinId="8" hidden="1"/>
    <cellStyle name="Hyperlink" xfId="4580" builtinId="8" hidden="1"/>
    <cellStyle name="Hyperlink" xfId="4582" builtinId="8" hidden="1"/>
    <cellStyle name="Hyperlink" xfId="4584" builtinId="8" hidden="1"/>
    <cellStyle name="Hyperlink" xfId="4586" builtinId="8" hidden="1"/>
    <cellStyle name="Hyperlink" xfId="4588" builtinId="8" hidden="1"/>
    <cellStyle name="Hyperlink" xfId="4590" builtinId="8" hidden="1"/>
    <cellStyle name="Hyperlink" xfId="4592" builtinId="8" hidden="1"/>
    <cellStyle name="Hyperlink" xfId="4594" builtinId="8" hidden="1"/>
    <cellStyle name="Hyperlink" xfId="4596" builtinId="8" hidden="1"/>
    <cellStyle name="Hyperlink" xfId="4598" builtinId="8" hidden="1"/>
    <cellStyle name="Hyperlink" xfId="4600" builtinId="8" hidden="1"/>
    <cellStyle name="Hyperlink" xfId="4602" builtinId="8" hidden="1"/>
    <cellStyle name="Hyperlink" xfId="4604" builtinId="8" hidden="1"/>
    <cellStyle name="Hyperlink" xfId="4606" builtinId="8" hidden="1"/>
    <cellStyle name="Hyperlink" xfId="4608" builtinId="8" hidden="1"/>
    <cellStyle name="Hyperlink" xfId="4610" builtinId="8" hidden="1"/>
    <cellStyle name="Hyperlink" xfId="4612" builtinId="8" hidden="1"/>
    <cellStyle name="Hyperlink" xfId="4614" builtinId="8" hidden="1"/>
    <cellStyle name="Hyperlink" xfId="4616" builtinId="8" hidden="1"/>
    <cellStyle name="Hyperlink" xfId="4618" builtinId="8" hidden="1"/>
    <cellStyle name="Hyperlink" xfId="4620" builtinId="8" hidden="1"/>
    <cellStyle name="Hyperlink" xfId="4622" builtinId="8" hidden="1"/>
    <cellStyle name="Hyperlink" xfId="4624" builtinId="8" hidden="1"/>
    <cellStyle name="Hyperlink" xfId="4626" builtinId="8" hidden="1"/>
    <cellStyle name="Hyperlink" xfId="4628" builtinId="8" hidden="1"/>
    <cellStyle name="Hyperlink" xfId="4630" builtinId="8" hidden="1"/>
    <cellStyle name="Hyperlink" xfId="4632" builtinId="8" hidden="1"/>
    <cellStyle name="Hyperlink" xfId="4634" builtinId="8" hidden="1"/>
    <cellStyle name="Hyperlink" xfId="4636" builtinId="8" hidden="1"/>
    <cellStyle name="Hyperlink" xfId="4638" builtinId="8" hidden="1"/>
    <cellStyle name="Hyperlink" xfId="4640" builtinId="8" hidden="1"/>
    <cellStyle name="Hyperlink" xfId="4642" builtinId="8" hidden="1"/>
    <cellStyle name="Hyperlink" xfId="4644" builtinId="8" hidden="1"/>
    <cellStyle name="Hyperlink" xfId="4646" builtinId="8" hidden="1"/>
    <cellStyle name="Hyperlink" xfId="4648" builtinId="8" hidden="1"/>
    <cellStyle name="Hyperlink" xfId="4650" builtinId="8" hidden="1"/>
    <cellStyle name="Hyperlink" xfId="4652" builtinId="8" hidden="1"/>
    <cellStyle name="Hyperlink" xfId="4654" builtinId="8" hidden="1"/>
    <cellStyle name="Hyperlink" xfId="4656" builtinId="8" hidden="1"/>
    <cellStyle name="Hyperlink" xfId="4658" builtinId="8" hidden="1"/>
    <cellStyle name="Hyperlink" xfId="4660" builtinId="8" hidden="1"/>
    <cellStyle name="Hyperlink" xfId="4662" builtinId="8" hidden="1"/>
    <cellStyle name="Hyperlink" xfId="4664" builtinId="8" hidden="1"/>
    <cellStyle name="Hyperlink" xfId="4666" builtinId="8" hidden="1"/>
    <cellStyle name="Hyperlink" xfId="4668" builtinId="8" hidden="1"/>
    <cellStyle name="Hyperlink" xfId="4670" builtinId="8" hidden="1"/>
    <cellStyle name="Hyperlink" xfId="4672" builtinId="8" hidden="1"/>
    <cellStyle name="Hyperlink" xfId="4674" builtinId="8" hidden="1"/>
    <cellStyle name="Hyperlink" xfId="4676" builtinId="8" hidden="1"/>
    <cellStyle name="Hyperlink" xfId="4678" builtinId="8" hidden="1"/>
    <cellStyle name="Hyperlink" xfId="4680" builtinId="8" hidden="1"/>
    <cellStyle name="Hyperlink" xfId="4682" builtinId="8" hidden="1"/>
    <cellStyle name="Hyperlink" xfId="4684" builtinId="8" hidden="1"/>
    <cellStyle name="Hyperlink" xfId="4686" builtinId="8" hidden="1"/>
    <cellStyle name="Hyperlink" xfId="4688" builtinId="8" hidden="1"/>
    <cellStyle name="Hyperlink" xfId="4690" builtinId="8" hidden="1"/>
    <cellStyle name="Hyperlink" xfId="4692" builtinId="8" hidden="1"/>
    <cellStyle name="Hyperlink" xfId="4694" builtinId="8" hidden="1"/>
    <cellStyle name="Hyperlink" xfId="4696" builtinId="8" hidden="1"/>
    <cellStyle name="Hyperlink" xfId="4698" builtinId="8" hidden="1"/>
    <cellStyle name="Hyperlink" xfId="4700" builtinId="8" hidden="1"/>
    <cellStyle name="Hyperlink" xfId="4702" builtinId="8" hidden="1"/>
    <cellStyle name="Hyperlink" xfId="4704" builtinId="8" hidden="1"/>
    <cellStyle name="Hyperlink" xfId="4706" builtinId="8" hidden="1"/>
    <cellStyle name="Hyperlink" xfId="4708" builtinId="8" hidden="1"/>
    <cellStyle name="Hyperlink" xfId="4710" builtinId="8" hidden="1"/>
    <cellStyle name="Hyperlink" xfId="4712" builtinId="8" hidden="1"/>
    <cellStyle name="Hyperlink" xfId="4714" builtinId="8" hidden="1"/>
    <cellStyle name="Hyperlink" xfId="4716" builtinId="8" hidden="1"/>
    <cellStyle name="Hyperlink" xfId="4718" builtinId="8" hidden="1"/>
    <cellStyle name="Hyperlink" xfId="4720" builtinId="8" hidden="1"/>
    <cellStyle name="Hyperlink" xfId="4722" builtinId="8" hidden="1"/>
    <cellStyle name="Hyperlink" xfId="4724" builtinId="8" hidden="1"/>
    <cellStyle name="Hyperlink" xfId="4726" builtinId="8" hidden="1"/>
    <cellStyle name="Hyperlink" xfId="4728" builtinId="8" hidden="1"/>
    <cellStyle name="Hyperlink" xfId="4730" builtinId="8" hidden="1"/>
    <cellStyle name="Hyperlink" xfId="4732" builtinId="8" hidden="1"/>
    <cellStyle name="Hyperlink" xfId="4734" builtinId="8" hidden="1"/>
    <cellStyle name="Hyperlink" xfId="4736" builtinId="8" hidden="1"/>
    <cellStyle name="Hyperlink" xfId="4738" builtinId="8" hidden="1"/>
    <cellStyle name="Hyperlink" xfId="4740" builtinId="8" hidden="1"/>
    <cellStyle name="Hyperlink" xfId="4742" builtinId="8" hidden="1"/>
    <cellStyle name="Hyperlink" xfId="4744" builtinId="8" hidden="1"/>
    <cellStyle name="Hyperlink" xfId="4746" builtinId="8" hidden="1"/>
    <cellStyle name="Hyperlink" xfId="4748" builtinId="8" hidden="1"/>
    <cellStyle name="Hyperlink" xfId="4750" builtinId="8" hidden="1"/>
    <cellStyle name="Hyperlink" xfId="4752" builtinId="8" hidden="1"/>
    <cellStyle name="Hyperlink" xfId="4754" builtinId="8" hidden="1"/>
    <cellStyle name="Hyperlink" xfId="4756" builtinId="8" hidden="1"/>
    <cellStyle name="Hyperlink" xfId="4758" builtinId="8" hidden="1"/>
    <cellStyle name="Hyperlink" xfId="4760" builtinId="8" hidden="1"/>
    <cellStyle name="Hyperlink" xfId="4762" builtinId="8" hidden="1"/>
    <cellStyle name="Hyperlink" xfId="4764" builtinId="8" hidden="1"/>
    <cellStyle name="Hyperlink" xfId="4766" builtinId="8" hidden="1"/>
    <cellStyle name="Hyperlink" xfId="4768" builtinId="8" hidden="1"/>
    <cellStyle name="Hyperlink" xfId="4770" builtinId="8" hidden="1"/>
    <cellStyle name="Hyperlink" xfId="4772" builtinId="8" hidden="1"/>
    <cellStyle name="Hyperlink" xfId="4774" builtinId="8" hidden="1"/>
    <cellStyle name="Hyperlink" xfId="4776" builtinId="8" hidden="1"/>
    <cellStyle name="Hyperlink" xfId="4778" builtinId="8" hidden="1"/>
    <cellStyle name="Hyperlink" xfId="4780" builtinId="8" hidden="1"/>
    <cellStyle name="Hyperlink" xfId="4782" builtinId="8" hidden="1"/>
    <cellStyle name="Hyperlink" xfId="4784" builtinId="8" hidden="1"/>
    <cellStyle name="Hyperlink" xfId="4786" builtinId="8" hidden="1"/>
    <cellStyle name="Hyperlink" xfId="4788" builtinId="8" hidden="1"/>
    <cellStyle name="Hyperlink" xfId="4790" builtinId="8" hidden="1"/>
    <cellStyle name="Hyperlink" xfId="4792" builtinId="8" hidden="1"/>
    <cellStyle name="Hyperlink" xfId="4794" builtinId="8" hidden="1"/>
    <cellStyle name="Hyperlink" xfId="4796" builtinId="8" hidden="1"/>
    <cellStyle name="Hyperlink" xfId="4798" builtinId="8" hidden="1"/>
    <cellStyle name="Hyperlink" xfId="4800" builtinId="8" hidden="1"/>
    <cellStyle name="Hyperlink" xfId="4802" builtinId="8" hidden="1"/>
    <cellStyle name="Hyperlink" xfId="4804" builtinId="8" hidden="1"/>
    <cellStyle name="Hyperlink" xfId="4806" builtinId="8" hidden="1"/>
    <cellStyle name="Hyperlink" xfId="4808" builtinId="8" hidden="1"/>
    <cellStyle name="Hyperlink" xfId="4810" builtinId="8" hidden="1"/>
    <cellStyle name="Hyperlink" xfId="4812" builtinId="8" hidden="1"/>
    <cellStyle name="Hyperlink" xfId="4814" builtinId="8" hidden="1"/>
    <cellStyle name="Hyperlink" xfId="4816" builtinId="8" hidden="1"/>
    <cellStyle name="Hyperlink" xfId="4818" builtinId="8" hidden="1"/>
    <cellStyle name="Hyperlink" xfId="4820" builtinId="8" hidden="1"/>
    <cellStyle name="Hyperlink" xfId="4822" builtinId="8" hidden="1"/>
    <cellStyle name="Hyperlink" xfId="4824" builtinId="8" hidden="1"/>
    <cellStyle name="Hyperlink" xfId="4826" builtinId="8" hidden="1"/>
    <cellStyle name="Hyperlink" xfId="4828" builtinId="8" hidden="1"/>
    <cellStyle name="Hyperlink" xfId="4830" builtinId="8" hidden="1"/>
    <cellStyle name="Hyperlink" xfId="4832" builtinId="8" hidden="1"/>
    <cellStyle name="Hyperlink" xfId="4834" builtinId="8" hidden="1"/>
    <cellStyle name="Hyperlink" xfId="4836" builtinId="8" hidden="1"/>
    <cellStyle name="Hyperlink" xfId="4838" builtinId="8" hidden="1"/>
    <cellStyle name="Hyperlink" xfId="4840" builtinId="8" hidden="1"/>
    <cellStyle name="Hyperlink" xfId="4842" builtinId="8" hidden="1"/>
    <cellStyle name="Hyperlink" xfId="4844" builtinId="8" hidden="1"/>
    <cellStyle name="Hyperlink" xfId="4846" builtinId="8" hidden="1"/>
    <cellStyle name="Hyperlink" xfId="4848" builtinId="8" hidden="1"/>
    <cellStyle name="Hyperlink" xfId="4850" builtinId="8" hidden="1"/>
    <cellStyle name="Hyperlink" xfId="4852" builtinId="8" hidden="1"/>
    <cellStyle name="Hyperlink" xfId="4854" builtinId="8" hidden="1"/>
    <cellStyle name="Hyperlink" xfId="4856" builtinId="8" hidden="1"/>
    <cellStyle name="Hyperlink" xfId="4858" builtinId="8" hidden="1"/>
    <cellStyle name="Hyperlink" xfId="4860" builtinId="8" hidden="1"/>
    <cellStyle name="Hyperlink" xfId="4862" builtinId="8" hidden="1"/>
    <cellStyle name="Hyperlink" xfId="4864" builtinId="8" hidden="1"/>
    <cellStyle name="Hyperlink" xfId="4866" builtinId="8" hidden="1"/>
    <cellStyle name="Hyperlink" xfId="4868" builtinId="8" hidden="1"/>
    <cellStyle name="Hyperlink" xfId="4870" builtinId="8" hidden="1"/>
    <cellStyle name="Hyperlink" xfId="4872" builtinId="8" hidden="1"/>
    <cellStyle name="Hyperlink" xfId="4874" builtinId="8" hidden="1"/>
    <cellStyle name="Hyperlink" xfId="4876" builtinId="8" hidden="1"/>
    <cellStyle name="Hyperlink" xfId="4878" builtinId="8" hidden="1"/>
    <cellStyle name="Hyperlink" xfId="4880" builtinId="8" hidden="1"/>
    <cellStyle name="Hyperlink" xfId="4882" builtinId="8" hidden="1"/>
    <cellStyle name="Hyperlink" xfId="4884" builtinId="8" hidden="1"/>
    <cellStyle name="Hyperlink" xfId="4886" builtinId="8" hidden="1"/>
    <cellStyle name="Hyperlink" xfId="4888" builtinId="8" hidden="1"/>
    <cellStyle name="Hyperlink" xfId="4890" builtinId="8" hidden="1"/>
    <cellStyle name="Hyperlink" xfId="4892" builtinId="8" hidden="1"/>
    <cellStyle name="Hyperlink" xfId="4894" builtinId="8" hidden="1"/>
    <cellStyle name="Hyperlink" xfId="4896" builtinId="8" hidden="1"/>
    <cellStyle name="Hyperlink" xfId="4898" builtinId="8" hidden="1"/>
    <cellStyle name="Hyperlink" xfId="4900" builtinId="8" hidden="1"/>
    <cellStyle name="Hyperlink" xfId="4902" builtinId="8" hidden="1"/>
    <cellStyle name="Hyperlink" xfId="4904" builtinId="8" hidden="1"/>
    <cellStyle name="Hyperlink" xfId="4906" builtinId="8" hidden="1"/>
    <cellStyle name="Hyperlink" xfId="4908" builtinId="8" hidden="1"/>
    <cellStyle name="Hyperlink" xfId="4910" builtinId="8" hidden="1"/>
    <cellStyle name="Hyperlink" xfId="4912" builtinId="8" hidden="1"/>
    <cellStyle name="Hyperlink" xfId="4914" builtinId="8" hidden="1"/>
    <cellStyle name="Hyperlink" xfId="4916" builtinId="8" hidden="1"/>
    <cellStyle name="Hyperlink" xfId="4918" builtinId="8" hidden="1"/>
    <cellStyle name="Hyperlink" xfId="4920" builtinId="8" hidden="1"/>
    <cellStyle name="Hyperlink" xfId="4922" builtinId="8" hidden="1"/>
    <cellStyle name="Hyperlink" xfId="4924" builtinId="8" hidden="1"/>
    <cellStyle name="Hyperlink" xfId="4926" builtinId="8" hidden="1"/>
    <cellStyle name="Hyperlink" xfId="4928" builtinId="8" hidden="1"/>
    <cellStyle name="Hyperlink" xfId="4930" builtinId="8" hidden="1"/>
    <cellStyle name="Hyperlink" xfId="4932" builtinId="8" hidden="1"/>
    <cellStyle name="Hyperlink" xfId="4934" builtinId="8" hidden="1"/>
    <cellStyle name="Hyperlink" xfId="4936" builtinId="8" hidden="1"/>
    <cellStyle name="Hyperlink" xfId="4938" builtinId="8" hidden="1"/>
    <cellStyle name="Hyperlink" xfId="4940" builtinId="8" hidden="1"/>
    <cellStyle name="Hyperlink" xfId="4942" builtinId="8" hidden="1"/>
    <cellStyle name="Hyperlink" xfId="4944" builtinId="8" hidden="1"/>
    <cellStyle name="Hyperlink" xfId="4946" builtinId="8" hidden="1"/>
    <cellStyle name="Hyperlink" xfId="4948" builtinId="8" hidden="1"/>
    <cellStyle name="Hyperlink" xfId="4950" builtinId="8" hidden="1"/>
    <cellStyle name="Hyperlink" xfId="4952" builtinId="8" hidden="1"/>
    <cellStyle name="Hyperlink" xfId="4954" builtinId="8" hidden="1"/>
    <cellStyle name="Hyperlink" xfId="4956" builtinId="8" hidden="1"/>
    <cellStyle name="Hyperlink" xfId="4958" builtinId="8" hidden="1"/>
    <cellStyle name="Hyperlink" xfId="4960" builtinId="8" hidden="1"/>
    <cellStyle name="Hyperlink" xfId="4962" builtinId="8" hidden="1"/>
    <cellStyle name="Hyperlink" xfId="4964" builtinId="8" hidden="1"/>
    <cellStyle name="Hyperlink" xfId="4966" builtinId="8" hidden="1"/>
    <cellStyle name="Hyperlink" xfId="4968" builtinId="8" hidden="1"/>
    <cellStyle name="Hyperlink" xfId="4970" builtinId="8" hidden="1"/>
    <cellStyle name="Hyperlink" xfId="4972" builtinId="8" hidden="1"/>
    <cellStyle name="Hyperlink" xfId="4974" builtinId="8" hidden="1"/>
    <cellStyle name="Hyperlink" xfId="4976" builtinId="8" hidden="1"/>
    <cellStyle name="Hyperlink" xfId="4978" builtinId="8" hidden="1"/>
    <cellStyle name="Hyperlink" xfId="4980" builtinId="8" hidden="1"/>
    <cellStyle name="Hyperlink" xfId="4982" builtinId="8" hidden="1"/>
    <cellStyle name="Hyperlink" xfId="4984" builtinId="8" hidden="1"/>
    <cellStyle name="Hyperlink" xfId="4986" builtinId="8" hidden="1"/>
    <cellStyle name="Hyperlink" xfId="4988" builtinId="8" hidden="1"/>
    <cellStyle name="Hyperlink" xfId="4990" builtinId="8" hidden="1"/>
    <cellStyle name="Hyperlink" xfId="4992" builtinId="8" hidden="1"/>
    <cellStyle name="Hyperlink" xfId="4994" builtinId="8" hidden="1"/>
    <cellStyle name="Hyperlink" xfId="4996" builtinId="8" hidden="1"/>
    <cellStyle name="Hyperlink" xfId="4998" builtinId="8" hidden="1"/>
    <cellStyle name="Hyperlink" xfId="5000" builtinId="8" hidden="1"/>
    <cellStyle name="Hyperlink" xfId="5002" builtinId="8" hidden="1"/>
    <cellStyle name="Hyperlink" xfId="5004" builtinId="8" hidden="1"/>
    <cellStyle name="Hyperlink" xfId="5006" builtinId="8" hidden="1"/>
    <cellStyle name="Hyperlink" xfId="5008" builtinId="8" hidden="1"/>
    <cellStyle name="Hyperlink" xfId="5010" builtinId="8" hidden="1"/>
    <cellStyle name="Hyperlink" xfId="5012" builtinId="8" hidden="1"/>
    <cellStyle name="Hyperlink" xfId="5014" builtinId="8" hidden="1"/>
    <cellStyle name="Hyperlink" xfId="5016" builtinId="8" hidden="1"/>
    <cellStyle name="Hyperlink" xfId="5018" builtinId="8" hidden="1"/>
    <cellStyle name="Hyperlink" xfId="5020" builtinId="8" hidden="1"/>
    <cellStyle name="Hyperlink" xfId="5022" builtinId="8" hidden="1"/>
    <cellStyle name="Hyperlink" xfId="5024" builtinId="8" hidden="1"/>
    <cellStyle name="Hyperlink" xfId="5026" builtinId="8" hidden="1"/>
    <cellStyle name="Hyperlink" xfId="5028" builtinId="8" hidden="1"/>
    <cellStyle name="Hyperlink" xfId="5030" builtinId="8" hidden="1"/>
    <cellStyle name="Hyperlink" xfId="5032" builtinId="8" hidden="1"/>
    <cellStyle name="Hyperlink" xfId="5034" builtinId="8" hidden="1"/>
    <cellStyle name="Hyperlink" xfId="5036" builtinId="8" hidden="1"/>
    <cellStyle name="Hyperlink" xfId="5038" builtinId="8" hidden="1"/>
    <cellStyle name="Hyperlink" xfId="5040" builtinId="8" hidden="1"/>
    <cellStyle name="Hyperlink" xfId="5042" builtinId="8" hidden="1"/>
    <cellStyle name="Hyperlink" xfId="5044" builtinId="8" hidden="1"/>
    <cellStyle name="Hyperlink" xfId="5046" builtinId="8" hidden="1"/>
    <cellStyle name="Hyperlink" xfId="5048" builtinId="8" hidden="1"/>
    <cellStyle name="Hyperlink" xfId="5050" builtinId="8" hidden="1"/>
    <cellStyle name="Hyperlink" xfId="5052" builtinId="8" hidden="1"/>
    <cellStyle name="Hyperlink" xfId="5054" builtinId="8" hidden="1"/>
    <cellStyle name="Hyperlink" xfId="5056" builtinId="8" hidden="1"/>
    <cellStyle name="Hyperlink" xfId="5058" builtinId="8" hidden="1"/>
    <cellStyle name="Hyperlink" xfId="5060" builtinId="8" hidden="1"/>
    <cellStyle name="Hyperlink" xfId="5062" builtinId="8" hidden="1"/>
    <cellStyle name="Hyperlink" xfId="5064" builtinId="8" hidden="1"/>
    <cellStyle name="Hyperlink" xfId="5066" builtinId="8" hidden="1"/>
    <cellStyle name="Hyperlink" xfId="5068" builtinId="8" hidden="1"/>
    <cellStyle name="Hyperlink" xfId="5070" builtinId="8" hidden="1"/>
    <cellStyle name="Hyperlink" xfId="5072" builtinId="8" hidden="1"/>
    <cellStyle name="Hyperlink" xfId="5074" builtinId="8" hidden="1"/>
    <cellStyle name="Hyperlink" xfId="5076" builtinId="8" hidden="1"/>
    <cellStyle name="Hyperlink" xfId="5078" builtinId="8" hidden="1"/>
    <cellStyle name="Hyperlink" xfId="5080" builtinId="8" hidden="1"/>
    <cellStyle name="Hyperlink" xfId="5082" builtinId="8" hidden="1"/>
    <cellStyle name="Hyperlink" xfId="5084" builtinId="8" hidden="1"/>
    <cellStyle name="Hyperlink" xfId="5086" builtinId="8" hidden="1"/>
    <cellStyle name="Hyperlink" xfId="5088" builtinId="8" hidden="1"/>
    <cellStyle name="Hyperlink" xfId="5090" builtinId="8" hidden="1"/>
    <cellStyle name="Hyperlink" xfId="5092" builtinId="8" hidden="1"/>
    <cellStyle name="Hyperlink" xfId="5094" builtinId="8" hidden="1"/>
    <cellStyle name="Hyperlink" xfId="5096" builtinId="8" hidden="1"/>
    <cellStyle name="Hyperlink" xfId="5098" builtinId="8" hidden="1"/>
    <cellStyle name="Hyperlink" xfId="5100" builtinId="8" hidden="1"/>
    <cellStyle name="Hyperlink" xfId="5102" builtinId="8" hidden="1"/>
    <cellStyle name="Hyperlink" xfId="5104" builtinId="8" hidden="1"/>
    <cellStyle name="Hyperlink" xfId="5106" builtinId="8" hidden="1"/>
    <cellStyle name="Hyperlink" xfId="5108" builtinId="8" hidden="1"/>
    <cellStyle name="Hyperlink" xfId="5110" builtinId="8" hidden="1"/>
    <cellStyle name="Hyperlink" xfId="5112" builtinId="8" hidden="1"/>
    <cellStyle name="Hyperlink" xfId="5114" builtinId="8" hidden="1"/>
    <cellStyle name="Hyperlink" xfId="5116" builtinId="8" hidden="1"/>
    <cellStyle name="Hyperlink" xfId="5118" builtinId="8" hidden="1"/>
    <cellStyle name="Hyperlink" xfId="5120" builtinId="8" hidden="1"/>
    <cellStyle name="Hyperlink" xfId="5122" builtinId="8" hidden="1"/>
    <cellStyle name="Hyperlink" xfId="5124" builtinId="8" hidden="1"/>
    <cellStyle name="Hyperlink" xfId="5126" builtinId="8" hidden="1"/>
    <cellStyle name="Hyperlink" xfId="5128" builtinId="8" hidden="1"/>
    <cellStyle name="Hyperlink" xfId="5130" builtinId="8" hidden="1"/>
    <cellStyle name="Hyperlink" xfId="5132" builtinId="8" hidden="1"/>
    <cellStyle name="Hyperlink" xfId="5134" builtinId="8" hidden="1"/>
    <cellStyle name="Hyperlink" xfId="5136" builtinId="8" hidden="1"/>
    <cellStyle name="Hyperlink" xfId="5138" builtinId="8" hidden="1"/>
    <cellStyle name="Hyperlink" xfId="5140" builtinId="8" hidden="1"/>
    <cellStyle name="Hyperlink" xfId="5142" builtinId="8" hidden="1"/>
    <cellStyle name="Hyperlink" xfId="5144" builtinId="8" hidden="1"/>
    <cellStyle name="Hyperlink" xfId="5146" builtinId="8" hidden="1"/>
    <cellStyle name="Hyperlink" xfId="5148" builtinId="8" hidden="1"/>
    <cellStyle name="Hyperlink" xfId="5150" builtinId="8" hidden="1"/>
    <cellStyle name="Hyperlink" xfId="5152" builtinId="8" hidden="1"/>
    <cellStyle name="Hyperlink" xfId="5154" builtinId="8" hidden="1"/>
    <cellStyle name="Hyperlink" xfId="5156" builtinId="8" hidden="1"/>
    <cellStyle name="Hyperlink" xfId="5158" builtinId="8" hidden="1"/>
    <cellStyle name="Hyperlink" xfId="5160" builtinId="8" hidden="1"/>
    <cellStyle name="Hyperlink" xfId="5162" builtinId="8" hidden="1"/>
    <cellStyle name="Hyperlink" xfId="5164" builtinId="8" hidden="1"/>
    <cellStyle name="Hyperlink" xfId="5166" builtinId="8" hidden="1"/>
    <cellStyle name="Hyperlink" xfId="5168" builtinId="8" hidden="1"/>
    <cellStyle name="Hyperlink" xfId="5170" builtinId="8" hidden="1"/>
    <cellStyle name="Hyperlink" xfId="5172" builtinId="8" hidden="1"/>
    <cellStyle name="Hyperlink" xfId="5174" builtinId="8" hidden="1"/>
    <cellStyle name="Hyperlink" xfId="5176" builtinId="8" hidden="1"/>
    <cellStyle name="Hyperlink" xfId="5178" builtinId="8" hidden="1"/>
    <cellStyle name="Hyperlink" xfId="5180" builtinId="8" hidden="1"/>
    <cellStyle name="Hyperlink" xfId="5182" builtinId="8" hidden="1"/>
    <cellStyle name="Hyperlink" xfId="5184" builtinId="8" hidden="1"/>
    <cellStyle name="Hyperlink" xfId="5186" builtinId="8" hidden="1"/>
    <cellStyle name="Hyperlink" xfId="5188" builtinId="8" hidden="1"/>
    <cellStyle name="Hyperlink" xfId="5190" builtinId="8" hidden="1"/>
    <cellStyle name="Hyperlink" xfId="5192" builtinId="8" hidden="1"/>
    <cellStyle name="Hyperlink" xfId="5194" builtinId="8" hidden="1"/>
    <cellStyle name="Hyperlink" xfId="5196" builtinId="8" hidden="1"/>
    <cellStyle name="Hyperlink" xfId="5198" builtinId="8" hidden="1"/>
    <cellStyle name="Hyperlink" xfId="5200" builtinId="8" hidden="1"/>
    <cellStyle name="Hyperlink" xfId="5202" builtinId="8" hidden="1"/>
    <cellStyle name="Hyperlink" xfId="5204" builtinId="8" hidden="1"/>
    <cellStyle name="Hyperlink" xfId="5206" builtinId="8" hidden="1"/>
    <cellStyle name="Hyperlink" xfId="5208" builtinId="8" hidden="1"/>
    <cellStyle name="Hyperlink" xfId="5210" builtinId="8" hidden="1"/>
    <cellStyle name="Hyperlink" xfId="5212" builtinId="8" hidden="1"/>
    <cellStyle name="Hyperlink" xfId="5214" builtinId="8" hidden="1"/>
    <cellStyle name="Hyperlink" xfId="5216" builtinId="8" hidden="1"/>
    <cellStyle name="Hyperlink" xfId="5218" builtinId="8" hidden="1"/>
    <cellStyle name="Hyperlink" xfId="5220" builtinId="8" hidden="1"/>
    <cellStyle name="Hyperlink" xfId="5222" builtinId="8" hidden="1"/>
    <cellStyle name="Hyperlink" xfId="5224" builtinId="8" hidden="1"/>
    <cellStyle name="Hyperlink" xfId="5226" builtinId="8" hidden="1"/>
    <cellStyle name="Hyperlink" xfId="5228" builtinId="8" hidden="1"/>
    <cellStyle name="Hyperlink" xfId="5230" builtinId="8" hidden="1"/>
    <cellStyle name="Hyperlink" xfId="5232" builtinId="8" hidden="1"/>
    <cellStyle name="Hyperlink" xfId="5234" builtinId="8" hidden="1"/>
    <cellStyle name="Hyperlink" xfId="5236" builtinId="8" hidden="1"/>
    <cellStyle name="Hyperlink" xfId="5238" builtinId="8" hidden="1"/>
    <cellStyle name="Hyperlink" xfId="5240" builtinId="8" hidden="1"/>
    <cellStyle name="Hyperlink" xfId="5242" builtinId="8" hidden="1"/>
    <cellStyle name="Hyperlink" xfId="5244" builtinId="8" hidden="1"/>
    <cellStyle name="Hyperlink" xfId="5246" builtinId="8" hidden="1"/>
    <cellStyle name="Hyperlink" xfId="5248" builtinId="8" hidden="1"/>
    <cellStyle name="Hyperlink" xfId="5250" builtinId="8" hidden="1"/>
    <cellStyle name="Hyperlink" xfId="5252" builtinId="8" hidden="1"/>
    <cellStyle name="Hyperlink" xfId="5254" builtinId="8" hidden="1"/>
    <cellStyle name="Hyperlink" xfId="5256" builtinId="8" hidden="1"/>
    <cellStyle name="Hyperlink" xfId="5258" builtinId="8" hidden="1"/>
    <cellStyle name="Hyperlink" xfId="5260" builtinId="8" hidden="1"/>
    <cellStyle name="Hyperlink" xfId="5262" builtinId="8" hidden="1"/>
    <cellStyle name="Hyperlink" xfId="5264" builtinId="8" hidden="1"/>
    <cellStyle name="Hyperlink" xfId="5266" builtinId="8" hidden="1"/>
    <cellStyle name="Hyperlink" xfId="5268" builtinId="8" hidden="1"/>
    <cellStyle name="Hyperlink" xfId="5270" builtinId="8" hidden="1"/>
    <cellStyle name="Hyperlink" xfId="5272" builtinId="8" hidden="1"/>
    <cellStyle name="Hyperlink" xfId="5274" builtinId="8" hidden="1"/>
    <cellStyle name="Hyperlink" xfId="5276" builtinId="8" hidden="1"/>
    <cellStyle name="Hyperlink" xfId="5278" builtinId="8" hidden="1"/>
    <cellStyle name="Hyperlink" xfId="5280" builtinId="8" hidden="1"/>
    <cellStyle name="Hyperlink" xfId="5282" builtinId="8" hidden="1"/>
    <cellStyle name="Hyperlink" xfId="5284" builtinId="8" hidden="1"/>
    <cellStyle name="Hyperlink" xfId="5286" builtinId="8" hidden="1"/>
    <cellStyle name="Hyperlink" xfId="5288" builtinId="8" hidden="1"/>
    <cellStyle name="Hyperlink" xfId="5290" builtinId="8" hidden="1"/>
    <cellStyle name="Hyperlink" xfId="5292" builtinId="8" hidden="1"/>
    <cellStyle name="Hyperlink" xfId="5294" builtinId="8" hidden="1"/>
    <cellStyle name="Hyperlink" xfId="5296" builtinId="8" hidden="1"/>
    <cellStyle name="Hyperlink" xfId="5298" builtinId="8" hidden="1"/>
    <cellStyle name="Hyperlink" xfId="5300" builtinId="8" hidden="1"/>
    <cellStyle name="Hyperlink" xfId="5302" builtinId="8" hidden="1"/>
    <cellStyle name="Hyperlink" xfId="5304" builtinId="8" hidden="1"/>
    <cellStyle name="Hyperlink" xfId="5306" builtinId="8" hidden="1"/>
    <cellStyle name="Hyperlink" xfId="5308" builtinId="8" hidden="1"/>
    <cellStyle name="Hyperlink" xfId="5310" builtinId="8" hidden="1"/>
    <cellStyle name="Hyperlink" xfId="5312" builtinId="8" hidden="1"/>
    <cellStyle name="Hyperlink" xfId="5314" builtinId="8" hidden="1"/>
    <cellStyle name="Hyperlink" xfId="5316" builtinId="8" hidden="1"/>
    <cellStyle name="Hyperlink" xfId="5318" builtinId="8" hidden="1"/>
    <cellStyle name="Hyperlink" xfId="5320" builtinId="8" hidden="1"/>
    <cellStyle name="Hyperlink" xfId="5322" builtinId="8" hidden="1"/>
    <cellStyle name="Hyperlink" xfId="5324" builtinId="8" hidden="1"/>
    <cellStyle name="Hyperlink" xfId="5326" builtinId="8" hidden="1"/>
    <cellStyle name="Hyperlink" xfId="5328" builtinId="8" hidden="1"/>
    <cellStyle name="Hyperlink" xfId="5330" builtinId="8" hidden="1"/>
    <cellStyle name="Hyperlink" xfId="5332" builtinId="8" hidden="1"/>
    <cellStyle name="Hyperlink" xfId="5334" builtinId="8" hidden="1"/>
    <cellStyle name="Hyperlink" xfId="5336" builtinId="8" hidden="1"/>
    <cellStyle name="Hyperlink" xfId="5338" builtinId="8" hidden="1"/>
    <cellStyle name="Hyperlink" xfId="5340" builtinId="8" hidden="1"/>
    <cellStyle name="Hyperlink" xfId="5342" builtinId="8" hidden="1"/>
    <cellStyle name="Hyperlink" xfId="5344" builtinId="8" hidden="1"/>
    <cellStyle name="Hyperlink" xfId="5346" builtinId="8" hidden="1"/>
    <cellStyle name="Hyperlink" xfId="5348" builtinId="8" hidden="1"/>
    <cellStyle name="Hyperlink" xfId="5350" builtinId="8" hidden="1"/>
    <cellStyle name="Hyperlink" xfId="5352" builtinId="8" hidden="1"/>
    <cellStyle name="Hyperlink" xfId="5354" builtinId="8" hidden="1"/>
    <cellStyle name="Hyperlink" xfId="5356" builtinId="8" hidden="1"/>
    <cellStyle name="Hyperlink" xfId="5358" builtinId="8" hidden="1"/>
    <cellStyle name="Hyperlink" xfId="5360" builtinId="8" hidden="1"/>
    <cellStyle name="Hyperlink" xfId="5362" builtinId="8" hidden="1"/>
    <cellStyle name="Hyperlink" xfId="5364" builtinId="8" hidden="1"/>
    <cellStyle name="Hyperlink" xfId="5366" builtinId="8" hidden="1"/>
    <cellStyle name="Hyperlink" xfId="5368" builtinId="8" hidden="1"/>
    <cellStyle name="Hyperlink" xfId="5370" builtinId="8" hidden="1"/>
    <cellStyle name="Hyperlink" xfId="5372" builtinId="8" hidden="1"/>
    <cellStyle name="Hyperlink" xfId="5374" builtinId="8" hidden="1"/>
    <cellStyle name="Hyperlink" xfId="5376" builtinId="8" hidden="1"/>
    <cellStyle name="Hyperlink" xfId="5378" builtinId="8" hidden="1"/>
    <cellStyle name="Hyperlink" xfId="5380" builtinId="8" hidden="1"/>
    <cellStyle name="Hyperlink" xfId="5382" builtinId="8" hidden="1"/>
    <cellStyle name="Hyperlink" xfId="5384" builtinId="8" hidden="1"/>
    <cellStyle name="Hyperlink" xfId="5386" builtinId="8" hidden="1"/>
    <cellStyle name="Hyperlink" xfId="5388" builtinId="8" hidden="1"/>
    <cellStyle name="Hyperlink" xfId="5390" builtinId="8" hidden="1"/>
    <cellStyle name="Hyperlink" xfId="5392" builtinId="8" hidden="1"/>
    <cellStyle name="Hyperlink" xfId="5394" builtinId="8" hidden="1"/>
    <cellStyle name="Hyperlink" xfId="5396" builtinId="8" hidden="1"/>
    <cellStyle name="Hyperlink" xfId="5398" builtinId="8" hidden="1"/>
    <cellStyle name="Hyperlink" xfId="5400" builtinId="8" hidden="1"/>
    <cellStyle name="Hyperlink" xfId="5402" builtinId="8" hidden="1"/>
    <cellStyle name="Hyperlink" xfId="5404" builtinId="8" hidden="1"/>
    <cellStyle name="Hyperlink" xfId="5406" builtinId="8" hidden="1"/>
    <cellStyle name="Hyperlink" xfId="5408" builtinId="8" hidden="1"/>
    <cellStyle name="Hyperlink" xfId="5410" builtinId="8" hidden="1"/>
    <cellStyle name="Hyperlink" xfId="5412" builtinId="8" hidden="1"/>
    <cellStyle name="Hyperlink" xfId="5414" builtinId="8" hidden="1"/>
    <cellStyle name="Hyperlink" xfId="5416" builtinId="8" hidden="1"/>
    <cellStyle name="Hyperlink" xfId="5418" builtinId="8" hidden="1"/>
    <cellStyle name="Hyperlink" xfId="5420" builtinId="8" hidden="1"/>
    <cellStyle name="Hyperlink" xfId="5422" builtinId="8" hidden="1"/>
    <cellStyle name="Hyperlink" xfId="5424" builtinId="8" hidden="1"/>
    <cellStyle name="Hyperlink" xfId="5426" builtinId="8" hidden="1"/>
    <cellStyle name="Hyperlink" xfId="5428" builtinId="8" hidden="1"/>
    <cellStyle name="Hyperlink" xfId="5430" builtinId="8" hidden="1"/>
    <cellStyle name="Hyperlink" xfId="5432" builtinId="8" hidden="1"/>
    <cellStyle name="Hyperlink" xfId="5434" builtinId="8" hidden="1"/>
    <cellStyle name="Hyperlink" xfId="5436" builtinId="8" hidden="1"/>
    <cellStyle name="Hyperlink" xfId="5438" builtinId="8" hidden="1"/>
    <cellStyle name="Hyperlink" xfId="5440" builtinId="8" hidden="1"/>
    <cellStyle name="Hyperlink" xfId="5442" builtinId="8" hidden="1"/>
    <cellStyle name="Hyperlink" xfId="5444" builtinId="8" hidden="1"/>
    <cellStyle name="Hyperlink" xfId="5446" builtinId="8" hidden="1"/>
    <cellStyle name="Hyperlink" xfId="5448" builtinId="8" hidden="1"/>
    <cellStyle name="Hyperlink" xfId="5450" builtinId="8" hidden="1"/>
    <cellStyle name="Hyperlink" xfId="5452" builtinId="8" hidden="1"/>
    <cellStyle name="Hyperlink" xfId="5454" builtinId="8" hidden="1"/>
    <cellStyle name="Hyperlink" xfId="5456" builtinId="8" hidden="1"/>
    <cellStyle name="Hyperlink" xfId="5458" builtinId="8" hidden="1"/>
    <cellStyle name="Hyperlink" xfId="5460" builtinId="8" hidden="1"/>
    <cellStyle name="Hyperlink" xfId="5462" builtinId="8" hidden="1"/>
    <cellStyle name="Hyperlink" xfId="5464" builtinId="8" hidden="1"/>
    <cellStyle name="Hyperlink" xfId="5466" builtinId="8" hidden="1"/>
    <cellStyle name="Hyperlink" xfId="5468" builtinId="8" hidden="1"/>
    <cellStyle name="Hyperlink" xfId="5470" builtinId="8" hidden="1"/>
    <cellStyle name="Hyperlink" xfId="5472" builtinId="8" hidden="1"/>
    <cellStyle name="Hyperlink" xfId="5474" builtinId="8" hidden="1"/>
    <cellStyle name="Hyperlink" xfId="5476" builtinId="8" hidden="1"/>
    <cellStyle name="Hyperlink" xfId="5478" builtinId="8" hidden="1"/>
    <cellStyle name="Hyperlink" xfId="5480" builtinId="8" hidden="1"/>
    <cellStyle name="Hyperlink" xfId="5482" builtinId="8" hidden="1"/>
    <cellStyle name="Hyperlink" xfId="5484" builtinId="8" hidden="1"/>
    <cellStyle name="Hyperlink" xfId="5486" builtinId="8" hidden="1"/>
    <cellStyle name="Hyperlink" xfId="5488" builtinId="8" hidden="1"/>
    <cellStyle name="Hyperlink" xfId="5490" builtinId="8" hidden="1"/>
    <cellStyle name="Hyperlink" xfId="5492" builtinId="8" hidden="1"/>
    <cellStyle name="Hyperlink" xfId="5494" builtinId="8" hidden="1"/>
    <cellStyle name="Hyperlink" xfId="5496" builtinId="8" hidden="1"/>
    <cellStyle name="Hyperlink" xfId="5498" builtinId="8" hidden="1"/>
    <cellStyle name="Hyperlink" xfId="5500" builtinId="8" hidden="1"/>
    <cellStyle name="Hyperlink" xfId="5502" builtinId="8" hidden="1"/>
    <cellStyle name="Hyperlink" xfId="5504" builtinId="8" hidden="1"/>
    <cellStyle name="Hyperlink" xfId="5506" builtinId="8" hidden="1"/>
    <cellStyle name="Hyperlink" xfId="5508" builtinId="8" hidden="1"/>
    <cellStyle name="Hyperlink" xfId="5510" builtinId="8" hidden="1"/>
    <cellStyle name="Hyperlink" xfId="5512" builtinId="8" hidden="1"/>
    <cellStyle name="Hyperlink" xfId="5514" builtinId="8" hidden="1"/>
    <cellStyle name="Hyperlink" xfId="5516" builtinId="8" hidden="1"/>
    <cellStyle name="Hyperlink" xfId="5518" builtinId="8" hidden="1"/>
    <cellStyle name="Hyperlink" xfId="5520" builtinId="8" hidden="1"/>
    <cellStyle name="Hyperlink" xfId="5522" builtinId="8" hidden="1"/>
    <cellStyle name="Hyperlink" xfId="5524" builtinId="8" hidden="1"/>
    <cellStyle name="Hyperlink" xfId="5526" builtinId="8" hidden="1"/>
    <cellStyle name="Hyperlink" xfId="5528" builtinId="8" hidden="1"/>
    <cellStyle name="Hyperlink" xfId="5530" builtinId="8" hidden="1"/>
    <cellStyle name="Hyperlink" xfId="5532" builtinId="8" hidden="1"/>
    <cellStyle name="Hyperlink" xfId="5534" builtinId="8" hidden="1"/>
    <cellStyle name="Hyperlink" xfId="5536" builtinId="8" hidden="1"/>
    <cellStyle name="Hyperlink" xfId="5538" builtinId="8" hidden="1"/>
    <cellStyle name="Hyperlink" xfId="5540" builtinId="8" hidden="1"/>
    <cellStyle name="Hyperlink" xfId="5542" builtinId="8" hidden="1"/>
    <cellStyle name="Hyperlink" xfId="5544" builtinId="8" hidden="1"/>
    <cellStyle name="Hyperlink" xfId="5546" builtinId="8" hidden="1"/>
    <cellStyle name="Hyperlink" xfId="5548" builtinId="8" hidden="1"/>
    <cellStyle name="Hyperlink" xfId="5550" builtinId="8" hidden="1"/>
    <cellStyle name="Hyperlink" xfId="5552" builtinId="8" hidden="1"/>
    <cellStyle name="Hyperlink" xfId="5554" builtinId="8" hidden="1"/>
    <cellStyle name="Hyperlink" xfId="5556" builtinId="8" hidden="1"/>
    <cellStyle name="Hyperlink" xfId="5558" builtinId="8" hidden="1"/>
    <cellStyle name="Hyperlink" xfId="5560" builtinId="8" hidden="1"/>
    <cellStyle name="Hyperlink" xfId="5562" builtinId="8" hidden="1"/>
    <cellStyle name="Hyperlink" xfId="5564" builtinId="8" hidden="1"/>
    <cellStyle name="Hyperlink" xfId="5566" builtinId="8" hidden="1"/>
    <cellStyle name="Hyperlink" xfId="5568" builtinId="8" hidden="1"/>
    <cellStyle name="Hyperlink" xfId="5570" builtinId="8" hidden="1"/>
    <cellStyle name="Hyperlink" xfId="5572" builtinId="8" hidden="1"/>
    <cellStyle name="Hyperlink" xfId="5574" builtinId="8" hidden="1"/>
    <cellStyle name="Hyperlink" xfId="5576" builtinId="8" hidden="1"/>
    <cellStyle name="Hyperlink" xfId="5578" builtinId="8" hidden="1"/>
    <cellStyle name="Hyperlink" xfId="5580" builtinId="8" hidden="1"/>
    <cellStyle name="Hyperlink" xfId="5582" builtinId="8" hidden="1"/>
    <cellStyle name="Hyperlink" xfId="5584" builtinId="8" hidden="1"/>
    <cellStyle name="Hyperlink" xfId="5586" builtinId="8" hidden="1"/>
    <cellStyle name="Hyperlink" xfId="5588" builtinId="8" hidden="1"/>
    <cellStyle name="Hyperlink" xfId="5590" builtinId="8" hidden="1"/>
    <cellStyle name="Hyperlink" xfId="5592" builtinId="8" hidden="1"/>
    <cellStyle name="Hyperlink" xfId="5594" builtinId="8" hidden="1"/>
    <cellStyle name="Hyperlink" xfId="5596" builtinId="8" hidden="1"/>
    <cellStyle name="Hyperlink" xfId="5598" builtinId="8" hidden="1"/>
    <cellStyle name="Hyperlink" xfId="5600" builtinId="8" hidden="1"/>
    <cellStyle name="Hyperlink" xfId="5602" builtinId="8" hidden="1"/>
    <cellStyle name="Hyperlink" xfId="5604" builtinId="8" hidden="1"/>
    <cellStyle name="Hyperlink" xfId="5606" builtinId="8" hidden="1"/>
    <cellStyle name="Hyperlink" xfId="5608" builtinId="8" hidden="1"/>
    <cellStyle name="Hyperlink" xfId="5610" builtinId="8" hidden="1"/>
    <cellStyle name="Hyperlink" xfId="5612" builtinId="8" hidden="1"/>
    <cellStyle name="Hyperlink" xfId="5614" builtinId="8" hidden="1"/>
    <cellStyle name="Hyperlink" xfId="5616" builtinId="8" hidden="1"/>
    <cellStyle name="Hyperlink" xfId="5618" builtinId="8" hidden="1"/>
    <cellStyle name="Hyperlink" xfId="5620" builtinId="8" hidden="1"/>
    <cellStyle name="Hyperlink" xfId="5622" builtinId="8" hidden="1"/>
    <cellStyle name="Hyperlink" xfId="5624" builtinId="8" hidden="1"/>
    <cellStyle name="Hyperlink" xfId="5626" builtinId="8" hidden="1"/>
    <cellStyle name="Hyperlink" xfId="5628" builtinId="8" hidden="1"/>
    <cellStyle name="Hyperlink" xfId="5630" builtinId="8" hidden="1"/>
    <cellStyle name="Hyperlink" xfId="5632" builtinId="8" hidden="1"/>
    <cellStyle name="Hyperlink" xfId="5634" builtinId="8" hidden="1"/>
    <cellStyle name="Hyperlink" xfId="5636" builtinId="8" hidden="1"/>
    <cellStyle name="Hyperlink" xfId="5638" builtinId="8" hidden="1"/>
    <cellStyle name="Hyperlink" xfId="5640" builtinId="8" hidden="1"/>
    <cellStyle name="Hyperlink" xfId="5642" builtinId="8" hidden="1"/>
    <cellStyle name="Hyperlink" xfId="5644" builtinId="8" hidden="1"/>
    <cellStyle name="Hyperlink" xfId="5646" builtinId="8" hidden="1"/>
    <cellStyle name="Hyperlink" xfId="5648" builtinId="8" hidden="1"/>
    <cellStyle name="Hyperlink" xfId="5650" builtinId="8" hidden="1"/>
    <cellStyle name="Hyperlink" xfId="5652" builtinId="8" hidden="1"/>
    <cellStyle name="Hyperlink" xfId="5654" builtinId="8" hidden="1"/>
    <cellStyle name="Hyperlink" xfId="5656" builtinId="8" hidden="1"/>
    <cellStyle name="Hyperlink" xfId="5658" builtinId="8" hidden="1"/>
    <cellStyle name="Hyperlink" xfId="5660" builtinId="8" hidden="1"/>
    <cellStyle name="Hyperlink" xfId="5662" builtinId="8" hidden="1"/>
    <cellStyle name="Hyperlink" xfId="5664" builtinId="8" hidden="1"/>
    <cellStyle name="Hyperlink" xfId="5666" builtinId="8" hidden="1"/>
    <cellStyle name="Hyperlink" xfId="5668" builtinId="8" hidden="1"/>
    <cellStyle name="Hyperlink" xfId="5670" builtinId="8" hidden="1"/>
    <cellStyle name="Hyperlink" xfId="5672" builtinId="8" hidden="1"/>
    <cellStyle name="Hyperlink" xfId="5674" builtinId="8" hidden="1"/>
    <cellStyle name="Hyperlink" xfId="5676" builtinId="8" hidden="1"/>
    <cellStyle name="Hyperlink" xfId="5678" builtinId="8" hidden="1"/>
    <cellStyle name="Hyperlink" xfId="5680" builtinId="8" hidden="1"/>
    <cellStyle name="Hyperlink" xfId="5682" builtinId="8" hidden="1"/>
    <cellStyle name="Hyperlink" xfId="5684" builtinId="8" hidden="1"/>
    <cellStyle name="Hyperlink" xfId="5686" builtinId="8" hidden="1"/>
    <cellStyle name="Hyperlink" xfId="5688" builtinId="8" hidden="1"/>
    <cellStyle name="Hyperlink" xfId="5690" builtinId="8" hidden="1"/>
    <cellStyle name="Hyperlink" xfId="5692" builtinId="8" hidden="1"/>
    <cellStyle name="Hyperlink" xfId="5694" builtinId="8" hidden="1"/>
    <cellStyle name="Hyperlink" xfId="5696" builtinId="8" hidden="1"/>
    <cellStyle name="Hyperlink" xfId="5698" builtinId="8" hidden="1"/>
    <cellStyle name="Hyperlink" xfId="5700" builtinId="8" hidden="1"/>
    <cellStyle name="Hyperlink" xfId="5702" builtinId="8" hidden="1"/>
    <cellStyle name="Hyperlink" xfId="5704" builtinId="8" hidden="1"/>
    <cellStyle name="Hyperlink" xfId="5706" builtinId="8" hidden="1"/>
    <cellStyle name="Hyperlink" xfId="5708" builtinId="8" hidden="1"/>
    <cellStyle name="Hyperlink" xfId="5710" builtinId="8" hidden="1"/>
    <cellStyle name="Hyperlink" xfId="5712" builtinId="8" hidden="1"/>
    <cellStyle name="Hyperlink" xfId="5714" builtinId="8" hidden="1"/>
    <cellStyle name="Hyperlink" xfId="5716" builtinId="8" hidden="1"/>
    <cellStyle name="Hyperlink" xfId="5718" builtinId="8" hidden="1"/>
    <cellStyle name="Hyperlink" xfId="5720" builtinId="8" hidden="1"/>
    <cellStyle name="Hyperlink" xfId="5722" builtinId="8" hidden="1"/>
    <cellStyle name="Hyperlink" xfId="5724" builtinId="8" hidden="1"/>
    <cellStyle name="Hyperlink" xfId="5726" builtinId="8" hidden="1"/>
    <cellStyle name="Hyperlink" xfId="5728" builtinId="8" hidden="1"/>
    <cellStyle name="Hyperlink" xfId="5730" builtinId="8" hidden="1"/>
    <cellStyle name="Hyperlink" xfId="5732" builtinId="8" hidden="1"/>
    <cellStyle name="Hyperlink" xfId="5734" builtinId="8" hidden="1"/>
    <cellStyle name="Hyperlink" xfId="5736" builtinId="8" hidden="1"/>
    <cellStyle name="Hyperlink" xfId="5738" builtinId="8" hidden="1"/>
    <cellStyle name="Hyperlink" xfId="5740" builtinId="8" hidden="1"/>
    <cellStyle name="Hyperlink" xfId="5742" builtinId="8" hidden="1"/>
    <cellStyle name="Hyperlink" xfId="5744" builtinId="8" hidden="1"/>
    <cellStyle name="Hyperlink" xfId="5746" builtinId="8" hidden="1"/>
    <cellStyle name="Hyperlink" xfId="5748" builtinId="8" hidden="1"/>
    <cellStyle name="Hyperlink" xfId="5750" builtinId="8" hidden="1"/>
    <cellStyle name="Hyperlink" xfId="5752" builtinId="8" hidden="1"/>
    <cellStyle name="Hyperlink" xfId="5754" builtinId="8" hidden="1"/>
    <cellStyle name="Hyperlink" xfId="5756" builtinId="8" hidden="1"/>
    <cellStyle name="Hyperlink" xfId="5758" builtinId="8" hidden="1"/>
    <cellStyle name="Hyperlink" xfId="5760" builtinId="8" hidden="1"/>
    <cellStyle name="Hyperlink" xfId="5762" builtinId="8" hidden="1"/>
    <cellStyle name="Hyperlink" xfId="5764" builtinId="8" hidden="1"/>
    <cellStyle name="Hyperlink" xfId="5766" builtinId="8" hidden="1"/>
    <cellStyle name="Hyperlink" xfId="5768" builtinId="8" hidden="1"/>
    <cellStyle name="Hyperlink" xfId="5770" builtinId="8" hidden="1"/>
    <cellStyle name="Hyperlink" xfId="5772" builtinId="8" hidden="1"/>
    <cellStyle name="Hyperlink" xfId="5774" builtinId="8" hidden="1"/>
    <cellStyle name="Hyperlink" xfId="5776" builtinId="8" hidden="1"/>
    <cellStyle name="Hyperlink" xfId="5778" builtinId="8" hidden="1"/>
    <cellStyle name="Hyperlink" xfId="5780" builtinId="8" hidden="1"/>
    <cellStyle name="Hyperlink" xfId="5782" builtinId="8" hidden="1"/>
    <cellStyle name="Hyperlink" xfId="5784" builtinId="8" hidden="1"/>
    <cellStyle name="Hyperlink" xfId="5786" builtinId="8" hidden="1"/>
    <cellStyle name="Hyperlink" xfId="5788" builtinId="8" hidden="1"/>
    <cellStyle name="Hyperlink" xfId="5790" builtinId="8" hidden="1"/>
    <cellStyle name="Hyperlink" xfId="5792" builtinId="8" hidden="1"/>
    <cellStyle name="Hyperlink" xfId="5794" builtinId="8" hidden="1"/>
    <cellStyle name="Hyperlink" xfId="5796" builtinId="8" hidden="1"/>
    <cellStyle name="Hyperlink" xfId="5798" builtinId="8" hidden="1"/>
    <cellStyle name="Hyperlink" xfId="5800" builtinId="8" hidden="1"/>
    <cellStyle name="Hyperlink" xfId="5802" builtinId="8" hidden="1"/>
    <cellStyle name="Hyperlink" xfId="5804" builtinId="8" hidden="1"/>
    <cellStyle name="Hyperlink" xfId="5806" builtinId="8" hidden="1"/>
    <cellStyle name="Hyperlink" xfId="5808" builtinId="8" hidden="1"/>
    <cellStyle name="Hyperlink" xfId="5810" builtinId="8" hidden="1"/>
    <cellStyle name="Hyperlink" xfId="5812" builtinId="8" hidden="1"/>
    <cellStyle name="Hyperlink" xfId="5814" builtinId="8" hidden="1"/>
    <cellStyle name="Hyperlink" xfId="5816" builtinId="8" hidden="1"/>
    <cellStyle name="Hyperlink" xfId="5818" builtinId="8" hidden="1"/>
    <cellStyle name="Hyperlink" xfId="5820" builtinId="8" hidden="1"/>
    <cellStyle name="Hyperlink" xfId="5822" builtinId="8" hidden="1"/>
    <cellStyle name="Hyperlink" xfId="5824" builtinId="8" hidden="1"/>
    <cellStyle name="Hyperlink" xfId="5826" builtinId="8" hidden="1"/>
    <cellStyle name="Hyperlink" xfId="5828" builtinId="8" hidden="1"/>
    <cellStyle name="Hyperlink" xfId="5830" builtinId="8" hidden="1"/>
    <cellStyle name="Hyperlink" xfId="5832" builtinId="8" hidden="1"/>
    <cellStyle name="Hyperlink" xfId="5834" builtinId="8" hidden="1"/>
    <cellStyle name="Hyperlink" xfId="5836" builtinId="8" hidden="1"/>
    <cellStyle name="Hyperlink" xfId="5838" builtinId="8" hidden="1"/>
    <cellStyle name="Hyperlink" xfId="5840" builtinId="8" hidden="1"/>
    <cellStyle name="Hyperlink" xfId="5842" builtinId="8" hidden="1"/>
    <cellStyle name="Hyperlink" xfId="5844" builtinId="8" hidden="1"/>
    <cellStyle name="Hyperlink" xfId="5846" builtinId="8" hidden="1"/>
    <cellStyle name="Hyperlink" xfId="5848" builtinId="8" hidden="1"/>
    <cellStyle name="Hyperlink" xfId="5850" builtinId="8" hidden="1"/>
    <cellStyle name="Hyperlink" xfId="5852" builtinId="8" hidden="1"/>
    <cellStyle name="Hyperlink" xfId="5854" builtinId="8" hidden="1"/>
    <cellStyle name="Hyperlink" xfId="5856" builtinId="8" hidden="1"/>
    <cellStyle name="Hyperlink" xfId="5858" builtinId="8" hidden="1"/>
    <cellStyle name="Hyperlink" xfId="5860" builtinId="8" hidden="1"/>
    <cellStyle name="Hyperlink" xfId="5862" builtinId="8" hidden="1"/>
    <cellStyle name="Hyperlink" xfId="5864" builtinId="8" hidden="1"/>
    <cellStyle name="Hyperlink" xfId="5866" builtinId="8" hidden="1"/>
    <cellStyle name="Hyperlink" xfId="5868" builtinId="8" hidden="1"/>
    <cellStyle name="Hyperlink" xfId="5870" builtinId="8" hidden="1"/>
    <cellStyle name="Hyperlink" xfId="5872" builtinId="8" hidden="1"/>
    <cellStyle name="Hyperlink" xfId="5874" builtinId="8" hidden="1"/>
    <cellStyle name="Hyperlink" xfId="5876" builtinId="8" hidden="1"/>
    <cellStyle name="Hyperlink" xfId="5878" builtinId="8" hidden="1"/>
    <cellStyle name="Hyperlink" xfId="5880" builtinId="8" hidden="1"/>
    <cellStyle name="Hyperlink" xfId="5882" builtinId="8" hidden="1"/>
    <cellStyle name="Hyperlink" xfId="5884" builtinId="8" hidden="1"/>
    <cellStyle name="Hyperlink" xfId="5886" builtinId="8" hidden="1"/>
    <cellStyle name="Hyperlink" xfId="5888" builtinId="8" hidden="1"/>
    <cellStyle name="Hyperlink" xfId="5890" builtinId="8" hidden="1"/>
    <cellStyle name="Hyperlink" xfId="5892" builtinId="8" hidden="1"/>
    <cellStyle name="Hyperlink" xfId="5894" builtinId="8" hidden="1"/>
    <cellStyle name="Hyperlink" xfId="5896" builtinId="8" hidden="1"/>
    <cellStyle name="Hyperlink" xfId="5898" builtinId="8" hidden="1"/>
    <cellStyle name="Hyperlink" xfId="5900" builtinId="8" hidden="1"/>
    <cellStyle name="Hyperlink" xfId="5902" builtinId="8" hidden="1"/>
    <cellStyle name="Hyperlink" xfId="5904" builtinId="8" hidden="1"/>
    <cellStyle name="Hyperlink" xfId="5906" builtinId="8" hidden="1"/>
    <cellStyle name="Hyperlink" xfId="5908" builtinId="8" hidden="1"/>
    <cellStyle name="Hyperlink" xfId="5910" builtinId="8" hidden="1"/>
    <cellStyle name="Hyperlink" xfId="5912" builtinId="8" hidden="1"/>
    <cellStyle name="Hyperlink" xfId="5914" builtinId="8" hidden="1"/>
    <cellStyle name="Hyperlink" xfId="5916" builtinId="8" hidden="1"/>
    <cellStyle name="Hyperlink" xfId="5918" builtinId="8" hidden="1"/>
    <cellStyle name="Hyperlink" xfId="5920" builtinId="8" hidden="1"/>
    <cellStyle name="Hyperlink" xfId="5922" builtinId="8" hidden="1"/>
    <cellStyle name="Hyperlink" xfId="5924" builtinId="8" hidden="1"/>
    <cellStyle name="Hyperlink" xfId="5926" builtinId="8" hidden="1"/>
    <cellStyle name="Hyperlink" xfId="5928" builtinId="8" hidden="1"/>
    <cellStyle name="Hyperlink" xfId="5930" builtinId="8" hidden="1"/>
    <cellStyle name="Hyperlink" xfId="5932" builtinId="8" hidden="1"/>
    <cellStyle name="Hyperlink" xfId="5934" builtinId="8" hidden="1"/>
    <cellStyle name="Hyperlink" xfId="5936" builtinId="8" hidden="1"/>
    <cellStyle name="Hyperlink" xfId="5938" builtinId="8" hidden="1"/>
    <cellStyle name="Hyperlink" xfId="5940" builtinId="8" hidden="1"/>
    <cellStyle name="Hyperlink" xfId="5942" builtinId="8" hidden="1"/>
    <cellStyle name="Hyperlink" xfId="5944" builtinId="8" hidden="1"/>
    <cellStyle name="Hyperlink" xfId="5946" builtinId="8" hidden="1"/>
    <cellStyle name="Hyperlink" xfId="5948" builtinId="8" hidden="1"/>
    <cellStyle name="Hyperlink" xfId="5950" builtinId="8" hidden="1"/>
    <cellStyle name="Hyperlink" xfId="5952" builtinId="8" hidden="1"/>
    <cellStyle name="Hyperlink" xfId="5954" builtinId="8" hidden="1"/>
    <cellStyle name="Hyperlink" xfId="5956" builtinId="8" hidden="1"/>
    <cellStyle name="Hyperlink" xfId="5958" builtinId="8" hidden="1"/>
    <cellStyle name="Hyperlink" xfId="5960" builtinId="8" hidden="1"/>
    <cellStyle name="Hyperlink" xfId="5962" builtinId="8" hidden="1"/>
    <cellStyle name="Hyperlink" xfId="5964" builtinId="8" hidden="1"/>
    <cellStyle name="Hyperlink" xfId="5966" builtinId="8" hidden="1"/>
    <cellStyle name="Hyperlink" xfId="5968" builtinId="8" hidden="1"/>
    <cellStyle name="Hyperlink" xfId="5970" builtinId="8" hidden="1"/>
    <cellStyle name="Hyperlink" xfId="5972" builtinId="8" hidden="1"/>
    <cellStyle name="Hyperlink" xfId="5974" builtinId="8" hidden="1"/>
    <cellStyle name="Hyperlink" xfId="5976" builtinId="8" hidden="1"/>
    <cellStyle name="Hyperlink" xfId="5978" builtinId="8" hidden="1"/>
    <cellStyle name="Hyperlink" xfId="5980" builtinId="8" hidden="1"/>
    <cellStyle name="Hyperlink" xfId="5982" builtinId="8" hidden="1"/>
    <cellStyle name="Hyperlink" xfId="5984" builtinId="8" hidden="1"/>
    <cellStyle name="Hyperlink" xfId="5986" builtinId="8" hidden="1"/>
    <cellStyle name="Hyperlink" xfId="5988" builtinId="8" hidden="1"/>
    <cellStyle name="Hyperlink" xfId="5990" builtinId="8" hidden="1"/>
    <cellStyle name="Hyperlink" xfId="5992" builtinId="8" hidden="1"/>
    <cellStyle name="Hyperlink" xfId="5994" builtinId="8" hidden="1"/>
    <cellStyle name="Hyperlink" xfId="5996" builtinId="8" hidden="1"/>
    <cellStyle name="Hyperlink" xfId="5998" builtinId="8" hidden="1"/>
    <cellStyle name="Hyperlink" xfId="6000" builtinId="8" hidden="1"/>
    <cellStyle name="Hyperlink" xfId="6002" builtinId="8" hidden="1"/>
    <cellStyle name="Hyperlink" xfId="6004" builtinId="8" hidden="1"/>
    <cellStyle name="Hyperlink" xfId="6006" builtinId="8" hidden="1"/>
    <cellStyle name="Hyperlink" xfId="6008" builtinId="8" hidden="1"/>
    <cellStyle name="Hyperlink" xfId="6010" builtinId="8" hidden="1"/>
    <cellStyle name="Hyperlink" xfId="6012" builtinId="8" hidden="1"/>
    <cellStyle name="Hyperlink" xfId="6014" builtinId="8" hidden="1"/>
    <cellStyle name="Hyperlink" xfId="6016" builtinId="8" hidden="1"/>
    <cellStyle name="Hyperlink" xfId="6018" builtinId="8" hidden="1"/>
    <cellStyle name="Hyperlink" xfId="6020" builtinId="8" hidden="1"/>
    <cellStyle name="Hyperlink" xfId="6022" builtinId="8" hidden="1"/>
    <cellStyle name="Hyperlink" xfId="6024" builtinId="8" hidden="1"/>
    <cellStyle name="Hyperlink" xfId="6026" builtinId="8" hidden="1"/>
    <cellStyle name="Hyperlink" xfId="6028" builtinId="8" hidden="1"/>
    <cellStyle name="Hyperlink" xfId="6030" builtinId="8" hidden="1"/>
    <cellStyle name="Hyperlink" xfId="6032" builtinId="8" hidden="1"/>
    <cellStyle name="Hyperlink" xfId="6034" builtinId="8" hidden="1"/>
    <cellStyle name="Hyperlink" xfId="6036" builtinId="8" hidden="1"/>
    <cellStyle name="Hyperlink" xfId="6038" builtinId="8" hidden="1"/>
    <cellStyle name="Hyperlink" xfId="6040" builtinId="8" hidden="1"/>
    <cellStyle name="Hyperlink" xfId="6042" builtinId="8" hidden="1"/>
    <cellStyle name="Hyperlink" xfId="6044" builtinId="8" hidden="1"/>
    <cellStyle name="Hyperlink" xfId="6046" builtinId="8" hidden="1"/>
    <cellStyle name="Hyperlink" xfId="6048" builtinId="8" hidden="1"/>
    <cellStyle name="Hyperlink" xfId="6050" builtinId="8" hidden="1"/>
    <cellStyle name="Hyperlink" xfId="6052" builtinId="8" hidden="1"/>
    <cellStyle name="Hyperlink" xfId="6054" builtinId="8" hidden="1"/>
    <cellStyle name="Hyperlink" xfId="6056" builtinId="8" hidden="1"/>
    <cellStyle name="Hyperlink" xfId="6058" builtinId="8" hidden="1"/>
    <cellStyle name="Hyperlink" xfId="6060" builtinId="8" hidden="1"/>
    <cellStyle name="Hyperlink" xfId="6062" builtinId="8" hidden="1"/>
    <cellStyle name="Hyperlink" xfId="6064" builtinId="8" hidden="1"/>
    <cellStyle name="Hyperlink" xfId="6066" builtinId="8" hidden="1"/>
    <cellStyle name="Hyperlink" xfId="6068" builtinId="8" hidden="1"/>
    <cellStyle name="Hyperlink" xfId="6070" builtinId="8" hidden="1"/>
    <cellStyle name="Hyperlink" xfId="6072" builtinId="8" hidden="1"/>
    <cellStyle name="Hyperlink" xfId="6074" builtinId="8" hidden="1"/>
    <cellStyle name="Hyperlink" xfId="6076" builtinId="8" hidden="1"/>
    <cellStyle name="Hyperlink" xfId="6078" builtinId="8" hidden="1"/>
    <cellStyle name="Hyperlink" xfId="6080" builtinId="8" hidden="1"/>
    <cellStyle name="Hyperlink" xfId="6082" builtinId="8" hidden="1"/>
    <cellStyle name="Hyperlink" xfId="7048" builtinId="8" hidden="1"/>
    <cellStyle name="Hyperlink" xfId="7050" builtinId="8" hidden="1"/>
    <cellStyle name="Hyperlink" xfId="7052" builtinId="8" hidden="1"/>
    <cellStyle name="Hyperlink" xfId="7054" builtinId="8" hidden="1"/>
    <cellStyle name="Hyperlink" xfId="7056" builtinId="8" hidden="1"/>
    <cellStyle name="Hyperlink" xfId="7058" builtinId="8" hidden="1"/>
    <cellStyle name="Hyperlink" xfId="7060" builtinId="8" hidden="1"/>
    <cellStyle name="Hyperlink" xfId="7062" builtinId="8" hidden="1"/>
    <cellStyle name="Hyperlink" xfId="7064" builtinId="8" hidden="1"/>
    <cellStyle name="Hyperlink" xfId="7066" builtinId="8" hidden="1"/>
    <cellStyle name="Hyperlink" xfId="7068" builtinId="8" hidden="1"/>
    <cellStyle name="Hyperlink" xfId="7070" builtinId="8" hidden="1"/>
    <cellStyle name="Hyperlink" xfId="7072" builtinId="8" hidden="1"/>
    <cellStyle name="Hyperlink" xfId="7074" builtinId="8" hidden="1"/>
    <cellStyle name="Hyperlink" xfId="7076" builtinId="8" hidden="1"/>
    <cellStyle name="Hyperlink" xfId="7078" builtinId="8" hidden="1"/>
    <cellStyle name="Hyperlink" xfId="7080" builtinId="8" hidden="1"/>
    <cellStyle name="Hyperlink" xfId="7082" builtinId="8" hidden="1"/>
    <cellStyle name="Hyperlink" xfId="7084" builtinId="8" hidden="1"/>
    <cellStyle name="Hyperlink" xfId="7086" builtinId="8" hidden="1"/>
    <cellStyle name="Hyperlink" xfId="7088" builtinId="8" hidden="1"/>
    <cellStyle name="Hyperlink" xfId="7090" builtinId="8" hidden="1"/>
    <cellStyle name="Hyperlink" xfId="7092" builtinId="8" hidden="1"/>
    <cellStyle name="Hyperlink" xfId="7094" builtinId="8" hidden="1"/>
    <cellStyle name="Hyperlink" xfId="7096" builtinId="8" hidden="1"/>
    <cellStyle name="Hyperlink" xfId="7098" builtinId="8" hidden="1"/>
    <cellStyle name="Hyperlink" xfId="7100" builtinId="8" hidden="1"/>
    <cellStyle name="Hyperlink" xfId="7102" builtinId="8" hidden="1"/>
    <cellStyle name="Hyperlink" xfId="7104" builtinId="8" hidden="1"/>
    <cellStyle name="Hyperlink" xfId="7106" builtinId="8" hidden="1"/>
    <cellStyle name="Hyperlink" xfId="7108" builtinId="8" hidden="1"/>
    <cellStyle name="Hyperlink" xfId="7110" builtinId="8" hidden="1"/>
    <cellStyle name="Hyperlink" xfId="7112" builtinId="8" hidden="1"/>
    <cellStyle name="Hyperlink" xfId="7114" builtinId="8" hidden="1"/>
    <cellStyle name="Hyperlink" xfId="7116" builtinId="8" hidden="1"/>
    <cellStyle name="Hyperlink" xfId="7118" builtinId="8" hidden="1"/>
    <cellStyle name="Hyperlink" xfId="7120" builtinId="8" hidden="1"/>
    <cellStyle name="Hyperlink" xfId="7122" builtinId="8" hidden="1"/>
    <cellStyle name="Hyperlink" xfId="7124" builtinId="8" hidden="1"/>
    <cellStyle name="Hyperlink" xfId="7126" builtinId="8" hidden="1"/>
    <cellStyle name="Hyperlink" xfId="7128" builtinId="8" hidden="1"/>
    <cellStyle name="Hyperlink" xfId="7130" builtinId="8" hidden="1"/>
    <cellStyle name="Hyperlink" xfId="7132" builtinId="8" hidden="1"/>
    <cellStyle name="Hyperlink" xfId="7134" builtinId="8" hidden="1"/>
    <cellStyle name="Hyperlink" xfId="7136" builtinId="8" hidden="1"/>
    <cellStyle name="Hyperlink" xfId="7138" builtinId="8" hidden="1"/>
    <cellStyle name="Hyperlink" xfId="7140" builtinId="8" hidden="1"/>
    <cellStyle name="Hyperlink" xfId="7142" builtinId="8" hidden="1"/>
    <cellStyle name="Hyperlink" xfId="7144" builtinId="8" hidden="1"/>
    <cellStyle name="Hyperlink" xfId="7146" builtinId="8" hidden="1"/>
    <cellStyle name="Hyperlink" xfId="7148" builtinId="8" hidden="1"/>
    <cellStyle name="Hyperlink" xfId="7150" builtinId="8" hidden="1"/>
    <cellStyle name="Hyperlink" xfId="7152" builtinId="8" hidden="1"/>
    <cellStyle name="Hyperlink" xfId="7154" builtinId="8" hidden="1"/>
    <cellStyle name="Hyperlink" xfId="7156" builtinId="8" hidden="1"/>
    <cellStyle name="Hyperlink" xfId="7158" builtinId="8" hidden="1"/>
    <cellStyle name="Hyperlink" xfId="7160" builtinId="8" hidden="1"/>
    <cellStyle name="Hyperlink" xfId="7162" builtinId="8" hidden="1"/>
    <cellStyle name="Hyperlink" xfId="7164" builtinId="8" hidden="1"/>
    <cellStyle name="Hyperlink" xfId="7166" builtinId="8" hidden="1"/>
    <cellStyle name="Hyperlink" xfId="7168" builtinId="8" hidden="1"/>
    <cellStyle name="Hyperlink" xfId="7170" builtinId="8" hidden="1"/>
    <cellStyle name="Hyperlink" xfId="7172" builtinId="8" hidden="1"/>
    <cellStyle name="Hyperlink" xfId="7174" builtinId="8" hidden="1"/>
    <cellStyle name="Hyperlink" xfId="7176" builtinId="8" hidden="1"/>
    <cellStyle name="Hyperlink" xfId="7178" builtinId="8" hidden="1"/>
    <cellStyle name="Hyperlink" xfId="7180" builtinId="8" hidden="1"/>
    <cellStyle name="Hyperlink" xfId="7182" builtinId="8" hidden="1"/>
    <cellStyle name="Hyperlink" xfId="7184" builtinId="8" hidden="1"/>
    <cellStyle name="Hyperlink" xfId="7186" builtinId="8" hidden="1"/>
    <cellStyle name="Normal" xfId="0" builtinId="0"/>
    <cellStyle name="Normal 2" xfId="6084"/>
    <cellStyle name="Normal 3" xfId="6777"/>
    <cellStyle name="Normal 4" xfId="6776"/>
    <cellStyle name="Percent" xfId="25" builtinId="5"/>
    <cellStyle name="Percent 2" xfId="677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/>
  </sheetViews>
  <sheetFormatPr baseColWidth="10" defaultColWidth="11" defaultRowHeight="15" x14ac:dyDescent="0"/>
  <cols>
    <col min="1" max="1" width="11" style="1"/>
    <col min="2" max="2" width="11" style="14"/>
    <col min="3" max="7" width="11" style="13"/>
    <col min="8" max="8" width="11" style="18"/>
    <col min="9" max="10" width="11" style="1"/>
    <col min="11" max="11" width="15.33203125" style="1" customWidth="1"/>
    <col min="12" max="13" width="11" style="1"/>
    <col min="14" max="14" width="11" style="18"/>
    <col min="15" max="20" width="11" style="1"/>
  </cols>
  <sheetData>
    <row r="1" spans="1:17" ht="25">
      <c r="A1" s="7" t="s">
        <v>85</v>
      </c>
      <c r="Q1" s="8"/>
    </row>
    <row r="2" spans="1:17">
      <c r="A2" s="105" t="s">
        <v>3</v>
      </c>
      <c r="B2" s="109" t="s">
        <v>0</v>
      </c>
      <c r="C2" s="105"/>
      <c r="D2" s="105"/>
      <c r="E2" s="105"/>
      <c r="F2" s="105"/>
      <c r="G2" s="105"/>
      <c r="H2" s="108"/>
      <c r="I2" s="109" t="s">
        <v>1</v>
      </c>
      <c r="J2" s="105"/>
      <c r="K2" s="105"/>
      <c r="L2" s="105"/>
      <c r="M2" s="105"/>
      <c r="N2" s="108"/>
      <c r="O2" s="9" t="s">
        <v>2</v>
      </c>
      <c r="Q2" s="8" t="s">
        <v>40</v>
      </c>
    </row>
    <row r="3" spans="1:17" ht="40" customHeight="1">
      <c r="A3" s="105"/>
      <c r="B3" s="109" t="s">
        <v>34</v>
      </c>
      <c r="C3" s="105" t="s">
        <v>90</v>
      </c>
      <c r="D3" s="105" t="s">
        <v>92</v>
      </c>
      <c r="E3" s="9" t="s">
        <v>93</v>
      </c>
      <c r="F3" s="9" t="s">
        <v>95</v>
      </c>
      <c r="G3" s="105" t="s">
        <v>87</v>
      </c>
      <c r="H3" s="108" t="s">
        <v>86</v>
      </c>
      <c r="I3" s="105" t="s">
        <v>100</v>
      </c>
      <c r="J3" s="9" t="s">
        <v>102</v>
      </c>
      <c r="K3" s="105" t="s">
        <v>4</v>
      </c>
      <c r="L3" s="105" t="s">
        <v>5</v>
      </c>
      <c r="M3" s="105" t="s">
        <v>6</v>
      </c>
      <c r="N3" s="108" t="s">
        <v>7</v>
      </c>
      <c r="O3" s="105" t="s">
        <v>8</v>
      </c>
    </row>
    <row r="4" spans="1:17">
      <c r="A4" s="105"/>
      <c r="B4" s="109"/>
      <c r="C4" s="105"/>
      <c r="D4" s="105"/>
      <c r="E4" s="9"/>
      <c r="F4" s="9"/>
      <c r="G4" s="105"/>
      <c r="H4" s="108"/>
      <c r="I4" s="105"/>
      <c r="J4" s="9"/>
      <c r="K4" s="105"/>
      <c r="L4" s="105"/>
      <c r="M4" s="105"/>
      <c r="N4" s="108"/>
      <c r="O4" s="105"/>
    </row>
    <row r="5" spans="1:17" ht="30">
      <c r="A5" s="10" t="s">
        <v>54</v>
      </c>
      <c r="B5" s="15" t="s">
        <v>10</v>
      </c>
      <c r="C5" s="11" t="s">
        <v>91</v>
      </c>
      <c r="D5" s="11" t="s">
        <v>105</v>
      </c>
      <c r="E5" s="11" t="s">
        <v>9</v>
      </c>
      <c r="F5" s="11" t="s">
        <v>72</v>
      </c>
      <c r="G5" s="12" t="s">
        <v>88</v>
      </c>
      <c r="H5" s="19" t="s">
        <v>89</v>
      </c>
      <c r="I5" s="106" t="s">
        <v>99</v>
      </c>
      <c r="J5" s="12" t="s">
        <v>103</v>
      </c>
      <c r="K5" s="106" t="s">
        <v>15</v>
      </c>
      <c r="L5" s="106" t="s">
        <v>16</v>
      </c>
      <c r="M5" s="106" t="s">
        <v>16</v>
      </c>
      <c r="N5" s="107" t="s">
        <v>16</v>
      </c>
      <c r="O5" s="106" t="s">
        <v>15</v>
      </c>
    </row>
    <row r="6" spans="1:17" ht="30">
      <c r="A6" s="5" t="s">
        <v>55</v>
      </c>
      <c r="B6" s="16" t="s">
        <v>12</v>
      </c>
      <c r="C6" s="11" t="s">
        <v>91</v>
      </c>
      <c r="D6" s="6" t="s">
        <v>106</v>
      </c>
      <c r="E6" s="11" t="s">
        <v>9</v>
      </c>
      <c r="F6" s="11" t="s">
        <v>72</v>
      </c>
      <c r="G6" s="12" t="s">
        <v>88</v>
      </c>
      <c r="H6" s="19" t="s">
        <v>89</v>
      </c>
      <c r="I6" s="106"/>
      <c r="J6" s="12" t="s">
        <v>103</v>
      </c>
      <c r="K6" s="106"/>
      <c r="L6" s="106"/>
      <c r="M6" s="106"/>
      <c r="N6" s="107"/>
      <c r="O6" s="106"/>
    </row>
    <row r="7" spans="1:17" ht="30">
      <c r="A7" s="5" t="s">
        <v>53</v>
      </c>
      <c r="B7" s="16" t="s">
        <v>13</v>
      </c>
      <c r="C7" s="11" t="s">
        <v>91</v>
      </c>
      <c r="D7" s="12" t="s">
        <v>105</v>
      </c>
      <c r="E7" s="11" t="s">
        <v>9</v>
      </c>
      <c r="F7" s="11" t="s">
        <v>72</v>
      </c>
      <c r="G7" s="12" t="s">
        <v>88</v>
      </c>
      <c r="H7" s="19" t="s">
        <v>89</v>
      </c>
      <c r="I7" s="106"/>
      <c r="J7" s="12" t="s">
        <v>103</v>
      </c>
      <c r="K7" s="106"/>
      <c r="L7" s="106"/>
      <c r="M7" s="106"/>
      <c r="N7" s="107"/>
      <c r="O7" s="106"/>
    </row>
    <row r="8" spans="1:17" ht="30">
      <c r="A8" s="5" t="s">
        <v>56</v>
      </c>
      <c r="B8" s="16" t="s">
        <v>14</v>
      </c>
      <c r="C8" s="11" t="s">
        <v>91</v>
      </c>
      <c r="D8" s="12" t="s">
        <v>107</v>
      </c>
      <c r="E8" s="11" t="s">
        <v>9</v>
      </c>
      <c r="F8" s="11" t="s">
        <v>72</v>
      </c>
      <c r="G8" s="12" t="s">
        <v>88</v>
      </c>
      <c r="H8" s="19" t="s">
        <v>89</v>
      </c>
      <c r="I8" s="106"/>
      <c r="J8" s="12" t="s">
        <v>103</v>
      </c>
      <c r="K8" s="106"/>
      <c r="L8" s="106"/>
      <c r="M8" s="106"/>
      <c r="N8" s="107"/>
      <c r="O8" s="106"/>
    </row>
    <row r="9" spans="1:17" ht="30">
      <c r="A9" s="5" t="s">
        <v>52</v>
      </c>
      <c r="B9" s="16" t="s">
        <v>11</v>
      </c>
      <c r="C9" s="11" t="s">
        <v>91</v>
      </c>
      <c r="D9" s="12"/>
      <c r="E9" s="11" t="s">
        <v>9</v>
      </c>
      <c r="F9" s="11" t="s">
        <v>72</v>
      </c>
      <c r="G9" s="12" t="s">
        <v>88</v>
      </c>
      <c r="H9" s="19" t="s">
        <v>89</v>
      </c>
      <c r="I9" s="106"/>
      <c r="J9" s="12" t="s">
        <v>103</v>
      </c>
      <c r="K9" s="106"/>
      <c r="L9" s="106"/>
      <c r="M9" s="106"/>
      <c r="N9" s="107"/>
      <c r="O9" s="106"/>
    </row>
    <row r="10" spans="1:17" ht="56">
      <c r="A10" s="12" t="s">
        <v>17</v>
      </c>
      <c r="B10" s="17" t="s">
        <v>18</v>
      </c>
      <c r="C10" s="12" t="s">
        <v>45</v>
      </c>
      <c r="D10" s="12" t="s">
        <v>108</v>
      </c>
      <c r="E10" s="12" t="s">
        <v>20</v>
      </c>
      <c r="F10" s="12"/>
      <c r="G10" s="12"/>
      <c r="H10" s="19"/>
      <c r="I10" s="12" t="s">
        <v>19</v>
      </c>
      <c r="J10" s="12"/>
      <c r="K10" s="12" t="s">
        <v>15</v>
      </c>
      <c r="L10" s="12" t="s">
        <v>20</v>
      </c>
      <c r="M10" s="12" t="s">
        <v>16</v>
      </c>
      <c r="N10" s="19" t="s">
        <v>16</v>
      </c>
      <c r="O10" s="12" t="s">
        <v>15</v>
      </c>
    </row>
    <row r="11" spans="1:17">
      <c r="A11" s="12" t="s">
        <v>21</v>
      </c>
      <c r="B11" s="17" t="s">
        <v>27</v>
      </c>
      <c r="C11" s="12" t="s">
        <v>27</v>
      </c>
      <c r="D11" s="12" t="s">
        <v>108</v>
      </c>
      <c r="E11" s="12"/>
      <c r="F11" s="12"/>
      <c r="G11" s="12"/>
      <c r="H11" s="19"/>
      <c r="I11" s="12" t="s">
        <v>22</v>
      </c>
      <c r="J11" s="12"/>
      <c r="K11" s="12" t="s">
        <v>20</v>
      </c>
      <c r="L11" s="12" t="s">
        <v>20</v>
      </c>
      <c r="M11" s="12" t="s">
        <v>20</v>
      </c>
      <c r="N11" s="19" t="s">
        <v>20</v>
      </c>
      <c r="O11" s="12" t="s">
        <v>16</v>
      </c>
    </row>
    <row r="12" spans="1:17" ht="28">
      <c r="A12" s="12" t="s">
        <v>23</v>
      </c>
      <c r="B12" s="17" t="s">
        <v>25</v>
      </c>
      <c r="C12" s="12" t="s">
        <v>20</v>
      </c>
      <c r="D12" s="12" t="s">
        <v>105</v>
      </c>
      <c r="E12" s="12" t="s">
        <v>24</v>
      </c>
      <c r="F12" s="12"/>
      <c r="G12" s="12"/>
      <c r="H12" s="19"/>
      <c r="I12" s="12" t="s">
        <v>26</v>
      </c>
      <c r="J12" s="12"/>
      <c r="K12" s="12" t="s">
        <v>16</v>
      </c>
      <c r="L12" s="12" t="s">
        <v>20</v>
      </c>
      <c r="M12" s="12" t="s">
        <v>16</v>
      </c>
      <c r="N12" s="19" t="s">
        <v>16</v>
      </c>
      <c r="O12" s="12" t="s">
        <v>15</v>
      </c>
    </row>
    <row r="13" spans="1:17" ht="28">
      <c r="A13" s="12" t="s">
        <v>28</v>
      </c>
      <c r="B13" s="17" t="s">
        <v>35</v>
      </c>
      <c r="C13" s="12" t="s">
        <v>36</v>
      </c>
      <c r="D13" s="12"/>
      <c r="E13" s="12" t="s">
        <v>30</v>
      </c>
      <c r="F13" s="12"/>
      <c r="G13" s="12"/>
      <c r="H13" s="19"/>
      <c r="I13" s="12" t="s">
        <v>33</v>
      </c>
      <c r="J13" s="12"/>
      <c r="K13" s="12" t="s">
        <v>16</v>
      </c>
      <c r="L13" s="12" t="s">
        <v>16</v>
      </c>
      <c r="M13" s="12" t="s">
        <v>16</v>
      </c>
      <c r="N13" s="19" t="s">
        <v>16</v>
      </c>
      <c r="O13" s="12" t="s">
        <v>15</v>
      </c>
    </row>
    <row r="14" spans="1:17">
      <c r="A14" s="13" t="s">
        <v>29</v>
      </c>
      <c r="B14" s="14" t="s">
        <v>31</v>
      </c>
      <c r="C14" s="13" t="s">
        <v>32</v>
      </c>
      <c r="E14" s="13" t="s">
        <v>20</v>
      </c>
      <c r="I14" s="13" t="s">
        <v>19</v>
      </c>
      <c r="J14" s="13"/>
      <c r="K14" s="13"/>
      <c r="L14" s="13"/>
      <c r="M14" s="13"/>
      <c r="O14" s="13"/>
      <c r="Q14" s="3" t="s">
        <v>101</v>
      </c>
    </row>
    <row r="16" spans="1:17" ht="30">
      <c r="A16" s="21" t="s">
        <v>113</v>
      </c>
      <c r="B16" s="14" t="s">
        <v>111</v>
      </c>
      <c r="C16" s="22" t="s">
        <v>114</v>
      </c>
      <c r="D16" s="13" t="s">
        <v>105</v>
      </c>
      <c r="E16" s="13" t="s">
        <v>30</v>
      </c>
      <c r="F16" s="13" t="s">
        <v>72</v>
      </c>
      <c r="I16" s="1" t="s">
        <v>19</v>
      </c>
      <c r="J16" s="1" t="s">
        <v>117</v>
      </c>
      <c r="K16" s="1" t="s">
        <v>16</v>
      </c>
      <c r="L16" s="1" t="s">
        <v>16</v>
      </c>
      <c r="M16" s="1" t="s">
        <v>16</v>
      </c>
      <c r="N16" s="18" t="s">
        <v>15</v>
      </c>
      <c r="O16" s="1">
        <v>1</v>
      </c>
    </row>
    <row r="17" spans="1:15" ht="30">
      <c r="A17" s="21" t="s">
        <v>116</v>
      </c>
      <c r="B17" s="14" t="s">
        <v>111</v>
      </c>
      <c r="C17" s="23" t="s">
        <v>118</v>
      </c>
      <c r="D17" s="13" t="s">
        <v>105</v>
      </c>
      <c r="E17" s="13" t="s">
        <v>66</v>
      </c>
      <c r="F17" s="13" t="s">
        <v>72</v>
      </c>
      <c r="I17" s="1" t="s">
        <v>119</v>
      </c>
      <c r="J17" s="1" t="s">
        <v>117</v>
      </c>
      <c r="K17" s="1" t="s">
        <v>16</v>
      </c>
      <c r="L17" s="1" t="s">
        <v>16</v>
      </c>
      <c r="M17" s="1" t="s">
        <v>16</v>
      </c>
      <c r="N17" s="18" t="s">
        <v>15</v>
      </c>
      <c r="O17" s="1">
        <v>1</v>
      </c>
    </row>
    <row r="18" spans="1:15" ht="28">
      <c r="A18" s="1" t="s">
        <v>120</v>
      </c>
      <c r="B18" s="14" t="s">
        <v>76</v>
      </c>
      <c r="C18" s="25" t="s">
        <v>121</v>
      </c>
      <c r="D18" s="13" t="s">
        <v>105</v>
      </c>
      <c r="E18" s="13" t="s">
        <v>30</v>
      </c>
      <c r="F18" s="13" t="s">
        <v>72</v>
      </c>
      <c r="G18" s="13" t="s">
        <v>39</v>
      </c>
      <c r="H18" s="24">
        <v>0.82</v>
      </c>
      <c r="I18" s="1" t="s">
        <v>19</v>
      </c>
      <c r="J18" s="20" t="s">
        <v>103</v>
      </c>
      <c r="K18" s="1" t="s">
        <v>20</v>
      </c>
      <c r="L18" s="1" t="s">
        <v>16</v>
      </c>
      <c r="M18" s="1" t="s">
        <v>16</v>
      </c>
      <c r="N18" s="18" t="s">
        <v>16</v>
      </c>
      <c r="O18" s="1">
        <v>1</v>
      </c>
    </row>
    <row r="20" spans="1:15">
      <c r="A20" s="1" t="s">
        <v>126</v>
      </c>
      <c r="I20" s="1" t="s">
        <v>131</v>
      </c>
    </row>
    <row r="22" spans="1:15">
      <c r="A22" s="1" t="s">
        <v>96</v>
      </c>
    </row>
    <row r="23" spans="1:15">
      <c r="A23" s="1" t="s">
        <v>94</v>
      </c>
    </row>
    <row r="24" spans="1:15">
      <c r="A24" s="4" t="s">
        <v>83</v>
      </c>
    </row>
    <row r="25" spans="1:15">
      <c r="A25" s="1" t="s">
        <v>97</v>
      </c>
    </row>
    <row r="26" spans="1:15">
      <c r="A26" s="1" t="s">
        <v>98</v>
      </c>
    </row>
    <row r="27" spans="1:15">
      <c r="A27" s="1" t="s">
        <v>104</v>
      </c>
    </row>
  </sheetData>
  <mergeCells count="20">
    <mergeCell ref="A2:A4"/>
    <mergeCell ref="B2:H2"/>
    <mergeCell ref="D3:D4"/>
    <mergeCell ref="I2:N2"/>
    <mergeCell ref="C3:C4"/>
    <mergeCell ref="I3:I4"/>
    <mergeCell ref="H3:H4"/>
    <mergeCell ref="G3:G4"/>
    <mergeCell ref="B3:B4"/>
    <mergeCell ref="O3:O4"/>
    <mergeCell ref="I5:I9"/>
    <mergeCell ref="K5:K9"/>
    <mergeCell ref="L5:L9"/>
    <mergeCell ref="M5:M9"/>
    <mergeCell ref="N5:N9"/>
    <mergeCell ref="O5:O9"/>
    <mergeCell ref="K3:K4"/>
    <mergeCell ref="L3:L4"/>
    <mergeCell ref="M3:M4"/>
    <mergeCell ref="N3:N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I561"/>
  <sheetViews>
    <sheetView tabSelected="1" zoomScale="75" zoomScaleNormal="75" zoomScalePageLayoutView="75" workbookViewId="0">
      <pane ySplit="1" topLeftCell="A104" activePane="bottomLeft" state="frozen"/>
      <selection pane="bottomLeft" activeCell="S124" sqref="S124"/>
    </sheetView>
  </sheetViews>
  <sheetFormatPr baseColWidth="10" defaultColWidth="11" defaultRowHeight="15" x14ac:dyDescent="0"/>
  <cols>
    <col min="1" max="1" width="4.5" style="27" customWidth="1"/>
    <col min="2" max="2" width="8.83203125" style="27" customWidth="1"/>
    <col min="3" max="3" width="5.83203125" style="27" customWidth="1"/>
    <col min="4" max="4" width="9" style="26" customWidth="1"/>
    <col min="5" max="5" width="13" style="26" customWidth="1"/>
    <col min="6" max="6" width="3.5" style="77" customWidth="1"/>
    <col min="7" max="7" width="3.5" style="2" customWidth="1"/>
    <col min="8" max="8" width="11.6640625" style="2" bestFit="1" customWidth="1"/>
    <col min="9" max="9" width="5.6640625" style="2" customWidth="1"/>
    <col min="10" max="10" width="19.6640625" style="2" bestFit="1" customWidth="1"/>
    <col min="11" max="13" width="3.5" style="2" customWidth="1"/>
    <col min="14" max="14" width="19.33203125" style="2" bestFit="1" customWidth="1"/>
    <col min="15" max="15" width="11.6640625" style="2" bestFit="1" customWidth="1"/>
    <col min="16" max="16" width="19.33203125" style="2" bestFit="1" customWidth="1"/>
    <col min="17" max="17" width="4.6640625" style="26" customWidth="1"/>
    <col min="18" max="18" width="21.6640625" style="2" bestFit="1" customWidth="1"/>
    <col min="19" max="19" width="6.5" style="88" customWidth="1"/>
    <col min="20" max="20" width="5.33203125" style="61" customWidth="1"/>
    <col min="21" max="21" width="3.5" style="77" customWidth="1"/>
    <col min="22" max="28" width="3.5" style="26" customWidth="1"/>
    <col min="29" max="32" width="4.6640625" style="26" customWidth="1"/>
    <col min="33" max="34" width="8.33203125" style="33" customWidth="1"/>
    <col min="35" max="35" width="4.6640625" style="33" customWidth="1"/>
    <col min="36" max="36" width="4.6640625" style="26" customWidth="1"/>
    <col min="37" max="38" width="4.6640625" style="33" customWidth="1"/>
    <col min="39" max="39" width="3.5" style="61" customWidth="1"/>
    <col min="40" max="40" width="4.1640625" style="2" customWidth="1"/>
    <col min="41" max="43" width="3.5" style="35" customWidth="1"/>
    <col min="44" max="44" width="3" style="35" customWidth="1"/>
    <col min="45" max="45" width="3.5" style="26" customWidth="1"/>
    <col min="46" max="46" width="3.33203125" style="26" customWidth="1"/>
    <col min="47" max="47" width="3.33203125" style="40" customWidth="1"/>
    <col min="48" max="16384" width="11" style="26"/>
  </cols>
  <sheetData>
    <row r="1" spans="1:48" ht="187">
      <c r="A1" s="48" t="s">
        <v>526</v>
      </c>
      <c r="B1" s="48" t="s">
        <v>528</v>
      </c>
      <c r="C1" s="48" t="s">
        <v>527</v>
      </c>
      <c r="D1" s="54" t="s">
        <v>34</v>
      </c>
      <c r="E1" s="54" t="s">
        <v>562</v>
      </c>
      <c r="F1" s="54" t="s">
        <v>172</v>
      </c>
      <c r="G1" s="54" t="s">
        <v>78</v>
      </c>
      <c r="H1" s="54" t="s">
        <v>592</v>
      </c>
      <c r="I1" s="54" t="s">
        <v>44</v>
      </c>
      <c r="J1" s="54" t="s">
        <v>179</v>
      </c>
      <c r="K1" s="54" t="s">
        <v>591</v>
      </c>
      <c r="L1" s="54" t="s">
        <v>549</v>
      </c>
      <c r="M1" s="54" t="s">
        <v>168</v>
      </c>
      <c r="N1" s="54" t="s">
        <v>529</v>
      </c>
      <c r="O1" s="54" t="s">
        <v>41</v>
      </c>
      <c r="P1" s="54" t="s">
        <v>211</v>
      </c>
      <c r="Q1" s="96" t="s">
        <v>235</v>
      </c>
      <c r="R1" s="54" t="s">
        <v>530</v>
      </c>
      <c r="S1" s="87" t="s">
        <v>589</v>
      </c>
      <c r="T1" s="60" t="s">
        <v>590</v>
      </c>
      <c r="U1" s="54" t="s">
        <v>172</v>
      </c>
      <c r="V1" s="48" t="s">
        <v>169</v>
      </c>
      <c r="W1" s="48" t="s">
        <v>250</v>
      </c>
      <c r="X1" s="48" t="s">
        <v>602</v>
      </c>
      <c r="Y1" s="48" t="s">
        <v>251</v>
      </c>
      <c r="Z1" s="48" t="s">
        <v>170</v>
      </c>
      <c r="AA1" s="48" t="s">
        <v>586</v>
      </c>
      <c r="AB1" s="48" t="s">
        <v>180</v>
      </c>
      <c r="AC1" s="48" t="s">
        <v>593</v>
      </c>
      <c r="AD1" s="49" t="s">
        <v>594</v>
      </c>
      <c r="AE1" s="48" t="s">
        <v>595</v>
      </c>
      <c r="AF1" s="48" t="s">
        <v>596</v>
      </c>
      <c r="AG1" s="50" t="s">
        <v>80</v>
      </c>
      <c r="AH1" s="50" t="s">
        <v>597</v>
      </c>
      <c r="AI1" s="50" t="s">
        <v>81</v>
      </c>
      <c r="AJ1" s="48" t="s">
        <v>82</v>
      </c>
      <c r="AK1" s="50" t="s">
        <v>599</v>
      </c>
      <c r="AL1" s="50" t="s">
        <v>598</v>
      </c>
      <c r="AM1" s="62" t="s">
        <v>587</v>
      </c>
      <c r="AN1" s="99" t="s">
        <v>616</v>
      </c>
      <c r="AO1" s="51" t="s">
        <v>531</v>
      </c>
      <c r="AP1" s="51" t="s">
        <v>171</v>
      </c>
      <c r="AQ1" s="51" t="s">
        <v>166</v>
      </c>
      <c r="AR1" s="51" t="s">
        <v>600</v>
      </c>
      <c r="AS1" s="48" t="s">
        <v>588</v>
      </c>
      <c r="AT1" s="96" t="s">
        <v>547</v>
      </c>
      <c r="AU1" s="96" t="s">
        <v>601</v>
      </c>
      <c r="AV1" s="96" t="s">
        <v>190</v>
      </c>
    </row>
    <row r="2" spans="1:48" ht="14" customHeight="1">
      <c r="A2" s="37">
        <v>1</v>
      </c>
      <c r="B2" s="27" t="s">
        <v>276</v>
      </c>
      <c r="C2" s="37">
        <v>2012</v>
      </c>
      <c r="D2" s="26" t="s">
        <v>46</v>
      </c>
      <c r="E2" s="26" t="s">
        <v>563</v>
      </c>
      <c r="F2" s="77" t="s">
        <v>175</v>
      </c>
      <c r="G2" s="2" t="s">
        <v>105</v>
      </c>
      <c r="H2" s="2" t="s">
        <v>24</v>
      </c>
      <c r="I2" s="2" t="s">
        <v>548</v>
      </c>
      <c r="J2" s="2" t="s">
        <v>604</v>
      </c>
      <c r="K2" s="2" t="s">
        <v>548</v>
      </c>
      <c r="L2" s="2" t="s">
        <v>548</v>
      </c>
      <c r="M2" s="2" t="s">
        <v>175</v>
      </c>
      <c r="N2" s="2" t="s">
        <v>210</v>
      </c>
      <c r="O2" s="2" t="s">
        <v>43</v>
      </c>
      <c r="P2" s="2" t="s">
        <v>210</v>
      </c>
      <c r="Q2" s="2" t="s">
        <v>42</v>
      </c>
      <c r="R2" s="102" t="s">
        <v>614</v>
      </c>
      <c r="S2" s="2">
        <v>0</v>
      </c>
      <c r="T2" s="26">
        <v>11</v>
      </c>
      <c r="U2" s="77">
        <v>1</v>
      </c>
      <c r="V2" s="26">
        <v>0</v>
      </c>
      <c r="W2" s="26">
        <v>1</v>
      </c>
      <c r="X2" s="26">
        <v>1</v>
      </c>
      <c r="Y2" s="26">
        <v>1</v>
      </c>
      <c r="Z2" s="26">
        <v>0</v>
      </c>
      <c r="AA2" s="26">
        <v>0</v>
      </c>
      <c r="AB2" s="26">
        <v>0</v>
      </c>
      <c r="AC2" s="26" t="s">
        <v>70</v>
      </c>
      <c r="AD2" s="26" t="s">
        <v>70</v>
      </c>
      <c r="AE2" s="26" t="s">
        <v>70</v>
      </c>
      <c r="AF2" s="26" t="s">
        <v>70</v>
      </c>
      <c r="AG2" s="26" t="s">
        <v>70</v>
      </c>
      <c r="AH2" s="26" t="s">
        <v>70</v>
      </c>
      <c r="AI2" s="26" t="s">
        <v>70</v>
      </c>
      <c r="AJ2" s="26" t="s">
        <v>70</v>
      </c>
      <c r="AK2" s="26" t="s">
        <v>70</v>
      </c>
      <c r="AL2" s="26" t="s">
        <v>70</v>
      </c>
      <c r="AM2" s="35" t="s">
        <v>548</v>
      </c>
      <c r="AN2" s="26" t="s">
        <v>274</v>
      </c>
      <c r="AO2" s="35" t="s">
        <v>548</v>
      </c>
      <c r="AP2" s="35" t="s">
        <v>548</v>
      </c>
      <c r="AQ2" s="35" t="s">
        <v>548</v>
      </c>
      <c r="AR2" s="35" t="s">
        <v>548</v>
      </c>
      <c r="AS2" s="26" t="s">
        <v>175</v>
      </c>
      <c r="AT2" s="26" t="s">
        <v>70</v>
      </c>
      <c r="AU2" s="26" t="s">
        <v>70</v>
      </c>
      <c r="AV2" s="26">
        <v>6</v>
      </c>
    </row>
    <row r="3" spans="1:48" ht="14" customHeight="1">
      <c r="A3" s="27">
        <f t="shared" ref="A3:A66" si="0">A2+1</f>
        <v>2</v>
      </c>
      <c r="B3" s="27" t="s">
        <v>276</v>
      </c>
      <c r="C3" s="37">
        <v>2012</v>
      </c>
      <c r="D3" s="26" t="s">
        <v>46</v>
      </c>
      <c r="E3" s="26" t="s">
        <v>563</v>
      </c>
      <c r="F3" s="77" t="s">
        <v>175</v>
      </c>
      <c r="G3" s="2" t="s">
        <v>105</v>
      </c>
      <c r="H3" s="2" t="s">
        <v>24</v>
      </c>
      <c r="I3" s="2" t="s">
        <v>548</v>
      </c>
      <c r="J3" s="2" t="s">
        <v>604</v>
      </c>
      <c r="K3" s="2" t="s">
        <v>548</v>
      </c>
      <c r="L3" s="2" t="s">
        <v>548</v>
      </c>
      <c r="M3" s="2" t="s">
        <v>175</v>
      </c>
      <c r="N3" s="2" t="s">
        <v>62</v>
      </c>
      <c r="O3" s="2" t="s">
        <v>43</v>
      </c>
      <c r="P3" s="2" t="s">
        <v>62</v>
      </c>
      <c r="Q3" s="26" t="s">
        <v>247</v>
      </c>
      <c r="R3" s="102" t="s">
        <v>614</v>
      </c>
      <c r="S3" s="2">
        <f>6/T3</f>
        <v>0.2608695652173913</v>
      </c>
      <c r="T3" s="26">
        <v>23</v>
      </c>
      <c r="U3" s="77">
        <v>1</v>
      </c>
      <c r="V3" s="26">
        <v>0</v>
      </c>
      <c r="W3" s="26">
        <v>1</v>
      </c>
      <c r="X3" s="26">
        <v>1</v>
      </c>
      <c r="Y3" s="26">
        <v>1</v>
      </c>
      <c r="Z3" s="26">
        <v>0</v>
      </c>
      <c r="AA3" s="26">
        <v>0</v>
      </c>
      <c r="AB3" s="26">
        <v>0</v>
      </c>
      <c r="AC3" s="26" t="s">
        <v>70</v>
      </c>
      <c r="AD3" s="26" t="s">
        <v>70</v>
      </c>
      <c r="AE3" s="26" t="s">
        <v>70</v>
      </c>
      <c r="AF3" s="26" t="s">
        <v>70</v>
      </c>
      <c r="AG3" s="26" t="s">
        <v>70</v>
      </c>
      <c r="AH3" s="26" t="s">
        <v>70</v>
      </c>
      <c r="AI3" s="26" t="s">
        <v>70</v>
      </c>
      <c r="AJ3" s="26" t="s">
        <v>70</v>
      </c>
      <c r="AK3" s="26" t="s">
        <v>70</v>
      </c>
      <c r="AL3" s="26" t="s">
        <v>70</v>
      </c>
      <c r="AM3" s="35" t="s">
        <v>548</v>
      </c>
      <c r="AN3" s="26" t="s">
        <v>274</v>
      </c>
      <c r="AO3" s="35" t="s">
        <v>548</v>
      </c>
      <c r="AP3" s="35" t="s">
        <v>548</v>
      </c>
      <c r="AQ3" s="35" t="s">
        <v>548</v>
      </c>
      <c r="AR3" s="35" t="s">
        <v>548</v>
      </c>
      <c r="AS3" s="26" t="s">
        <v>175</v>
      </c>
      <c r="AT3" s="26" t="s">
        <v>70</v>
      </c>
      <c r="AU3" s="26" t="s">
        <v>70</v>
      </c>
      <c r="AV3" s="26">
        <v>6</v>
      </c>
    </row>
    <row r="4" spans="1:48" ht="14" customHeight="1">
      <c r="A4" s="27">
        <f t="shared" si="0"/>
        <v>3</v>
      </c>
      <c r="B4" s="27" t="s">
        <v>277</v>
      </c>
      <c r="C4" s="28">
        <v>2011</v>
      </c>
      <c r="D4" s="26" t="s">
        <v>10</v>
      </c>
      <c r="E4" s="26" t="s">
        <v>563</v>
      </c>
      <c r="F4" s="2" t="s">
        <v>175</v>
      </c>
      <c r="G4" s="2" t="s">
        <v>105</v>
      </c>
      <c r="H4" s="2" t="s">
        <v>30</v>
      </c>
      <c r="I4" s="2" t="s">
        <v>548</v>
      </c>
      <c r="J4" s="2" t="s">
        <v>604</v>
      </c>
      <c r="K4" s="2" t="s">
        <v>548</v>
      </c>
      <c r="L4" s="2" t="s">
        <v>548</v>
      </c>
      <c r="M4" s="2" t="s">
        <v>175</v>
      </c>
      <c r="N4" s="2" t="s">
        <v>609</v>
      </c>
      <c r="O4" s="2" t="s">
        <v>60</v>
      </c>
      <c r="P4" s="2" t="s">
        <v>609</v>
      </c>
      <c r="Q4" s="2" t="s">
        <v>42</v>
      </c>
      <c r="R4" s="102" t="s">
        <v>614</v>
      </c>
      <c r="S4" s="88">
        <v>1</v>
      </c>
      <c r="T4" s="61">
        <v>18</v>
      </c>
      <c r="U4" s="2">
        <v>1</v>
      </c>
      <c r="V4" s="26">
        <v>0</v>
      </c>
      <c r="W4" s="26">
        <v>1</v>
      </c>
      <c r="X4" s="26">
        <v>1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1</v>
      </c>
      <c r="AF4" s="26">
        <v>0</v>
      </c>
      <c r="AG4" s="33" t="s">
        <v>70</v>
      </c>
      <c r="AH4" s="33" t="s">
        <v>70</v>
      </c>
      <c r="AI4" s="33" t="s">
        <v>70</v>
      </c>
      <c r="AJ4" s="26" t="s">
        <v>70</v>
      </c>
      <c r="AK4" s="33" t="s">
        <v>70</v>
      </c>
      <c r="AL4" s="33" t="s">
        <v>70</v>
      </c>
      <c r="AM4" s="61" t="s">
        <v>175</v>
      </c>
      <c r="AN4" s="26" t="s">
        <v>274</v>
      </c>
      <c r="AO4" s="26" t="s">
        <v>548</v>
      </c>
      <c r="AP4" s="26" t="s">
        <v>548</v>
      </c>
      <c r="AQ4" s="26" t="s">
        <v>548</v>
      </c>
      <c r="AR4" s="26" t="s">
        <v>548</v>
      </c>
      <c r="AS4" s="26" t="s">
        <v>175</v>
      </c>
      <c r="AT4" s="26" t="s">
        <v>70</v>
      </c>
      <c r="AU4" s="26" t="s">
        <v>70</v>
      </c>
      <c r="AV4" s="26">
        <v>6</v>
      </c>
    </row>
    <row r="5" spans="1:48" ht="14" customHeight="1">
      <c r="A5" s="27">
        <f t="shared" si="0"/>
        <v>4</v>
      </c>
      <c r="B5" s="27" t="s">
        <v>278</v>
      </c>
      <c r="C5" s="27">
        <v>2008</v>
      </c>
      <c r="D5" s="26" t="s">
        <v>47</v>
      </c>
      <c r="E5" s="26" t="s">
        <v>566</v>
      </c>
      <c r="F5" s="77" t="s">
        <v>175</v>
      </c>
      <c r="G5" s="2" t="s">
        <v>147</v>
      </c>
      <c r="H5" s="2" t="s">
        <v>275</v>
      </c>
      <c r="I5" s="2" t="s">
        <v>548</v>
      </c>
      <c r="J5" s="2" t="s">
        <v>603</v>
      </c>
      <c r="K5" s="2" t="s">
        <v>548</v>
      </c>
      <c r="L5" s="2" t="s">
        <v>548</v>
      </c>
      <c r="M5" s="2" t="s">
        <v>548</v>
      </c>
      <c r="N5" s="2" t="s">
        <v>70</v>
      </c>
      <c r="O5" s="2" t="s">
        <v>209</v>
      </c>
      <c r="P5" s="2" t="s">
        <v>612</v>
      </c>
      <c r="Q5" s="2" t="s">
        <v>42</v>
      </c>
      <c r="R5" s="79" t="s">
        <v>613</v>
      </c>
      <c r="S5" s="88">
        <v>3.2000000000000001E-2</v>
      </c>
      <c r="T5" s="26">
        <v>252</v>
      </c>
      <c r="U5" s="77">
        <v>1</v>
      </c>
      <c r="V5" s="26">
        <v>0</v>
      </c>
      <c r="W5" s="26">
        <v>1</v>
      </c>
      <c r="X5" s="26">
        <v>0</v>
      </c>
      <c r="Y5" s="26">
        <v>0</v>
      </c>
      <c r="Z5" s="26">
        <v>0</v>
      </c>
      <c r="AA5" s="26">
        <v>1</v>
      </c>
      <c r="AB5" s="26">
        <v>1</v>
      </c>
      <c r="AC5" s="26" t="s">
        <v>70</v>
      </c>
      <c r="AD5" s="26" t="s">
        <v>70</v>
      </c>
      <c r="AE5" s="26" t="s">
        <v>70</v>
      </c>
      <c r="AF5" s="26" t="s">
        <v>70</v>
      </c>
      <c r="AG5" s="26" t="s">
        <v>70</v>
      </c>
      <c r="AH5" s="26" t="s">
        <v>70</v>
      </c>
      <c r="AI5" s="26" t="s">
        <v>70</v>
      </c>
      <c r="AJ5" s="26" t="s">
        <v>70</v>
      </c>
      <c r="AK5" s="26" t="s">
        <v>70</v>
      </c>
      <c r="AL5" s="26" t="s">
        <v>70</v>
      </c>
      <c r="AM5" s="35" t="s">
        <v>548</v>
      </c>
      <c r="AN5" s="32" t="s">
        <v>274</v>
      </c>
      <c r="AO5" s="35" t="s">
        <v>175</v>
      </c>
      <c r="AP5" s="35" t="s">
        <v>548</v>
      </c>
      <c r="AQ5" s="35" t="s">
        <v>548</v>
      </c>
      <c r="AR5" s="35" t="s">
        <v>548</v>
      </c>
      <c r="AS5" s="26" t="s">
        <v>175</v>
      </c>
      <c r="AT5" s="26" t="s">
        <v>70</v>
      </c>
      <c r="AU5" s="26" t="s">
        <v>70</v>
      </c>
      <c r="AV5" s="26">
        <v>5</v>
      </c>
    </row>
    <row r="6" spans="1:48" ht="14" customHeight="1">
      <c r="A6" s="27">
        <f t="shared" si="0"/>
        <v>5</v>
      </c>
      <c r="B6" s="27" t="s">
        <v>278</v>
      </c>
      <c r="C6" s="27">
        <v>2008</v>
      </c>
      <c r="D6" s="26" t="s">
        <v>47</v>
      </c>
      <c r="E6" s="26" t="s">
        <v>566</v>
      </c>
      <c r="F6" s="77" t="s">
        <v>175</v>
      </c>
      <c r="G6" s="2" t="s">
        <v>147</v>
      </c>
      <c r="H6" s="2" t="s">
        <v>275</v>
      </c>
      <c r="I6" s="2" t="s">
        <v>175</v>
      </c>
      <c r="J6" s="2" t="s">
        <v>603</v>
      </c>
      <c r="K6" s="2" t="s">
        <v>175</v>
      </c>
      <c r="L6" s="2" t="s">
        <v>548</v>
      </c>
      <c r="M6" s="2" t="s">
        <v>175</v>
      </c>
      <c r="N6" s="2" t="s">
        <v>62</v>
      </c>
      <c r="O6" s="2" t="s">
        <v>43</v>
      </c>
      <c r="P6" s="2" t="s">
        <v>62</v>
      </c>
      <c r="Q6" s="26" t="s">
        <v>247</v>
      </c>
      <c r="R6" s="79" t="s">
        <v>613</v>
      </c>
      <c r="S6" s="88">
        <v>6.7000000000000004E-2</v>
      </c>
      <c r="T6" s="26">
        <v>2937</v>
      </c>
      <c r="U6" s="77">
        <v>1</v>
      </c>
      <c r="V6" s="26">
        <v>0</v>
      </c>
      <c r="W6" s="26">
        <v>1</v>
      </c>
      <c r="X6" s="26">
        <v>0</v>
      </c>
      <c r="Y6" s="26">
        <v>0</v>
      </c>
      <c r="Z6" s="26">
        <v>0</v>
      </c>
      <c r="AA6" s="26">
        <v>1</v>
      </c>
      <c r="AB6" s="26">
        <v>1</v>
      </c>
      <c r="AC6" s="26" t="s">
        <v>70</v>
      </c>
      <c r="AD6" s="26" t="s">
        <v>70</v>
      </c>
      <c r="AE6" s="26" t="s">
        <v>70</v>
      </c>
      <c r="AF6" s="26" t="s">
        <v>70</v>
      </c>
      <c r="AG6" s="26" t="s">
        <v>70</v>
      </c>
      <c r="AH6" s="26" t="s">
        <v>70</v>
      </c>
      <c r="AI6" s="26" t="s">
        <v>70</v>
      </c>
      <c r="AJ6" s="26" t="s">
        <v>70</v>
      </c>
      <c r="AK6" s="26" t="s">
        <v>70</v>
      </c>
      <c r="AL6" s="26" t="s">
        <v>70</v>
      </c>
      <c r="AM6" s="35" t="s">
        <v>548</v>
      </c>
      <c r="AN6" s="26" t="s">
        <v>274</v>
      </c>
      <c r="AO6" s="35" t="s">
        <v>175</v>
      </c>
      <c r="AP6" s="35" t="s">
        <v>548</v>
      </c>
      <c r="AQ6" s="35" t="s">
        <v>548</v>
      </c>
      <c r="AR6" s="35" t="s">
        <v>548</v>
      </c>
      <c r="AS6" s="26" t="s">
        <v>175</v>
      </c>
      <c r="AT6" s="26" t="s">
        <v>70</v>
      </c>
      <c r="AU6" s="26" t="s">
        <v>70</v>
      </c>
      <c r="AV6" s="26">
        <v>8</v>
      </c>
    </row>
    <row r="7" spans="1:48" ht="14" customHeight="1">
      <c r="A7" s="27">
        <f t="shared" si="0"/>
        <v>6</v>
      </c>
      <c r="B7" s="27" t="s">
        <v>580</v>
      </c>
      <c r="C7" s="27">
        <v>2010</v>
      </c>
      <c r="D7" s="26" t="s">
        <v>47</v>
      </c>
      <c r="E7" s="26" t="s">
        <v>566</v>
      </c>
      <c r="F7" s="77" t="s">
        <v>175</v>
      </c>
      <c r="G7" s="2" t="s">
        <v>147</v>
      </c>
      <c r="H7" s="2" t="s">
        <v>275</v>
      </c>
      <c r="I7" s="2" t="s">
        <v>548</v>
      </c>
      <c r="J7" s="2" t="s">
        <v>603</v>
      </c>
      <c r="K7" s="2" t="s">
        <v>548</v>
      </c>
      <c r="L7" s="2" t="s">
        <v>548</v>
      </c>
      <c r="M7" s="2" t="s">
        <v>548</v>
      </c>
      <c r="N7" s="2" t="s">
        <v>70</v>
      </c>
      <c r="O7" s="2" t="s">
        <v>209</v>
      </c>
      <c r="P7" s="2" t="s">
        <v>612</v>
      </c>
      <c r="Q7" s="2" t="s">
        <v>42</v>
      </c>
      <c r="R7" s="79" t="s">
        <v>613</v>
      </c>
      <c r="S7" s="2">
        <v>0.05</v>
      </c>
      <c r="T7" s="26">
        <v>970</v>
      </c>
      <c r="U7" s="77">
        <v>1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33" t="s">
        <v>70</v>
      </c>
      <c r="AD7" s="33" t="s">
        <v>70</v>
      </c>
      <c r="AE7" s="33" t="s">
        <v>70</v>
      </c>
      <c r="AF7" s="33" t="s">
        <v>70</v>
      </c>
      <c r="AG7" s="33" t="s">
        <v>70</v>
      </c>
      <c r="AH7" s="33" t="s">
        <v>70</v>
      </c>
      <c r="AI7" s="33" t="s">
        <v>70</v>
      </c>
      <c r="AJ7" s="33" t="s">
        <v>70</v>
      </c>
      <c r="AK7" s="33" t="s">
        <v>70</v>
      </c>
      <c r="AL7" s="33" t="s">
        <v>70</v>
      </c>
      <c r="AM7" s="35" t="s">
        <v>175</v>
      </c>
      <c r="AN7" s="26" t="s">
        <v>615</v>
      </c>
      <c r="AO7" s="35" t="s">
        <v>175</v>
      </c>
      <c r="AP7" s="35" t="s">
        <v>548</v>
      </c>
      <c r="AQ7" s="35" t="s">
        <v>548</v>
      </c>
      <c r="AR7" s="35" t="s">
        <v>548</v>
      </c>
      <c r="AS7" s="26" t="s">
        <v>175</v>
      </c>
      <c r="AT7" s="26" t="s">
        <v>70</v>
      </c>
      <c r="AU7" s="26" t="s">
        <v>70</v>
      </c>
      <c r="AV7" s="26">
        <v>3</v>
      </c>
    </row>
    <row r="8" spans="1:48" ht="14" customHeight="1">
      <c r="A8" s="27">
        <f t="shared" si="0"/>
        <v>7</v>
      </c>
      <c r="B8" s="27" t="s">
        <v>580</v>
      </c>
      <c r="C8" s="27">
        <v>2010</v>
      </c>
      <c r="D8" s="26" t="s">
        <v>47</v>
      </c>
      <c r="E8" s="26" t="s">
        <v>566</v>
      </c>
      <c r="F8" s="77" t="s">
        <v>175</v>
      </c>
      <c r="G8" s="2" t="s">
        <v>147</v>
      </c>
      <c r="H8" s="2" t="s">
        <v>275</v>
      </c>
      <c r="I8" s="2" t="s">
        <v>548</v>
      </c>
      <c r="J8" s="2" t="s">
        <v>603</v>
      </c>
      <c r="K8" s="2" t="s">
        <v>548</v>
      </c>
      <c r="L8" s="2" t="s">
        <v>548</v>
      </c>
      <c r="M8" s="2" t="s">
        <v>548</v>
      </c>
      <c r="N8" s="2" t="s">
        <v>62</v>
      </c>
      <c r="O8" s="2" t="s">
        <v>43</v>
      </c>
      <c r="P8" s="2" t="s">
        <v>62</v>
      </c>
      <c r="Q8" s="26" t="s">
        <v>247</v>
      </c>
      <c r="R8" s="79" t="s">
        <v>613</v>
      </c>
      <c r="S8" s="2">
        <v>0.08</v>
      </c>
      <c r="T8" s="26">
        <v>214</v>
      </c>
      <c r="U8" s="77">
        <v>1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33" t="s">
        <v>70</v>
      </c>
      <c r="AD8" s="33" t="s">
        <v>70</v>
      </c>
      <c r="AE8" s="33" t="s">
        <v>70</v>
      </c>
      <c r="AF8" s="33" t="s">
        <v>70</v>
      </c>
      <c r="AG8" s="33" t="s">
        <v>70</v>
      </c>
      <c r="AH8" s="33" t="s">
        <v>70</v>
      </c>
      <c r="AI8" s="33" t="s">
        <v>70</v>
      </c>
      <c r="AJ8" s="33" t="s">
        <v>70</v>
      </c>
      <c r="AK8" s="33" t="s">
        <v>70</v>
      </c>
      <c r="AL8" s="33" t="s">
        <v>70</v>
      </c>
      <c r="AM8" s="35" t="s">
        <v>175</v>
      </c>
      <c r="AN8" s="26" t="s">
        <v>615</v>
      </c>
      <c r="AO8" s="35" t="s">
        <v>175</v>
      </c>
      <c r="AP8" s="35" t="s">
        <v>548</v>
      </c>
      <c r="AQ8" s="35" t="s">
        <v>548</v>
      </c>
      <c r="AR8" s="35" t="s">
        <v>548</v>
      </c>
      <c r="AS8" s="26" t="s">
        <v>175</v>
      </c>
      <c r="AT8" s="26" t="s">
        <v>70</v>
      </c>
      <c r="AU8" s="26" t="s">
        <v>70</v>
      </c>
      <c r="AV8" s="26">
        <v>3</v>
      </c>
    </row>
    <row r="9" spans="1:48" ht="14" customHeight="1">
      <c r="A9" s="27">
        <f t="shared" si="0"/>
        <v>8</v>
      </c>
      <c r="B9" s="27" t="s">
        <v>279</v>
      </c>
      <c r="C9" s="27">
        <v>2012</v>
      </c>
      <c r="D9" s="26" t="s">
        <v>47</v>
      </c>
      <c r="E9" s="26" t="s">
        <v>566</v>
      </c>
      <c r="F9" s="77" t="s">
        <v>175</v>
      </c>
      <c r="G9" s="2" t="s">
        <v>147</v>
      </c>
      <c r="H9" s="2" t="s">
        <v>275</v>
      </c>
      <c r="I9" s="2" t="s">
        <v>548</v>
      </c>
      <c r="J9" s="2" t="s">
        <v>604</v>
      </c>
      <c r="K9" s="2" t="s">
        <v>548</v>
      </c>
      <c r="L9" s="2" t="s">
        <v>548</v>
      </c>
      <c r="M9" s="2" t="s">
        <v>175</v>
      </c>
      <c r="N9" s="2" t="s">
        <v>608</v>
      </c>
      <c r="O9" s="2" t="s">
        <v>43</v>
      </c>
      <c r="P9" s="2" t="s">
        <v>608</v>
      </c>
      <c r="Q9" s="2" t="s">
        <v>42</v>
      </c>
      <c r="R9" s="79" t="s">
        <v>613</v>
      </c>
      <c r="S9" s="89">
        <v>0.89600000000000002</v>
      </c>
      <c r="T9" s="26">
        <v>106</v>
      </c>
      <c r="U9" s="77">
        <v>1</v>
      </c>
      <c r="V9" s="26">
        <v>0</v>
      </c>
      <c r="W9" s="26">
        <v>0</v>
      </c>
      <c r="X9" s="26">
        <v>1</v>
      </c>
      <c r="Y9" s="26">
        <v>0</v>
      </c>
      <c r="Z9" s="26">
        <v>0</v>
      </c>
      <c r="AA9" s="26">
        <v>0</v>
      </c>
      <c r="AB9" s="26">
        <v>0</v>
      </c>
      <c r="AC9" s="26" t="s">
        <v>70</v>
      </c>
      <c r="AD9" s="26" t="s">
        <v>70</v>
      </c>
      <c r="AE9" s="26" t="s">
        <v>70</v>
      </c>
      <c r="AF9" s="26" t="s">
        <v>70</v>
      </c>
      <c r="AG9" s="26" t="s">
        <v>70</v>
      </c>
      <c r="AH9" s="26" t="s">
        <v>70</v>
      </c>
      <c r="AI9" s="26" t="s">
        <v>70</v>
      </c>
      <c r="AJ9" s="26" t="s">
        <v>70</v>
      </c>
      <c r="AK9" s="26" t="s">
        <v>70</v>
      </c>
      <c r="AL9" s="26" t="s">
        <v>70</v>
      </c>
      <c r="AM9" s="35" t="s">
        <v>548</v>
      </c>
      <c r="AN9" s="26" t="s">
        <v>274</v>
      </c>
      <c r="AO9" s="35" t="s">
        <v>548</v>
      </c>
      <c r="AP9" s="35" t="s">
        <v>548</v>
      </c>
      <c r="AQ9" s="35" t="s">
        <v>548</v>
      </c>
      <c r="AR9" s="35" t="s">
        <v>548</v>
      </c>
      <c r="AS9" s="26" t="s">
        <v>175</v>
      </c>
      <c r="AT9" s="26" t="s">
        <v>70</v>
      </c>
      <c r="AU9" s="26" t="s">
        <v>70</v>
      </c>
      <c r="AV9" s="26">
        <v>4</v>
      </c>
    </row>
    <row r="10" spans="1:48" ht="14" customHeight="1">
      <c r="A10" s="27">
        <f t="shared" si="0"/>
        <v>9</v>
      </c>
      <c r="B10" s="27" t="s">
        <v>280</v>
      </c>
      <c r="C10" s="27">
        <v>2009</v>
      </c>
      <c r="D10" s="26" t="s">
        <v>38</v>
      </c>
      <c r="E10" s="26" t="s">
        <v>566</v>
      </c>
      <c r="F10" s="77" t="s">
        <v>175</v>
      </c>
      <c r="G10" s="2" t="s">
        <v>105</v>
      </c>
      <c r="H10" s="2" t="s">
        <v>30</v>
      </c>
      <c r="I10" s="2" t="s">
        <v>548</v>
      </c>
      <c r="J10" s="2" t="s">
        <v>604</v>
      </c>
      <c r="K10" s="2" t="s">
        <v>548</v>
      </c>
      <c r="L10" s="2" t="s">
        <v>548</v>
      </c>
      <c r="M10" s="2" t="s">
        <v>175</v>
      </c>
      <c r="N10" s="2" t="s">
        <v>70</v>
      </c>
      <c r="O10" s="2" t="s">
        <v>209</v>
      </c>
      <c r="P10" s="2" t="s">
        <v>61</v>
      </c>
      <c r="Q10" s="2" t="s">
        <v>42</v>
      </c>
      <c r="R10" s="102" t="s">
        <v>614</v>
      </c>
      <c r="S10" s="2">
        <f>2/T10</f>
        <v>6.6666666666666666E-2</v>
      </c>
      <c r="T10" s="26">
        <v>30</v>
      </c>
      <c r="U10" s="77">
        <v>1</v>
      </c>
      <c r="V10" s="26">
        <v>0</v>
      </c>
      <c r="W10" s="26">
        <v>1</v>
      </c>
      <c r="X10" s="26">
        <v>1</v>
      </c>
      <c r="Y10" s="26">
        <v>1</v>
      </c>
      <c r="Z10" s="26">
        <v>1</v>
      </c>
      <c r="AA10" s="26">
        <v>1</v>
      </c>
      <c r="AB10" s="26">
        <v>1</v>
      </c>
      <c r="AC10" s="26" t="s">
        <v>70</v>
      </c>
      <c r="AD10" s="26" t="s">
        <v>70</v>
      </c>
      <c r="AE10" s="26" t="s">
        <v>70</v>
      </c>
      <c r="AF10" s="26" t="s">
        <v>70</v>
      </c>
      <c r="AG10" s="26" t="s">
        <v>70</v>
      </c>
      <c r="AH10" s="26" t="s">
        <v>70</v>
      </c>
      <c r="AI10" s="26" t="s">
        <v>70</v>
      </c>
      <c r="AJ10" s="26" t="s">
        <v>70</v>
      </c>
      <c r="AK10" s="26" t="s">
        <v>70</v>
      </c>
      <c r="AL10" s="26" t="s">
        <v>70</v>
      </c>
      <c r="AM10" s="35" t="s">
        <v>175</v>
      </c>
      <c r="AN10" s="26" t="s">
        <v>274</v>
      </c>
      <c r="AO10" s="35" t="s">
        <v>548</v>
      </c>
      <c r="AP10" s="35" t="s">
        <v>548</v>
      </c>
      <c r="AQ10" s="35" t="s">
        <v>548</v>
      </c>
      <c r="AR10" s="35" t="s">
        <v>548</v>
      </c>
      <c r="AS10" s="26" t="s">
        <v>548</v>
      </c>
      <c r="AT10" s="26" t="s">
        <v>70</v>
      </c>
      <c r="AU10" s="26" t="s">
        <v>70</v>
      </c>
      <c r="AV10" s="26">
        <v>9</v>
      </c>
    </row>
    <row r="11" spans="1:48" ht="14" customHeight="1">
      <c r="A11" s="27">
        <f t="shared" si="0"/>
        <v>10</v>
      </c>
      <c r="B11" s="27" t="s">
        <v>281</v>
      </c>
      <c r="C11" s="27">
        <v>2004</v>
      </c>
      <c r="D11" s="26" t="s">
        <v>10</v>
      </c>
      <c r="E11" s="26" t="s">
        <v>563</v>
      </c>
      <c r="F11" s="77" t="s">
        <v>175</v>
      </c>
      <c r="G11" s="2" t="s">
        <v>105</v>
      </c>
      <c r="H11" s="2" t="s">
        <v>30</v>
      </c>
      <c r="I11" s="2" t="s">
        <v>548</v>
      </c>
      <c r="J11" s="2" t="s">
        <v>604</v>
      </c>
      <c r="K11" s="2" t="s">
        <v>548</v>
      </c>
      <c r="L11" s="2" t="s">
        <v>548</v>
      </c>
      <c r="M11" s="2" t="s">
        <v>175</v>
      </c>
      <c r="N11" s="2" t="s">
        <v>62</v>
      </c>
      <c r="O11" s="2" t="s">
        <v>43</v>
      </c>
      <c r="P11" s="2" t="s">
        <v>62</v>
      </c>
      <c r="Q11" s="26" t="s">
        <v>606</v>
      </c>
      <c r="R11" s="102" t="s">
        <v>614</v>
      </c>
      <c r="S11" s="2">
        <f>7/T11</f>
        <v>0.5</v>
      </c>
      <c r="T11" s="26">
        <v>14</v>
      </c>
      <c r="U11" s="77">
        <v>1</v>
      </c>
      <c r="V11" s="26">
        <v>1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 t="s">
        <v>70</v>
      </c>
      <c r="AD11" s="26" t="s">
        <v>70</v>
      </c>
      <c r="AE11" s="26" t="s">
        <v>70</v>
      </c>
      <c r="AF11" s="26" t="s">
        <v>70</v>
      </c>
      <c r="AG11" s="26" t="s">
        <v>70</v>
      </c>
      <c r="AH11" s="26" t="s">
        <v>70</v>
      </c>
      <c r="AI11" s="26" t="s">
        <v>70</v>
      </c>
      <c r="AJ11" s="26" t="s">
        <v>70</v>
      </c>
      <c r="AK11" s="26" t="s">
        <v>70</v>
      </c>
      <c r="AL11" s="26" t="s">
        <v>70</v>
      </c>
      <c r="AM11" s="35" t="s">
        <v>175</v>
      </c>
      <c r="AN11" s="26" t="s">
        <v>274</v>
      </c>
      <c r="AO11" s="35" t="s">
        <v>548</v>
      </c>
      <c r="AP11" s="35" t="s">
        <v>548</v>
      </c>
      <c r="AQ11" s="35" t="s">
        <v>548</v>
      </c>
      <c r="AR11" s="35" t="s">
        <v>548</v>
      </c>
      <c r="AS11" s="26" t="s">
        <v>175</v>
      </c>
      <c r="AT11" s="26" t="s">
        <v>70</v>
      </c>
      <c r="AU11" s="26" t="s">
        <v>70</v>
      </c>
      <c r="AV11" s="26">
        <v>5</v>
      </c>
    </row>
    <row r="12" spans="1:48" ht="14" customHeight="1">
      <c r="A12" s="27">
        <f t="shared" si="0"/>
        <v>11</v>
      </c>
      <c r="B12" s="27" t="s">
        <v>281</v>
      </c>
      <c r="C12" s="27">
        <v>2004</v>
      </c>
      <c r="D12" s="26" t="s">
        <v>10</v>
      </c>
      <c r="E12" s="26" t="s">
        <v>563</v>
      </c>
      <c r="F12" s="77" t="s">
        <v>175</v>
      </c>
      <c r="G12" s="2" t="s">
        <v>105</v>
      </c>
      <c r="H12" s="2" t="s">
        <v>24</v>
      </c>
      <c r="I12" s="2" t="s">
        <v>548</v>
      </c>
      <c r="J12" s="2" t="s">
        <v>604</v>
      </c>
      <c r="K12" s="2" t="s">
        <v>548</v>
      </c>
      <c r="L12" s="2" t="s">
        <v>548</v>
      </c>
      <c r="M12" s="2" t="s">
        <v>175</v>
      </c>
      <c r="N12" s="2" t="s">
        <v>50</v>
      </c>
      <c r="O12" s="2" t="s">
        <v>43</v>
      </c>
      <c r="P12" s="2" t="s">
        <v>50</v>
      </c>
      <c r="Q12" s="2" t="s">
        <v>42</v>
      </c>
      <c r="R12" s="102" t="s">
        <v>614</v>
      </c>
      <c r="S12" s="2">
        <f>5/T12</f>
        <v>0.35714285714285715</v>
      </c>
      <c r="T12" s="26">
        <v>14</v>
      </c>
      <c r="U12" s="77">
        <v>1</v>
      </c>
      <c r="V12" s="26">
        <v>1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33" t="s">
        <v>70</v>
      </c>
      <c r="AD12" s="33" t="s">
        <v>70</v>
      </c>
      <c r="AE12" s="33" t="s">
        <v>70</v>
      </c>
      <c r="AF12" s="33" t="s">
        <v>70</v>
      </c>
      <c r="AG12" s="33" t="s">
        <v>70</v>
      </c>
      <c r="AH12" s="33" t="s">
        <v>70</v>
      </c>
      <c r="AI12" s="33" t="s">
        <v>70</v>
      </c>
      <c r="AJ12" s="33" t="s">
        <v>70</v>
      </c>
      <c r="AK12" s="33" t="s">
        <v>70</v>
      </c>
      <c r="AL12" s="33" t="s">
        <v>70</v>
      </c>
      <c r="AM12" s="35" t="s">
        <v>175</v>
      </c>
      <c r="AN12" s="26" t="s">
        <v>274</v>
      </c>
      <c r="AO12" s="35" t="s">
        <v>548</v>
      </c>
      <c r="AP12" s="35" t="s">
        <v>548</v>
      </c>
      <c r="AQ12" s="35" t="s">
        <v>548</v>
      </c>
      <c r="AR12" s="35" t="s">
        <v>548</v>
      </c>
      <c r="AS12" s="26" t="s">
        <v>175</v>
      </c>
      <c r="AT12" s="26" t="s">
        <v>70</v>
      </c>
      <c r="AU12" s="26" t="s">
        <v>70</v>
      </c>
      <c r="AV12" s="26">
        <v>5</v>
      </c>
    </row>
    <row r="13" spans="1:48" ht="14" customHeight="1">
      <c r="A13" s="27">
        <f t="shared" si="0"/>
        <v>12</v>
      </c>
      <c r="B13" s="27" t="s">
        <v>281</v>
      </c>
      <c r="C13" s="27">
        <v>2004</v>
      </c>
      <c r="D13" s="26" t="s">
        <v>10</v>
      </c>
      <c r="E13" s="26" t="s">
        <v>563</v>
      </c>
      <c r="F13" s="77" t="s">
        <v>175</v>
      </c>
      <c r="G13" s="2" t="s">
        <v>105</v>
      </c>
      <c r="H13" s="2" t="s">
        <v>275</v>
      </c>
      <c r="I13" s="2" t="s">
        <v>548</v>
      </c>
      <c r="J13" s="2" t="s">
        <v>604</v>
      </c>
      <c r="K13" s="2" t="s">
        <v>548</v>
      </c>
      <c r="L13" s="2" t="s">
        <v>548</v>
      </c>
      <c r="M13" s="2" t="s">
        <v>175</v>
      </c>
      <c r="N13" s="2" t="s">
        <v>51</v>
      </c>
      <c r="O13" s="2" t="s">
        <v>43</v>
      </c>
      <c r="P13" s="2" t="s">
        <v>51</v>
      </c>
      <c r="Q13" s="2" t="s">
        <v>42</v>
      </c>
      <c r="R13" s="102" t="s">
        <v>614</v>
      </c>
      <c r="S13" s="2">
        <f>4/T13</f>
        <v>0.2857142857142857</v>
      </c>
      <c r="T13" s="26">
        <v>14</v>
      </c>
      <c r="U13" s="77">
        <v>1</v>
      </c>
      <c r="V13" s="26">
        <v>1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 t="s">
        <v>70</v>
      </c>
      <c r="AD13" s="26" t="s">
        <v>70</v>
      </c>
      <c r="AE13" s="26" t="s">
        <v>70</v>
      </c>
      <c r="AF13" s="26" t="s">
        <v>70</v>
      </c>
      <c r="AG13" s="26" t="s">
        <v>70</v>
      </c>
      <c r="AH13" s="26" t="s">
        <v>70</v>
      </c>
      <c r="AI13" s="26" t="s">
        <v>70</v>
      </c>
      <c r="AJ13" s="26" t="s">
        <v>70</v>
      </c>
      <c r="AK13" s="26" t="s">
        <v>70</v>
      </c>
      <c r="AL13" s="26" t="s">
        <v>70</v>
      </c>
      <c r="AM13" s="35" t="s">
        <v>175</v>
      </c>
      <c r="AN13" s="26" t="s">
        <v>274</v>
      </c>
      <c r="AO13" s="35" t="s">
        <v>548</v>
      </c>
      <c r="AP13" s="35" t="s">
        <v>548</v>
      </c>
      <c r="AQ13" s="35" t="s">
        <v>548</v>
      </c>
      <c r="AR13" s="35" t="s">
        <v>548</v>
      </c>
      <c r="AS13" s="26" t="s">
        <v>175</v>
      </c>
      <c r="AT13" s="26" t="s">
        <v>70</v>
      </c>
      <c r="AU13" s="26" t="s">
        <v>70</v>
      </c>
      <c r="AV13" s="26">
        <v>5</v>
      </c>
    </row>
    <row r="14" spans="1:48" ht="14" customHeight="1">
      <c r="A14" s="27">
        <f t="shared" si="0"/>
        <v>13</v>
      </c>
      <c r="B14" s="27" t="s">
        <v>281</v>
      </c>
      <c r="C14" s="27">
        <v>2004</v>
      </c>
      <c r="D14" s="26" t="s">
        <v>10</v>
      </c>
      <c r="E14" s="26" t="s">
        <v>563</v>
      </c>
      <c r="F14" s="77" t="s">
        <v>175</v>
      </c>
      <c r="G14" s="2" t="s">
        <v>105</v>
      </c>
      <c r="H14" s="2" t="s">
        <v>24</v>
      </c>
      <c r="I14" s="2" t="s">
        <v>548</v>
      </c>
      <c r="J14" s="2" t="s">
        <v>604</v>
      </c>
      <c r="K14" s="2" t="s">
        <v>548</v>
      </c>
      <c r="L14" s="2" t="s">
        <v>548</v>
      </c>
      <c r="M14" s="2" t="s">
        <v>175</v>
      </c>
      <c r="N14" s="2" t="s">
        <v>139</v>
      </c>
      <c r="O14" s="2" t="s">
        <v>60</v>
      </c>
      <c r="P14" s="2" t="s">
        <v>139</v>
      </c>
      <c r="Q14" s="2" t="s">
        <v>42</v>
      </c>
      <c r="R14" s="102" t="s">
        <v>614</v>
      </c>
      <c r="S14" s="2">
        <f>9/T14</f>
        <v>0.6428571428571429</v>
      </c>
      <c r="T14" s="26">
        <v>14</v>
      </c>
      <c r="U14" s="77">
        <v>1</v>
      </c>
      <c r="V14" s="26">
        <v>1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 t="s">
        <v>70</v>
      </c>
      <c r="AD14" s="26" t="s">
        <v>70</v>
      </c>
      <c r="AE14" s="26" t="s">
        <v>70</v>
      </c>
      <c r="AF14" s="26" t="s">
        <v>70</v>
      </c>
      <c r="AG14" s="26" t="s">
        <v>70</v>
      </c>
      <c r="AH14" s="26" t="s">
        <v>70</v>
      </c>
      <c r="AI14" s="26" t="s">
        <v>70</v>
      </c>
      <c r="AJ14" s="26" t="s">
        <v>70</v>
      </c>
      <c r="AK14" s="26" t="s">
        <v>70</v>
      </c>
      <c r="AL14" s="26" t="s">
        <v>70</v>
      </c>
      <c r="AM14" s="35" t="s">
        <v>175</v>
      </c>
      <c r="AN14" s="26" t="s">
        <v>274</v>
      </c>
      <c r="AO14" s="35" t="s">
        <v>548</v>
      </c>
      <c r="AP14" s="35" t="s">
        <v>548</v>
      </c>
      <c r="AQ14" s="35" t="s">
        <v>548</v>
      </c>
      <c r="AR14" s="35" t="s">
        <v>548</v>
      </c>
      <c r="AS14" s="26" t="s">
        <v>175</v>
      </c>
      <c r="AT14" s="26" t="s">
        <v>70</v>
      </c>
      <c r="AU14" s="26" t="s">
        <v>70</v>
      </c>
      <c r="AV14" s="26">
        <v>5</v>
      </c>
    </row>
    <row r="15" spans="1:48" ht="14" customHeight="1">
      <c r="A15" s="27">
        <f t="shared" si="0"/>
        <v>14</v>
      </c>
      <c r="B15" s="27" t="s">
        <v>281</v>
      </c>
      <c r="C15" s="27">
        <v>2004</v>
      </c>
      <c r="D15" s="26" t="s">
        <v>10</v>
      </c>
      <c r="E15" s="26" t="s">
        <v>563</v>
      </c>
      <c r="F15" s="77" t="s">
        <v>175</v>
      </c>
      <c r="G15" s="2" t="s">
        <v>105</v>
      </c>
      <c r="H15" s="2" t="s">
        <v>275</v>
      </c>
      <c r="I15" s="2" t="s">
        <v>548</v>
      </c>
      <c r="J15" s="2" t="s">
        <v>604</v>
      </c>
      <c r="K15" s="2" t="s">
        <v>548</v>
      </c>
      <c r="L15" s="2" t="s">
        <v>548</v>
      </c>
      <c r="M15" s="2" t="s">
        <v>175</v>
      </c>
      <c r="N15" s="2" t="s">
        <v>609</v>
      </c>
      <c r="O15" s="2" t="s">
        <v>60</v>
      </c>
      <c r="P15" s="2" t="s">
        <v>609</v>
      </c>
      <c r="Q15" s="2" t="s">
        <v>42</v>
      </c>
      <c r="R15" s="102" t="s">
        <v>614</v>
      </c>
      <c r="S15" s="2">
        <f>10/T15</f>
        <v>0.7142857142857143</v>
      </c>
      <c r="T15" s="26">
        <v>14</v>
      </c>
      <c r="U15" s="77">
        <v>1</v>
      </c>
      <c r="V15" s="26">
        <v>1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 t="s">
        <v>70</v>
      </c>
      <c r="AD15" s="26" t="s">
        <v>70</v>
      </c>
      <c r="AE15" s="26" t="s">
        <v>70</v>
      </c>
      <c r="AF15" s="26" t="s">
        <v>70</v>
      </c>
      <c r="AG15" s="26" t="s">
        <v>70</v>
      </c>
      <c r="AH15" s="26" t="s">
        <v>70</v>
      </c>
      <c r="AI15" s="26" t="s">
        <v>70</v>
      </c>
      <c r="AJ15" s="26" t="s">
        <v>70</v>
      </c>
      <c r="AK15" s="26" t="s">
        <v>70</v>
      </c>
      <c r="AL15" s="26" t="s">
        <v>70</v>
      </c>
      <c r="AM15" s="35" t="s">
        <v>175</v>
      </c>
      <c r="AN15" s="26" t="s">
        <v>274</v>
      </c>
      <c r="AO15" s="35" t="s">
        <v>548</v>
      </c>
      <c r="AP15" s="35" t="s">
        <v>548</v>
      </c>
      <c r="AQ15" s="35" t="s">
        <v>548</v>
      </c>
      <c r="AR15" s="35" t="s">
        <v>548</v>
      </c>
      <c r="AS15" s="26" t="s">
        <v>175</v>
      </c>
      <c r="AT15" s="26" t="s">
        <v>70</v>
      </c>
      <c r="AU15" s="26" t="s">
        <v>70</v>
      </c>
      <c r="AV15" s="26">
        <v>5</v>
      </c>
    </row>
    <row r="16" spans="1:48" ht="14" customHeight="1">
      <c r="A16" s="27">
        <f t="shared" si="0"/>
        <v>15</v>
      </c>
      <c r="B16" s="27" t="s">
        <v>570</v>
      </c>
      <c r="C16" s="27">
        <v>2010</v>
      </c>
      <c r="D16" s="26" t="s">
        <v>13</v>
      </c>
      <c r="E16" s="26" t="s">
        <v>566</v>
      </c>
      <c r="F16" s="77" t="s">
        <v>175</v>
      </c>
      <c r="G16" s="2" t="s">
        <v>105</v>
      </c>
      <c r="H16" s="2" t="s">
        <v>30</v>
      </c>
      <c r="I16" s="2" t="s">
        <v>548</v>
      </c>
      <c r="J16" s="2" t="s">
        <v>604</v>
      </c>
      <c r="K16" s="2" t="s">
        <v>548</v>
      </c>
      <c r="L16" s="2" t="s">
        <v>548</v>
      </c>
      <c r="M16" s="2" t="s">
        <v>175</v>
      </c>
      <c r="N16" s="2" t="s">
        <v>70</v>
      </c>
      <c r="O16" s="2" t="s">
        <v>209</v>
      </c>
      <c r="P16" s="2" t="s">
        <v>612</v>
      </c>
      <c r="Q16" s="2" t="s">
        <v>42</v>
      </c>
      <c r="R16" s="79" t="s">
        <v>613</v>
      </c>
      <c r="S16" s="88">
        <f>20/30</f>
        <v>0.66666666666666663</v>
      </c>
      <c r="T16" s="61">
        <v>30</v>
      </c>
      <c r="U16" s="77">
        <v>1</v>
      </c>
      <c r="V16" s="26">
        <v>1</v>
      </c>
      <c r="W16" s="26">
        <v>1</v>
      </c>
      <c r="X16" s="26">
        <v>1</v>
      </c>
      <c r="Y16" s="26">
        <v>0</v>
      </c>
      <c r="Z16" s="26">
        <v>0</v>
      </c>
      <c r="AA16" s="26">
        <v>0</v>
      </c>
      <c r="AB16" s="26">
        <v>0</v>
      </c>
      <c r="AC16" s="26">
        <f>10/30</f>
        <v>0.33333333333333331</v>
      </c>
      <c r="AD16" s="26">
        <f>13/30</f>
        <v>0.43333333333333335</v>
      </c>
      <c r="AE16" s="26">
        <f>7/30</f>
        <v>0.23333333333333334</v>
      </c>
      <c r="AF16" s="26" t="s">
        <v>70</v>
      </c>
      <c r="AG16" s="33">
        <v>6.4</v>
      </c>
      <c r="AH16" s="33" t="s">
        <v>70</v>
      </c>
      <c r="AI16" s="33">
        <v>4</v>
      </c>
      <c r="AJ16" s="26" t="s">
        <v>571</v>
      </c>
      <c r="AK16" s="33" t="s">
        <v>70</v>
      </c>
      <c r="AL16" s="33" t="s">
        <v>70</v>
      </c>
      <c r="AM16" s="61" t="s">
        <v>548</v>
      </c>
      <c r="AN16" s="26" t="s">
        <v>274</v>
      </c>
      <c r="AO16" s="35" t="s">
        <v>548</v>
      </c>
      <c r="AP16" s="35" t="s">
        <v>548</v>
      </c>
      <c r="AQ16" s="35" t="s">
        <v>548</v>
      </c>
      <c r="AR16" s="35" t="s">
        <v>548</v>
      </c>
      <c r="AS16" s="26" t="s">
        <v>175</v>
      </c>
      <c r="AT16" s="26" t="s">
        <v>70</v>
      </c>
      <c r="AU16" s="26" t="s">
        <v>70</v>
      </c>
      <c r="AV16" s="26">
        <v>6</v>
      </c>
    </row>
    <row r="17" spans="1:2089" ht="14" customHeight="1">
      <c r="A17" s="27">
        <f t="shared" si="0"/>
        <v>16</v>
      </c>
      <c r="B17" s="27" t="s">
        <v>282</v>
      </c>
      <c r="C17" s="27">
        <v>2002</v>
      </c>
      <c r="D17" s="26" t="s">
        <v>152</v>
      </c>
      <c r="E17" s="26" t="s">
        <v>564</v>
      </c>
      <c r="F17" s="77" t="s">
        <v>175</v>
      </c>
      <c r="G17" s="2" t="s">
        <v>106</v>
      </c>
      <c r="H17" s="2" t="s">
        <v>30</v>
      </c>
      <c r="I17" s="2" t="s">
        <v>175</v>
      </c>
      <c r="J17" s="2" t="s">
        <v>604</v>
      </c>
      <c r="K17" s="2" t="s">
        <v>175</v>
      </c>
      <c r="L17" s="2" t="s">
        <v>175</v>
      </c>
      <c r="M17" s="2" t="s">
        <v>175</v>
      </c>
      <c r="N17" s="2" t="s">
        <v>62</v>
      </c>
      <c r="O17" s="2" t="s">
        <v>43</v>
      </c>
      <c r="P17" s="2" t="s">
        <v>62</v>
      </c>
      <c r="Q17" s="26" t="s">
        <v>606</v>
      </c>
      <c r="R17" s="102" t="s">
        <v>614</v>
      </c>
      <c r="S17" s="2">
        <v>0.69</v>
      </c>
      <c r="T17" s="26">
        <v>108</v>
      </c>
      <c r="U17" s="77">
        <v>1</v>
      </c>
      <c r="V17" s="26">
        <v>0</v>
      </c>
      <c r="W17" s="26">
        <v>1</v>
      </c>
      <c r="X17" s="26">
        <v>1</v>
      </c>
      <c r="Y17" s="26">
        <v>1</v>
      </c>
      <c r="Z17" s="26">
        <v>0</v>
      </c>
      <c r="AA17" s="26">
        <v>0</v>
      </c>
      <c r="AB17" s="26">
        <v>0</v>
      </c>
      <c r="AC17" s="26" t="s">
        <v>70</v>
      </c>
      <c r="AD17" s="26" t="s">
        <v>70</v>
      </c>
      <c r="AE17" s="26" t="s">
        <v>70</v>
      </c>
      <c r="AF17" s="26" t="s">
        <v>70</v>
      </c>
      <c r="AG17" s="33" t="s">
        <v>70</v>
      </c>
      <c r="AH17" s="33">
        <f>10^3.08</f>
        <v>1202.2644346174138</v>
      </c>
      <c r="AI17" s="33" t="s">
        <v>70</v>
      </c>
      <c r="AJ17" s="26" t="s">
        <v>70</v>
      </c>
      <c r="AK17" s="33" t="s">
        <v>70</v>
      </c>
      <c r="AL17" s="33" t="s">
        <v>70</v>
      </c>
      <c r="AM17" s="35" t="s">
        <v>548</v>
      </c>
      <c r="AN17" s="26" t="s">
        <v>274</v>
      </c>
      <c r="AO17" s="35" t="s">
        <v>548</v>
      </c>
      <c r="AP17" s="35" t="s">
        <v>548</v>
      </c>
      <c r="AQ17" s="35" t="s">
        <v>548</v>
      </c>
      <c r="AR17" s="35" t="s">
        <v>548</v>
      </c>
      <c r="AS17" s="26" t="s">
        <v>175</v>
      </c>
      <c r="AT17" s="26" t="s">
        <v>70</v>
      </c>
      <c r="AU17" s="26" t="s">
        <v>70</v>
      </c>
      <c r="AV17" s="26">
        <v>9</v>
      </c>
    </row>
    <row r="18" spans="1:2089" ht="14" customHeight="1">
      <c r="A18" s="27">
        <f t="shared" si="0"/>
        <v>17</v>
      </c>
      <c r="B18" s="27" t="s">
        <v>283</v>
      </c>
      <c r="C18" s="27">
        <v>2009</v>
      </c>
      <c r="D18" s="26" t="s">
        <v>35</v>
      </c>
      <c r="E18" s="26" t="s">
        <v>564</v>
      </c>
      <c r="F18" s="77" t="s">
        <v>175</v>
      </c>
      <c r="G18" s="2" t="s">
        <v>147</v>
      </c>
      <c r="H18" s="2" t="s">
        <v>30</v>
      </c>
      <c r="I18" s="2" t="s">
        <v>175</v>
      </c>
      <c r="J18" s="2" t="s">
        <v>604</v>
      </c>
      <c r="K18" s="2" t="s">
        <v>548</v>
      </c>
      <c r="L18" s="2" t="s">
        <v>548</v>
      </c>
      <c r="M18" s="2" t="s">
        <v>175</v>
      </c>
      <c r="N18" s="2" t="s">
        <v>48</v>
      </c>
      <c r="O18" s="2" t="s">
        <v>209</v>
      </c>
      <c r="P18" s="2" t="s">
        <v>48</v>
      </c>
      <c r="Q18" s="2" t="s">
        <v>42</v>
      </c>
      <c r="R18" s="79" t="s">
        <v>613</v>
      </c>
      <c r="S18" s="88">
        <v>0</v>
      </c>
      <c r="T18" s="26">
        <v>14</v>
      </c>
      <c r="U18" s="77">
        <v>1</v>
      </c>
      <c r="V18" s="26">
        <v>0</v>
      </c>
      <c r="W18" s="26">
        <v>1</v>
      </c>
      <c r="X18" s="26">
        <v>1</v>
      </c>
      <c r="Y18" s="26">
        <v>0</v>
      </c>
      <c r="Z18" s="26">
        <v>0</v>
      </c>
      <c r="AA18" s="26">
        <v>1</v>
      </c>
      <c r="AB18" s="26">
        <v>1</v>
      </c>
      <c r="AC18" s="33">
        <v>1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5" t="s">
        <v>175</v>
      </c>
      <c r="AN18" s="32" t="s">
        <v>9</v>
      </c>
      <c r="AO18" s="35" t="s">
        <v>175</v>
      </c>
      <c r="AP18" s="35" t="s">
        <v>548</v>
      </c>
      <c r="AQ18" s="35" t="s">
        <v>548</v>
      </c>
      <c r="AR18" s="35" t="s">
        <v>548</v>
      </c>
      <c r="AS18" s="26" t="s">
        <v>175</v>
      </c>
      <c r="AT18" s="26" t="s">
        <v>70</v>
      </c>
      <c r="AU18" s="26" t="s">
        <v>70</v>
      </c>
      <c r="AV18" s="26">
        <v>9</v>
      </c>
    </row>
    <row r="19" spans="1:2089" ht="14" customHeight="1">
      <c r="A19" s="27">
        <f t="shared" si="0"/>
        <v>18</v>
      </c>
      <c r="B19" s="27" t="s">
        <v>283</v>
      </c>
      <c r="C19" s="27">
        <v>2009</v>
      </c>
      <c r="D19" s="26" t="s">
        <v>35</v>
      </c>
      <c r="E19" s="26" t="s">
        <v>564</v>
      </c>
      <c r="F19" s="77" t="s">
        <v>175</v>
      </c>
      <c r="G19" s="2" t="s">
        <v>147</v>
      </c>
      <c r="H19" s="2" t="s">
        <v>30</v>
      </c>
      <c r="I19" s="2" t="s">
        <v>175</v>
      </c>
      <c r="J19" s="2" t="s">
        <v>604</v>
      </c>
      <c r="K19" s="2" t="s">
        <v>548</v>
      </c>
      <c r="L19" s="2" t="s">
        <v>548</v>
      </c>
      <c r="M19" s="2" t="s">
        <v>175</v>
      </c>
      <c r="N19" s="2" t="s">
        <v>62</v>
      </c>
      <c r="O19" s="2" t="s">
        <v>43</v>
      </c>
      <c r="P19" s="2" t="s">
        <v>62</v>
      </c>
      <c r="Q19" s="26" t="s">
        <v>606</v>
      </c>
      <c r="R19" s="79" t="s">
        <v>613</v>
      </c>
      <c r="S19" s="88">
        <v>0</v>
      </c>
      <c r="T19" s="61">
        <v>1412</v>
      </c>
      <c r="U19" s="77">
        <v>1</v>
      </c>
      <c r="V19" s="26">
        <v>0</v>
      </c>
      <c r="W19" s="26">
        <v>1</v>
      </c>
      <c r="X19" s="26">
        <v>1</v>
      </c>
      <c r="Y19" s="26">
        <v>0</v>
      </c>
      <c r="Z19" s="26">
        <v>0</v>
      </c>
      <c r="AA19" s="26">
        <v>1</v>
      </c>
      <c r="AB19" s="26">
        <v>1</v>
      </c>
      <c r="AC19" s="33">
        <v>1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61" t="s">
        <v>175</v>
      </c>
      <c r="AN19" s="32" t="s">
        <v>9</v>
      </c>
      <c r="AO19" s="26" t="s">
        <v>175</v>
      </c>
      <c r="AP19" s="26" t="s">
        <v>548</v>
      </c>
      <c r="AQ19" s="26" t="s">
        <v>548</v>
      </c>
      <c r="AR19" s="26" t="s">
        <v>548</v>
      </c>
      <c r="AS19" s="26" t="s">
        <v>175</v>
      </c>
      <c r="AT19" s="26" t="s">
        <v>70</v>
      </c>
      <c r="AU19" s="26" t="s">
        <v>70</v>
      </c>
      <c r="AV19" s="26">
        <v>9</v>
      </c>
    </row>
    <row r="20" spans="1:2089" ht="14" customHeight="1">
      <c r="A20" s="27">
        <f t="shared" si="0"/>
        <v>19</v>
      </c>
      <c r="B20" s="27" t="s">
        <v>284</v>
      </c>
      <c r="C20" s="27">
        <v>1998</v>
      </c>
      <c r="D20" s="26" t="s">
        <v>27</v>
      </c>
      <c r="E20" s="26" t="s">
        <v>563</v>
      </c>
      <c r="F20" s="77" t="s">
        <v>548</v>
      </c>
      <c r="G20" s="2" t="s">
        <v>84</v>
      </c>
      <c r="H20" s="2" t="s">
        <v>24</v>
      </c>
      <c r="I20" s="2" t="s">
        <v>548</v>
      </c>
      <c r="J20" s="2" t="s">
        <v>604</v>
      </c>
      <c r="K20" s="2" t="s">
        <v>548</v>
      </c>
      <c r="L20" s="2" t="s">
        <v>548</v>
      </c>
      <c r="M20" s="2" t="s">
        <v>548</v>
      </c>
      <c r="N20" s="2" t="s">
        <v>209</v>
      </c>
      <c r="O20" s="2" t="s">
        <v>209</v>
      </c>
      <c r="P20" s="2" t="s">
        <v>620</v>
      </c>
      <c r="Q20" s="2" t="s">
        <v>42</v>
      </c>
      <c r="R20" s="79" t="s">
        <v>613</v>
      </c>
      <c r="S20" s="2" t="s">
        <v>70</v>
      </c>
      <c r="T20" s="26">
        <v>20</v>
      </c>
      <c r="U20" s="77">
        <v>0</v>
      </c>
      <c r="V20" s="26">
        <v>0</v>
      </c>
      <c r="W20" s="26">
        <v>1</v>
      </c>
      <c r="X20" s="26">
        <v>1</v>
      </c>
      <c r="Y20" s="26">
        <v>1</v>
      </c>
      <c r="Z20" s="26">
        <v>0</v>
      </c>
      <c r="AA20" s="26">
        <v>0</v>
      </c>
      <c r="AB20" s="26">
        <v>0</v>
      </c>
      <c r="AC20" s="26" t="s">
        <v>70</v>
      </c>
      <c r="AD20" s="26" t="s">
        <v>70</v>
      </c>
      <c r="AE20" s="26" t="s">
        <v>70</v>
      </c>
      <c r="AF20" s="26" t="s">
        <v>70</v>
      </c>
      <c r="AG20" s="33" t="s">
        <v>70</v>
      </c>
      <c r="AH20" s="33">
        <v>56</v>
      </c>
      <c r="AI20" s="33" t="s">
        <v>70</v>
      </c>
      <c r="AJ20" s="26" t="s">
        <v>70</v>
      </c>
      <c r="AK20" s="33">
        <v>18</v>
      </c>
      <c r="AL20" s="33" t="s">
        <v>70</v>
      </c>
      <c r="AM20" s="35" t="s">
        <v>548</v>
      </c>
      <c r="AN20" s="26" t="s">
        <v>274</v>
      </c>
      <c r="AO20" s="35" t="s">
        <v>548</v>
      </c>
      <c r="AP20" s="35" t="s">
        <v>548</v>
      </c>
      <c r="AQ20" s="35" t="s">
        <v>548</v>
      </c>
      <c r="AR20" s="35" t="s">
        <v>548</v>
      </c>
      <c r="AS20" s="26" t="s">
        <v>175</v>
      </c>
      <c r="AT20" s="26" t="s">
        <v>70</v>
      </c>
      <c r="AU20" s="26" t="s">
        <v>70</v>
      </c>
      <c r="AV20" s="26">
        <v>4</v>
      </c>
    </row>
    <row r="21" spans="1:2089" s="59" customFormat="1" ht="14" customHeight="1">
      <c r="A21" s="27">
        <f t="shared" si="0"/>
        <v>20</v>
      </c>
      <c r="B21" s="27" t="s">
        <v>284</v>
      </c>
      <c r="C21" s="27">
        <v>2005</v>
      </c>
      <c r="D21" s="26" t="s">
        <v>27</v>
      </c>
      <c r="E21" s="26" t="s">
        <v>563</v>
      </c>
      <c r="F21" s="77" t="s">
        <v>175</v>
      </c>
      <c r="G21" s="2" t="s">
        <v>84</v>
      </c>
      <c r="H21" s="2" t="s">
        <v>24</v>
      </c>
      <c r="I21" s="2" t="s">
        <v>175</v>
      </c>
      <c r="J21" s="2" t="s">
        <v>604</v>
      </c>
      <c r="K21" s="2" t="s">
        <v>175</v>
      </c>
      <c r="L21" s="2" t="s">
        <v>175</v>
      </c>
      <c r="M21" s="2" t="s">
        <v>175</v>
      </c>
      <c r="N21" s="2" t="s">
        <v>210</v>
      </c>
      <c r="O21" s="2" t="s">
        <v>43</v>
      </c>
      <c r="P21" s="2" t="s">
        <v>210</v>
      </c>
      <c r="Q21" s="2" t="s">
        <v>42</v>
      </c>
      <c r="R21" s="79" t="s">
        <v>613</v>
      </c>
      <c r="S21" s="89">
        <f>17/T21</f>
        <v>0.47222222222222221</v>
      </c>
      <c r="T21" s="26">
        <v>36</v>
      </c>
      <c r="U21" s="77">
        <v>1</v>
      </c>
      <c r="V21" s="26">
        <v>1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f>1-S21</f>
        <v>0.52777777777777779</v>
      </c>
      <c r="AD21" s="26">
        <v>0.25</v>
      </c>
      <c r="AE21" s="26">
        <f>1-AF21-AC21-AD21</f>
        <v>0.19722222222222219</v>
      </c>
      <c r="AF21" s="26">
        <v>2.5000000000000001E-2</v>
      </c>
      <c r="AG21" s="26">
        <v>11</v>
      </c>
      <c r="AH21" s="26" t="s">
        <v>70</v>
      </c>
      <c r="AI21" s="26">
        <v>0</v>
      </c>
      <c r="AJ21" s="26" t="s">
        <v>236</v>
      </c>
      <c r="AK21" s="26" t="s">
        <v>70</v>
      </c>
      <c r="AL21" s="26" t="s">
        <v>70</v>
      </c>
      <c r="AM21" s="35" t="s">
        <v>175</v>
      </c>
      <c r="AN21" s="32" t="s">
        <v>9</v>
      </c>
      <c r="AO21" s="35" t="s">
        <v>548</v>
      </c>
      <c r="AP21" s="35" t="s">
        <v>175</v>
      </c>
      <c r="AQ21" s="35" t="s">
        <v>548</v>
      </c>
      <c r="AR21" s="35" t="s">
        <v>548</v>
      </c>
      <c r="AS21" s="26" t="s">
        <v>175</v>
      </c>
      <c r="AT21" s="26" t="s">
        <v>175</v>
      </c>
      <c r="AU21" s="40" t="s">
        <v>548</v>
      </c>
      <c r="AV21" s="26">
        <v>8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  <c r="PS21" s="26"/>
      <c r="PT21" s="26"/>
      <c r="PU21" s="26"/>
      <c r="PV21" s="26"/>
      <c r="PW21" s="26"/>
      <c r="PX21" s="26"/>
      <c r="PY21" s="26"/>
      <c r="PZ21" s="26"/>
      <c r="QA21" s="26"/>
      <c r="QB21" s="26"/>
      <c r="QC21" s="26"/>
      <c r="QD21" s="26"/>
      <c r="QE21" s="26"/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26"/>
      <c r="SX21" s="26"/>
      <c r="SY21" s="26"/>
      <c r="SZ21" s="26"/>
      <c r="TA21" s="26"/>
      <c r="TB21" s="26"/>
      <c r="TC21" s="26"/>
      <c r="TD21" s="26"/>
      <c r="TE21" s="26"/>
      <c r="TF21" s="26"/>
      <c r="TG21" s="26"/>
      <c r="TH21" s="26"/>
      <c r="TI21" s="26"/>
      <c r="TJ21" s="26"/>
      <c r="TK21" s="26"/>
      <c r="TL21" s="26"/>
      <c r="TM21" s="26"/>
      <c r="TN21" s="26"/>
      <c r="TO21" s="26"/>
      <c r="TP21" s="26"/>
      <c r="TQ21" s="26"/>
      <c r="TR21" s="26"/>
      <c r="TS21" s="26"/>
      <c r="TT21" s="26"/>
      <c r="TU21" s="26"/>
      <c r="TV21" s="26"/>
      <c r="TW21" s="26"/>
      <c r="TX21" s="26"/>
      <c r="TY21" s="26"/>
      <c r="TZ21" s="26"/>
      <c r="UA21" s="26"/>
      <c r="UB21" s="26"/>
      <c r="UC21" s="26"/>
      <c r="UD21" s="26"/>
      <c r="UE21" s="26"/>
      <c r="UF21" s="26"/>
      <c r="UG21" s="26"/>
      <c r="UH21" s="26"/>
      <c r="UI21" s="26"/>
      <c r="UJ21" s="26"/>
      <c r="UK21" s="26"/>
      <c r="UL21" s="26"/>
      <c r="UM21" s="26"/>
      <c r="UN21" s="26"/>
      <c r="UO21" s="26"/>
      <c r="UP21" s="26"/>
      <c r="UQ21" s="26"/>
      <c r="UR21" s="26"/>
      <c r="US21" s="26"/>
      <c r="UT21" s="26"/>
      <c r="UU21" s="26"/>
      <c r="UV21" s="26"/>
      <c r="UW21" s="26"/>
      <c r="UX21" s="26"/>
      <c r="UY21" s="26"/>
      <c r="UZ21" s="26"/>
      <c r="VA21" s="26"/>
      <c r="VB21" s="26"/>
      <c r="VC21" s="26"/>
      <c r="VD21" s="26"/>
      <c r="VE21" s="26"/>
      <c r="VF21" s="26"/>
      <c r="VG21" s="26"/>
      <c r="VH21" s="26"/>
      <c r="VI21" s="26"/>
      <c r="VJ21" s="26"/>
      <c r="VK21" s="26"/>
      <c r="VL21" s="26"/>
      <c r="VM21" s="26"/>
      <c r="VN21" s="26"/>
      <c r="VO21" s="26"/>
      <c r="VP21" s="26"/>
      <c r="VQ21" s="26"/>
      <c r="VR21" s="26"/>
      <c r="VS21" s="26"/>
      <c r="VT21" s="26"/>
      <c r="VU21" s="26"/>
      <c r="VV21" s="26"/>
      <c r="VW21" s="26"/>
      <c r="VX21" s="26"/>
      <c r="VY21" s="26"/>
      <c r="VZ21" s="26"/>
      <c r="WA21" s="26"/>
      <c r="WB21" s="26"/>
      <c r="WC21" s="26"/>
      <c r="WD21" s="26"/>
      <c r="WE21" s="26"/>
      <c r="WF21" s="26"/>
      <c r="WG21" s="26"/>
      <c r="WH21" s="26"/>
      <c r="WI21" s="26"/>
      <c r="WJ21" s="26"/>
      <c r="WK21" s="26"/>
      <c r="WL21" s="26"/>
      <c r="WM21" s="26"/>
      <c r="WN21" s="26"/>
      <c r="WO21" s="26"/>
      <c r="WP21" s="26"/>
      <c r="WQ21" s="26"/>
      <c r="WR21" s="26"/>
      <c r="WS21" s="26"/>
      <c r="WT21" s="26"/>
      <c r="WU21" s="26"/>
      <c r="WV21" s="26"/>
      <c r="WW21" s="26"/>
      <c r="WX21" s="26"/>
      <c r="WY21" s="26"/>
      <c r="WZ21" s="26"/>
      <c r="XA21" s="26"/>
      <c r="XB21" s="26"/>
      <c r="XC21" s="26"/>
      <c r="XD21" s="26"/>
      <c r="XE21" s="26"/>
      <c r="XF21" s="26"/>
      <c r="XG21" s="26"/>
      <c r="XH21" s="26"/>
      <c r="XI21" s="26"/>
      <c r="XJ21" s="26"/>
      <c r="XK21" s="26"/>
      <c r="XL21" s="26"/>
      <c r="XM21" s="26"/>
      <c r="XN21" s="26"/>
      <c r="XO21" s="26"/>
      <c r="XP21" s="26"/>
      <c r="XQ21" s="26"/>
      <c r="XR21" s="26"/>
      <c r="XS21" s="26"/>
      <c r="XT21" s="26"/>
      <c r="XU21" s="26"/>
      <c r="XV21" s="26"/>
      <c r="XW21" s="26"/>
      <c r="XX21" s="26"/>
      <c r="XY21" s="26"/>
      <c r="XZ21" s="26"/>
      <c r="YA21" s="26"/>
      <c r="YB21" s="26"/>
      <c r="YC21" s="26"/>
      <c r="YD21" s="26"/>
      <c r="YE21" s="26"/>
      <c r="YF21" s="26"/>
      <c r="YG21" s="26"/>
      <c r="YH21" s="26"/>
      <c r="YI21" s="26"/>
      <c r="YJ21" s="26"/>
      <c r="YK21" s="26"/>
      <c r="YL21" s="26"/>
      <c r="YM21" s="26"/>
      <c r="YN21" s="26"/>
      <c r="YO21" s="26"/>
      <c r="YP21" s="26"/>
      <c r="YQ21" s="26"/>
      <c r="YR21" s="26"/>
      <c r="YS21" s="26"/>
      <c r="YT21" s="26"/>
      <c r="YU21" s="26"/>
      <c r="YV21" s="26"/>
      <c r="YW21" s="26"/>
      <c r="YX21" s="26"/>
      <c r="YY21" s="26"/>
      <c r="YZ21" s="26"/>
      <c r="ZA21" s="26"/>
      <c r="ZB21" s="26"/>
      <c r="ZC21" s="26"/>
      <c r="ZD21" s="26"/>
      <c r="ZE21" s="26"/>
      <c r="ZF21" s="26"/>
      <c r="ZG21" s="26"/>
      <c r="ZH21" s="26"/>
      <c r="ZI21" s="26"/>
      <c r="ZJ21" s="26"/>
      <c r="ZK21" s="26"/>
      <c r="ZL21" s="26"/>
      <c r="ZM21" s="26"/>
      <c r="ZN21" s="26"/>
      <c r="ZO21" s="26"/>
      <c r="ZP21" s="26"/>
      <c r="ZQ21" s="26"/>
      <c r="ZR21" s="26"/>
      <c r="ZS21" s="26"/>
      <c r="ZT21" s="26"/>
      <c r="ZU21" s="26"/>
      <c r="ZV21" s="26"/>
      <c r="ZW21" s="26"/>
      <c r="ZX21" s="26"/>
      <c r="ZY21" s="26"/>
      <c r="ZZ21" s="26"/>
      <c r="AAA21" s="26"/>
      <c r="AAB21" s="26"/>
      <c r="AAC21" s="26"/>
      <c r="AAD21" s="26"/>
      <c r="AAE21" s="26"/>
      <c r="AAF21" s="26"/>
      <c r="AAG21" s="26"/>
      <c r="AAH21" s="26"/>
      <c r="AAI21" s="26"/>
      <c r="AAJ21" s="26"/>
      <c r="AAK21" s="26"/>
      <c r="AAL21" s="26"/>
      <c r="AAM21" s="26"/>
      <c r="AAN21" s="26"/>
      <c r="AAO21" s="26"/>
      <c r="AAP21" s="26"/>
      <c r="AAQ21" s="26"/>
      <c r="AAR21" s="26"/>
      <c r="AAS21" s="26"/>
      <c r="AAT21" s="26"/>
      <c r="AAU21" s="26"/>
      <c r="AAV21" s="26"/>
      <c r="AAW21" s="26"/>
      <c r="AAX21" s="26"/>
      <c r="AAY21" s="26"/>
      <c r="AAZ21" s="26"/>
      <c r="ABA21" s="26"/>
      <c r="ABB21" s="26"/>
      <c r="ABC21" s="26"/>
      <c r="ABD21" s="26"/>
      <c r="ABE21" s="26"/>
      <c r="ABF21" s="26"/>
      <c r="ABG21" s="26"/>
      <c r="ABH21" s="26"/>
      <c r="ABI21" s="26"/>
      <c r="ABJ21" s="26"/>
      <c r="ABK21" s="26"/>
      <c r="ABL21" s="26"/>
      <c r="ABM21" s="26"/>
      <c r="ABN21" s="26"/>
      <c r="ABO21" s="26"/>
      <c r="ABP21" s="26"/>
      <c r="ABQ21" s="26"/>
      <c r="ABR21" s="26"/>
      <c r="ABS21" s="26"/>
      <c r="ABT21" s="26"/>
      <c r="ABU21" s="26"/>
      <c r="ABV21" s="26"/>
      <c r="ABW21" s="26"/>
      <c r="ABX21" s="26"/>
      <c r="ABY21" s="26"/>
      <c r="ABZ21" s="26"/>
      <c r="ACA21" s="26"/>
      <c r="ACB21" s="26"/>
      <c r="ACC21" s="26"/>
      <c r="ACD21" s="26"/>
      <c r="ACE21" s="26"/>
      <c r="ACF21" s="26"/>
      <c r="ACG21" s="26"/>
      <c r="ACH21" s="26"/>
      <c r="ACI21" s="26"/>
      <c r="ACJ21" s="26"/>
      <c r="ACK21" s="26"/>
      <c r="ACL21" s="26"/>
      <c r="ACM21" s="26"/>
      <c r="ACN21" s="26"/>
      <c r="ACO21" s="26"/>
      <c r="ACP21" s="26"/>
      <c r="ACQ21" s="26"/>
      <c r="ACR21" s="26"/>
      <c r="ACS21" s="26"/>
      <c r="ACT21" s="26"/>
      <c r="ACU21" s="26"/>
      <c r="ACV21" s="26"/>
      <c r="ACW21" s="26"/>
      <c r="ACX21" s="26"/>
      <c r="ACY21" s="26"/>
      <c r="ACZ21" s="26"/>
      <c r="ADA21" s="26"/>
      <c r="ADB21" s="26"/>
      <c r="ADC21" s="26"/>
      <c r="ADD21" s="26"/>
      <c r="ADE21" s="26"/>
      <c r="ADF21" s="26"/>
      <c r="ADG21" s="26"/>
      <c r="ADH21" s="26"/>
      <c r="ADI21" s="26"/>
      <c r="ADJ21" s="26"/>
      <c r="ADK21" s="26"/>
      <c r="ADL21" s="26"/>
      <c r="ADM21" s="26"/>
      <c r="ADN21" s="26"/>
      <c r="ADO21" s="26"/>
      <c r="ADP21" s="26"/>
      <c r="ADQ21" s="26"/>
      <c r="ADR21" s="26"/>
      <c r="ADS21" s="26"/>
      <c r="ADT21" s="26"/>
      <c r="ADU21" s="26"/>
      <c r="ADV21" s="26"/>
      <c r="ADW21" s="26"/>
      <c r="ADX21" s="26"/>
      <c r="ADY21" s="26"/>
      <c r="ADZ21" s="26"/>
      <c r="AEA21" s="26"/>
      <c r="AEB21" s="26"/>
      <c r="AEC21" s="26"/>
      <c r="AED21" s="26"/>
      <c r="AEE21" s="26"/>
      <c r="AEF21" s="26"/>
      <c r="AEG21" s="26"/>
      <c r="AEH21" s="26"/>
      <c r="AEI21" s="26"/>
      <c r="AEJ21" s="26"/>
      <c r="AEK21" s="26"/>
      <c r="AEL21" s="26"/>
      <c r="AEM21" s="26"/>
      <c r="AEN21" s="26"/>
      <c r="AEO21" s="26"/>
      <c r="AEP21" s="26"/>
      <c r="AEQ21" s="26"/>
      <c r="AER21" s="26"/>
      <c r="AES21" s="26"/>
      <c r="AET21" s="26"/>
      <c r="AEU21" s="26"/>
      <c r="AEV21" s="26"/>
      <c r="AEW21" s="26"/>
      <c r="AEX21" s="26"/>
      <c r="AEY21" s="26"/>
      <c r="AEZ21" s="26"/>
      <c r="AFA21" s="26"/>
      <c r="AFB21" s="26"/>
      <c r="AFC21" s="26"/>
      <c r="AFD21" s="26"/>
      <c r="AFE21" s="26"/>
      <c r="AFF21" s="26"/>
      <c r="AFG21" s="26"/>
      <c r="AFH21" s="26"/>
      <c r="AFI21" s="26"/>
      <c r="AFJ21" s="26"/>
      <c r="AFK21" s="26"/>
      <c r="AFL21" s="26"/>
      <c r="AFM21" s="26"/>
      <c r="AFN21" s="26"/>
      <c r="AFO21" s="26"/>
      <c r="AFP21" s="26"/>
      <c r="AFQ21" s="26"/>
      <c r="AFR21" s="26"/>
      <c r="AFS21" s="26"/>
      <c r="AFT21" s="26"/>
      <c r="AFU21" s="26"/>
      <c r="AFV21" s="26"/>
      <c r="AFW21" s="26"/>
      <c r="AFX21" s="26"/>
      <c r="AFY21" s="26"/>
      <c r="AFZ21" s="26"/>
      <c r="AGA21" s="26"/>
      <c r="AGB21" s="26"/>
      <c r="AGC21" s="26"/>
      <c r="AGD21" s="26"/>
      <c r="AGE21" s="26"/>
      <c r="AGF21" s="26"/>
      <c r="AGG21" s="26"/>
      <c r="AGH21" s="26"/>
      <c r="AGI21" s="26"/>
      <c r="AGJ21" s="26"/>
      <c r="AGK21" s="26"/>
      <c r="AGL21" s="26"/>
      <c r="AGM21" s="26"/>
      <c r="AGN21" s="26"/>
      <c r="AGO21" s="26"/>
      <c r="AGP21" s="26"/>
      <c r="AGQ21" s="26"/>
      <c r="AGR21" s="26"/>
      <c r="AGS21" s="26"/>
      <c r="AGT21" s="26"/>
      <c r="AGU21" s="26"/>
      <c r="AGV21" s="26"/>
      <c r="AGW21" s="26"/>
      <c r="AGX21" s="26"/>
      <c r="AGY21" s="26"/>
      <c r="AGZ21" s="26"/>
      <c r="AHA21" s="26"/>
      <c r="AHB21" s="26"/>
      <c r="AHC21" s="26"/>
      <c r="AHD21" s="26"/>
      <c r="AHE21" s="26"/>
      <c r="AHF21" s="26"/>
      <c r="AHG21" s="26"/>
      <c r="AHH21" s="26"/>
      <c r="AHI21" s="26"/>
      <c r="AHJ21" s="26"/>
      <c r="AHK21" s="26"/>
      <c r="AHL21" s="26"/>
      <c r="AHM21" s="26"/>
      <c r="AHN21" s="26"/>
      <c r="AHO21" s="26"/>
      <c r="AHP21" s="26"/>
      <c r="AHQ21" s="26"/>
      <c r="AHR21" s="26"/>
      <c r="AHS21" s="26"/>
      <c r="AHT21" s="26"/>
      <c r="AHU21" s="26"/>
      <c r="AHV21" s="26"/>
      <c r="AHW21" s="26"/>
      <c r="AHX21" s="26"/>
      <c r="AHY21" s="26"/>
      <c r="AHZ21" s="26"/>
      <c r="AIA21" s="26"/>
      <c r="AIB21" s="26"/>
      <c r="AIC21" s="26"/>
      <c r="AID21" s="26"/>
      <c r="AIE21" s="26"/>
      <c r="AIF21" s="26"/>
      <c r="AIG21" s="26"/>
      <c r="AIH21" s="26"/>
      <c r="AII21" s="26"/>
      <c r="AIJ21" s="26"/>
      <c r="AIK21" s="26"/>
      <c r="AIL21" s="26"/>
      <c r="AIM21" s="26"/>
      <c r="AIN21" s="26"/>
      <c r="AIO21" s="26"/>
      <c r="AIP21" s="26"/>
      <c r="AIQ21" s="26"/>
      <c r="AIR21" s="26"/>
      <c r="AIS21" s="26"/>
      <c r="AIT21" s="26"/>
      <c r="AIU21" s="26"/>
      <c r="AIV21" s="26"/>
      <c r="AIW21" s="26"/>
      <c r="AIX21" s="26"/>
      <c r="AIY21" s="26"/>
      <c r="AIZ21" s="26"/>
      <c r="AJA21" s="26"/>
      <c r="AJB21" s="26"/>
      <c r="AJC21" s="26"/>
      <c r="AJD21" s="26"/>
      <c r="AJE21" s="26"/>
      <c r="AJF21" s="26"/>
      <c r="AJG21" s="26"/>
      <c r="AJH21" s="26"/>
      <c r="AJI21" s="26"/>
      <c r="AJJ21" s="26"/>
      <c r="AJK21" s="26"/>
      <c r="AJL21" s="26"/>
      <c r="AJM21" s="26"/>
      <c r="AJN21" s="26"/>
      <c r="AJO21" s="26"/>
      <c r="AJP21" s="26"/>
      <c r="AJQ21" s="26"/>
      <c r="AJR21" s="26"/>
      <c r="AJS21" s="26"/>
      <c r="AJT21" s="26"/>
      <c r="AJU21" s="26"/>
      <c r="AJV21" s="26"/>
      <c r="AJW21" s="26"/>
      <c r="AJX21" s="26"/>
      <c r="AJY21" s="26"/>
      <c r="AJZ21" s="26"/>
      <c r="AKA21" s="26"/>
      <c r="AKB21" s="26"/>
      <c r="AKC21" s="26"/>
      <c r="AKD21" s="26"/>
      <c r="AKE21" s="26"/>
      <c r="AKF21" s="26"/>
      <c r="AKG21" s="26"/>
      <c r="AKH21" s="26"/>
      <c r="AKI21" s="26"/>
      <c r="AKJ21" s="26"/>
      <c r="AKK21" s="26"/>
      <c r="AKL21" s="26"/>
      <c r="AKM21" s="26"/>
      <c r="AKN21" s="26"/>
      <c r="AKO21" s="26"/>
      <c r="AKP21" s="26"/>
      <c r="AKQ21" s="26"/>
      <c r="AKR21" s="26"/>
      <c r="AKS21" s="26"/>
      <c r="AKT21" s="26"/>
      <c r="AKU21" s="26"/>
      <c r="AKV21" s="26"/>
      <c r="AKW21" s="26"/>
      <c r="AKX21" s="26"/>
      <c r="AKY21" s="26"/>
      <c r="AKZ21" s="26"/>
      <c r="ALA21" s="26"/>
      <c r="ALB21" s="26"/>
      <c r="ALC21" s="26"/>
      <c r="ALD21" s="26"/>
      <c r="ALE21" s="26"/>
      <c r="ALF21" s="26"/>
      <c r="ALG21" s="26"/>
      <c r="ALH21" s="26"/>
      <c r="ALI21" s="26"/>
      <c r="ALJ21" s="26"/>
      <c r="ALK21" s="26"/>
      <c r="ALL21" s="26"/>
      <c r="ALM21" s="26"/>
      <c r="ALN21" s="26"/>
      <c r="ALO21" s="26"/>
      <c r="ALP21" s="26"/>
      <c r="ALQ21" s="26"/>
      <c r="ALR21" s="26"/>
      <c r="ALS21" s="26"/>
      <c r="ALT21" s="26"/>
      <c r="ALU21" s="26"/>
      <c r="ALV21" s="26"/>
      <c r="ALW21" s="26"/>
      <c r="ALX21" s="26"/>
      <c r="ALY21" s="26"/>
      <c r="ALZ21" s="26"/>
      <c r="AMA21" s="26"/>
      <c r="AMB21" s="26"/>
      <c r="AMC21" s="26"/>
      <c r="AMD21" s="26"/>
      <c r="AME21" s="26"/>
      <c r="AMF21" s="26"/>
      <c r="AMG21" s="26"/>
      <c r="AMH21" s="26"/>
      <c r="AMI21" s="26"/>
      <c r="AMJ21" s="26"/>
      <c r="AMK21" s="26"/>
      <c r="AML21" s="26"/>
      <c r="AMM21" s="26"/>
      <c r="AMN21" s="26"/>
      <c r="AMO21" s="26"/>
      <c r="AMP21" s="26"/>
      <c r="AMQ21" s="26"/>
      <c r="AMR21" s="26"/>
      <c r="AMS21" s="26"/>
      <c r="AMT21" s="26"/>
      <c r="AMU21" s="26"/>
      <c r="AMV21" s="26"/>
      <c r="AMW21" s="26"/>
      <c r="AMX21" s="26"/>
      <c r="AMY21" s="26"/>
      <c r="AMZ21" s="26"/>
      <c r="ANA21" s="26"/>
      <c r="ANB21" s="26"/>
      <c r="ANC21" s="26"/>
      <c r="AND21" s="26"/>
      <c r="ANE21" s="26"/>
      <c r="ANF21" s="26"/>
      <c r="ANG21" s="26"/>
      <c r="ANH21" s="26"/>
      <c r="ANI21" s="26"/>
      <c r="ANJ21" s="26"/>
      <c r="ANK21" s="26"/>
      <c r="ANL21" s="26"/>
      <c r="ANM21" s="26"/>
      <c r="ANN21" s="26"/>
      <c r="ANO21" s="26"/>
      <c r="ANP21" s="26"/>
      <c r="ANQ21" s="26"/>
      <c r="ANR21" s="26"/>
      <c r="ANS21" s="26"/>
      <c r="ANT21" s="26"/>
      <c r="ANU21" s="26"/>
      <c r="ANV21" s="26"/>
      <c r="ANW21" s="26"/>
      <c r="ANX21" s="26"/>
      <c r="ANY21" s="26"/>
      <c r="ANZ21" s="26"/>
      <c r="AOA21" s="26"/>
      <c r="AOB21" s="26"/>
      <c r="AOC21" s="26"/>
      <c r="AOD21" s="26"/>
      <c r="AOE21" s="26"/>
      <c r="AOF21" s="26"/>
      <c r="AOG21" s="26"/>
      <c r="AOH21" s="26"/>
      <c r="AOI21" s="26"/>
      <c r="AOJ21" s="26"/>
      <c r="AOK21" s="26"/>
      <c r="AOL21" s="26"/>
      <c r="AOM21" s="26"/>
      <c r="AON21" s="26"/>
      <c r="AOO21" s="26"/>
      <c r="AOP21" s="26"/>
      <c r="AOQ21" s="26"/>
      <c r="AOR21" s="26"/>
      <c r="AOS21" s="26"/>
      <c r="AOT21" s="26"/>
      <c r="AOU21" s="26"/>
      <c r="AOV21" s="26"/>
      <c r="AOW21" s="26"/>
      <c r="AOX21" s="26"/>
      <c r="AOY21" s="26"/>
      <c r="AOZ21" s="26"/>
      <c r="APA21" s="26"/>
      <c r="APB21" s="26"/>
      <c r="APC21" s="26"/>
      <c r="APD21" s="26"/>
      <c r="APE21" s="26"/>
      <c r="APF21" s="26"/>
      <c r="APG21" s="26"/>
      <c r="APH21" s="26"/>
      <c r="API21" s="26"/>
      <c r="APJ21" s="26"/>
      <c r="APK21" s="26"/>
      <c r="APL21" s="26"/>
      <c r="APM21" s="26"/>
      <c r="APN21" s="26"/>
      <c r="APO21" s="26"/>
      <c r="APP21" s="26"/>
      <c r="APQ21" s="26"/>
      <c r="APR21" s="26"/>
      <c r="APS21" s="26"/>
      <c r="APT21" s="26"/>
      <c r="APU21" s="26"/>
      <c r="APV21" s="26"/>
      <c r="APW21" s="26"/>
      <c r="APX21" s="26"/>
      <c r="APY21" s="26"/>
      <c r="APZ21" s="26"/>
      <c r="AQA21" s="26"/>
      <c r="AQB21" s="26"/>
      <c r="AQC21" s="26"/>
      <c r="AQD21" s="26"/>
      <c r="AQE21" s="26"/>
      <c r="AQF21" s="26"/>
      <c r="AQG21" s="26"/>
      <c r="AQH21" s="26"/>
      <c r="AQI21" s="26"/>
      <c r="AQJ21" s="26"/>
      <c r="AQK21" s="26"/>
      <c r="AQL21" s="26"/>
      <c r="AQM21" s="26"/>
      <c r="AQN21" s="26"/>
      <c r="AQO21" s="26"/>
      <c r="AQP21" s="26"/>
      <c r="AQQ21" s="26"/>
      <c r="AQR21" s="26"/>
      <c r="AQS21" s="26"/>
      <c r="AQT21" s="26"/>
      <c r="AQU21" s="26"/>
      <c r="AQV21" s="26"/>
      <c r="AQW21" s="26"/>
      <c r="AQX21" s="26"/>
      <c r="AQY21" s="26"/>
      <c r="AQZ21" s="26"/>
      <c r="ARA21" s="26"/>
      <c r="ARB21" s="26"/>
      <c r="ARC21" s="26"/>
      <c r="ARD21" s="26"/>
      <c r="ARE21" s="26"/>
      <c r="ARF21" s="26"/>
      <c r="ARG21" s="26"/>
      <c r="ARH21" s="26"/>
      <c r="ARI21" s="26"/>
      <c r="ARJ21" s="26"/>
      <c r="ARK21" s="26"/>
      <c r="ARL21" s="26"/>
      <c r="ARM21" s="26"/>
      <c r="ARN21" s="26"/>
      <c r="ARO21" s="26"/>
      <c r="ARP21" s="26"/>
      <c r="ARQ21" s="26"/>
      <c r="ARR21" s="26"/>
      <c r="ARS21" s="26"/>
      <c r="ART21" s="26"/>
      <c r="ARU21" s="26"/>
      <c r="ARV21" s="26"/>
      <c r="ARW21" s="26"/>
      <c r="ARX21" s="26"/>
      <c r="ARY21" s="26"/>
      <c r="ARZ21" s="26"/>
      <c r="ASA21" s="26"/>
      <c r="ASB21" s="26"/>
      <c r="ASC21" s="26"/>
      <c r="ASD21" s="26"/>
      <c r="ASE21" s="26"/>
      <c r="ASF21" s="26"/>
      <c r="ASG21" s="26"/>
      <c r="ASH21" s="26"/>
      <c r="ASI21" s="26"/>
      <c r="ASJ21" s="26"/>
      <c r="ASK21" s="26"/>
      <c r="ASL21" s="26"/>
      <c r="ASM21" s="26"/>
      <c r="ASN21" s="26"/>
      <c r="ASO21" s="26"/>
      <c r="ASP21" s="26"/>
      <c r="ASQ21" s="26"/>
      <c r="ASR21" s="26"/>
      <c r="ASS21" s="26"/>
      <c r="AST21" s="26"/>
      <c r="ASU21" s="26"/>
      <c r="ASV21" s="26"/>
      <c r="ASW21" s="26"/>
      <c r="ASX21" s="26"/>
      <c r="ASY21" s="26"/>
      <c r="ASZ21" s="26"/>
      <c r="ATA21" s="26"/>
      <c r="ATB21" s="26"/>
      <c r="ATC21" s="26"/>
      <c r="ATD21" s="26"/>
      <c r="ATE21" s="26"/>
      <c r="ATF21" s="26"/>
      <c r="ATG21" s="26"/>
      <c r="ATH21" s="26"/>
      <c r="ATI21" s="26"/>
      <c r="ATJ21" s="26"/>
      <c r="ATK21" s="26"/>
      <c r="ATL21" s="26"/>
      <c r="ATM21" s="26"/>
      <c r="ATN21" s="26"/>
      <c r="ATO21" s="26"/>
      <c r="ATP21" s="26"/>
      <c r="ATQ21" s="26"/>
      <c r="ATR21" s="26"/>
      <c r="ATS21" s="26"/>
      <c r="ATT21" s="26"/>
      <c r="ATU21" s="26"/>
      <c r="ATV21" s="26"/>
      <c r="ATW21" s="26"/>
      <c r="ATX21" s="26"/>
      <c r="ATY21" s="26"/>
      <c r="ATZ21" s="26"/>
      <c r="AUA21" s="26"/>
      <c r="AUB21" s="26"/>
      <c r="AUC21" s="26"/>
      <c r="AUD21" s="26"/>
      <c r="AUE21" s="26"/>
      <c r="AUF21" s="26"/>
      <c r="AUG21" s="26"/>
      <c r="AUH21" s="26"/>
      <c r="AUI21" s="26"/>
      <c r="AUJ21" s="26"/>
      <c r="AUK21" s="26"/>
      <c r="AUL21" s="26"/>
      <c r="AUM21" s="26"/>
      <c r="AUN21" s="26"/>
      <c r="AUO21" s="26"/>
      <c r="AUP21" s="26"/>
      <c r="AUQ21" s="26"/>
      <c r="AUR21" s="26"/>
      <c r="AUS21" s="26"/>
      <c r="AUT21" s="26"/>
      <c r="AUU21" s="26"/>
      <c r="AUV21" s="26"/>
      <c r="AUW21" s="26"/>
      <c r="AUX21" s="26"/>
      <c r="AUY21" s="26"/>
      <c r="AUZ21" s="26"/>
      <c r="AVA21" s="26"/>
      <c r="AVB21" s="26"/>
      <c r="AVC21" s="26"/>
      <c r="AVD21" s="26"/>
      <c r="AVE21" s="26"/>
      <c r="AVF21" s="26"/>
      <c r="AVG21" s="26"/>
      <c r="AVH21" s="26"/>
      <c r="AVI21" s="26"/>
      <c r="AVJ21" s="26"/>
      <c r="AVK21" s="26"/>
      <c r="AVL21" s="26"/>
      <c r="AVM21" s="26"/>
      <c r="AVN21" s="26"/>
      <c r="AVO21" s="26"/>
      <c r="AVP21" s="26"/>
      <c r="AVQ21" s="26"/>
      <c r="AVR21" s="26"/>
      <c r="AVS21" s="26"/>
      <c r="AVT21" s="26"/>
      <c r="AVU21" s="26"/>
      <c r="AVV21" s="26"/>
      <c r="AVW21" s="26"/>
      <c r="AVX21" s="26"/>
      <c r="AVY21" s="26"/>
      <c r="AVZ21" s="26"/>
      <c r="AWA21" s="26"/>
      <c r="AWB21" s="26"/>
      <c r="AWC21" s="26"/>
      <c r="AWD21" s="26"/>
      <c r="AWE21" s="26"/>
      <c r="AWF21" s="26"/>
      <c r="AWG21" s="26"/>
      <c r="AWH21" s="26"/>
      <c r="AWI21" s="26"/>
      <c r="AWJ21" s="26"/>
      <c r="AWK21" s="26"/>
      <c r="AWL21" s="26"/>
      <c r="AWM21" s="26"/>
      <c r="AWN21" s="26"/>
      <c r="AWO21" s="26"/>
      <c r="AWP21" s="26"/>
      <c r="AWQ21" s="26"/>
      <c r="AWR21" s="26"/>
      <c r="AWS21" s="26"/>
      <c r="AWT21" s="26"/>
      <c r="AWU21" s="26"/>
      <c r="AWV21" s="26"/>
      <c r="AWW21" s="26"/>
      <c r="AWX21" s="26"/>
      <c r="AWY21" s="26"/>
      <c r="AWZ21" s="26"/>
      <c r="AXA21" s="26"/>
      <c r="AXB21" s="26"/>
      <c r="AXC21" s="26"/>
      <c r="AXD21" s="26"/>
      <c r="AXE21" s="26"/>
      <c r="AXF21" s="26"/>
      <c r="AXG21" s="26"/>
      <c r="AXH21" s="26"/>
      <c r="AXI21" s="26"/>
      <c r="AXJ21" s="26"/>
      <c r="AXK21" s="26"/>
      <c r="AXL21" s="26"/>
      <c r="AXM21" s="26"/>
      <c r="AXN21" s="26"/>
      <c r="AXO21" s="26"/>
      <c r="AXP21" s="26"/>
      <c r="AXQ21" s="26"/>
      <c r="AXR21" s="26"/>
      <c r="AXS21" s="26"/>
      <c r="AXT21" s="26"/>
      <c r="AXU21" s="26"/>
      <c r="AXV21" s="26"/>
      <c r="AXW21" s="26"/>
      <c r="AXX21" s="26"/>
      <c r="AXY21" s="26"/>
      <c r="AXZ21" s="26"/>
      <c r="AYA21" s="26"/>
      <c r="AYB21" s="26"/>
      <c r="AYC21" s="26"/>
      <c r="AYD21" s="26"/>
      <c r="AYE21" s="26"/>
      <c r="AYF21" s="26"/>
      <c r="AYG21" s="26"/>
      <c r="AYH21" s="26"/>
      <c r="AYI21" s="26"/>
      <c r="AYJ21" s="26"/>
      <c r="AYK21" s="26"/>
      <c r="AYL21" s="26"/>
      <c r="AYM21" s="26"/>
      <c r="AYN21" s="26"/>
      <c r="AYO21" s="26"/>
      <c r="AYP21" s="26"/>
      <c r="AYQ21" s="26"/>
      <c r="AYR21" s="26"/>
      <c r="AYS21" s="26"/>
      <c r="AYT21" s="26"/>
      <c r="AYU21" s="26"/>
      <c r="AYV21" s="26"/>
      <c r="AYW21" s="26"/>
      <c r="AYX21" s="26"/>
      <c r="AYY21" s="26"/>
      <c r="AYZ21" s="26"/>
      <c r="AZA21" s="26"/>
      <c r="AZB21" s="26"/>
      <c r="AZC21" s="26"/>
      <c r="AZD21" s="26"/>
      <c r="AZE21" s="26"/>
      <c r="AZF21" s="26"/>
      <c r="AZG21" s="26"/>
      <c r="AZH21" s="26"/>
      <c r="AZI21" s="26"/>
      <c r="AZJ21" s="26"/>
      <c r="AZK21" s="26"/>
      <c r="AZL21" s="26"/>
      <c r="AZM21" s="26"/>
      <c r="AZN21" s="26"/>
      <c r="AZO21" s="26"/>
      <c r="AZP21" s="26"/>
      <c r="AZQ21" s="26"/>
      <c r="AZR21" s="26"/>
      <c r="AZS21" s="26"/>
      <c r="AZT21" s="26"/>
      <c r="AZU21" s="26"/>
      <c r="AZV21" s="26"/>
      <c r="AZW21" s="26"/>
      <c r="AZX21" s="26"/>
      <c r="AZY21" s="26"/>
      <c r="AZZ21" s="26"/>
      <c r="BAA21" s="26"/>
      <c r="BAB21" s="26"/>
      <c r="BAC21" s="26"/>
      <c r="BAD21" s="26"/>
      <c r="BAE21" s="26"/>
      <c r="BAF21" s="26"/>
      <c r="BAG21" s="26"/>
      <c r="BAH21" s="26"/>
      <c r="BAI21" s="26"/>
      <c r="BAJ21" s="26"/>
      <c r="BAK21" s="26"/>
      <c r="BAL21" s="26"/>
      <c r="BAM21" s="26"/>
      <c r="BAN21" s="26"/>
      <c r="BAO21" s="26"/>
      <c r="BAP21" s="26"/>
      <c r="BAQ21" s="26"/>
      <c r="BAR21" s="26"/>
      <c r="BAS21" s="26"/>
      <c r="BAT21" s="26"/>
      <c r="BAU21" s="26"/>
      <c r="BAV21" s="26"/>
      <c r="BAW21" s="26"/>
      <c r="BAX21" s="26"/>
      <c r="BAY21" s="26"/>
      <c r="BAZ21" s="26"/>
      <c r="BBA21" s="26"/>
      <c r="BBB21" s="26"/>
      <c r="BBC21" s="26"/>
      <c r="BBD21" s="26"/>
      <c r="BBE21" s="26"/>
      <c r="BBF21" s="26"/>
      <c r="BBG21" s="26"/>
      <c r="BBH21" s="26"/>
      <c r="BBI21" s="26"/>
      <c r="BBJ21" s="26"/>
      <c r="BBK21" s="26"/>
      <c r="BBL21" s="26"/>
      <c r="BBM21" s="26"/>
      <c r="BBN21" s="26"/>
      <c r="BBO21" s="26"/>
      <c r="BBP21" s="26"/>
      <c r="BBQ21" s="26"/>
      <c r="BBR21" s="26"/>
      <c r="BBS21" s="26"/>
      <c r="BBT21" s="26"/>
      <c r="BBU21" s="26"/>
      <c r="BBV21" s="26"/>
      <c r="BBW21" s="26"/>
      <c r="BBX21" s="26"/>
      <c r="BBY21" s="26"/>
      <c r="BBZ21" s="26"/>
      <c r="BCA21" s="26"/>
      <c r="BCB21" s="26"/>
      <c r="BCC21" s="26"/>
      <c r="BCD21" s="26"/>
      <c r="BCE21" s="26"/>
      <c r="BCF21" s="26"/>
      <c r="BCG21" s="26"/>
      <c r="BCH21" s="26"/>
      <c r="BCI21" s="26"/>
      <c r="BCJ21" s="26"/>
      <c r="BCK21" s="26"/>
      <c r="BCL21" s="26"/>
      <c r="BCM21" s="26"/>
      <c r="BCN21" s="26"/>
      <c r="BCO21" s="26"/>
      <c r="BCP21" s="26"/>
      <c r="BCQ21" s="26"/>
      <c r="BCR21" s="26"/>
      <c r="BCS21" s="26"/>
      <c r="BCT21" s="26"/>
      <c r="BCU21" s="26"/>
      <c r="BCV21" s="26"/>
      <c r="BCW21" s="26"/>
      <c r="BCX21" s="26"/>
      <c r="BCY21" s="26"/>
      <c r="BCZ21" s="26"/>
      <c r="BDA21" s="26"/>
      <c r="BDB21" s="26"/>
      <c r="BDC21" s="26"/>
      <c r="BDD21" s="26"/>
      <c r="BDE21" s="26"/>
      <c r="BDF21" s="26"/>
      <c r="BDG21" s="26"/>
      <c r="BDH21" s="26"/>
      <c r="BDI21" s="26"/>
      <c r="BDJ21" s="26"/>
      <c r="BDK21" s="26"/>
      <c r="BDL21" s="26"/>
      <c r="BDM21" s="26"/>
      <c r="BDN21" s="26"/>
      <c r="BDO21" s="26"/>
      <c r="BDP21" s="26"/>
      <c r="BDQ21" s="26"/>
      <c r="BDR21" s="26"/>
      <c r="BDS21" s="26"/>
      <c r="BDT21" s="26"/>
      <c r="BDU21" s="26"/>
      <c r="BDV21" s="26"/>
      <c r="BDW21" s="26"/>
      <c r="BDX21" s="26"/>
      <c r="BDY21" s="26"/>
      <c r="BDZ21" s="26"/>
      <c r="BEA21" s="26"/>
      <c r="BEB21" s="26"/>
      <c r="BEC21" s="26"/>
      <c r="BED21" s="26"/>
      <c r="BEE21" s="26"/>
      <c r="BEF21" s="26"/>
      <c r="BEG21" s="26"/>
      <c r="BEH21" s="26"/>
      <c r="BEI21" s="26"/>
      <c r="BEJ21" s="26"/>
      <c r="BEK21" s="26"/>
      <c r="BEL21" s="26"/>
      <c r="BEM21" s="26"/>
      <c r="BEN21" s="26"/>
      <c r="BEO21" s="26"/>
      <c r="BEP21" s="26"/>
      <c r="BEQ21" s="26"/>
      <c r="BER21" s="26"/>
      <c r="BES21" s="26"/>
      <c r="BET21" s="26"/>
      <c r="BEU21" s="26"/>
      <c r="BEV21" s="26"/>
      <c r="BEW21" s="26"/>
      <c r="BEX21" s="26"/>
      <c r="BEY21" s="26"/>
      <c r="BEZ21" s="26"/>
      <c r="BFA21" s="26"/>
      <c r="BFB21" s="26"/>
      <c r="BFC21" s="26"/>
      <c r="BFD21" s="26"/>
      <c r="BFE21" s="26"/>
      <c r="BFF21" s="26"/>
      <c r="BFG21" s="26"/>
      <c r="BFH21" s="26"/>
      <c r="BFI21" s="26"/>
      <c r="BFJ21" s="26"/>
      <c r="BFK21" s="26"/>
      <c r="BFL21" s="26"/>
      <c r="BFM21" s="26"/>
      <c r="BFN21" s="26"/>
      <c r="BFO21" s="26"/>
      <c r="BFP21" s="26"/>
      <c r="BFQ21" s="26"/>
      <c r="BFR21" s="26"/>
      <c r="BFS21" s="26"/>
      <c r="BFT21" s="26"/>
      <c r="BFU21" s="26"/>
      <c r="BFV21" s="26"/>
      <c r="BFW21" s="26"/>
      <c r="BFX21" s="26"/>
      <c r="BFY21" s="26"/>
      <c r="BFZ21" s="26"/>
      <c r="BGA21" s="26"/>
      <c r="BGB21" s="26"/>
      <c r="BGC21" s="26"/>
      <c r="BGD21" s="26"/>
      <c r="BGE21" s="26"/>
      <c r="BGF21" s="26"/>
      <c r="BGG21" s="26"/>
      <c r="BGH21" s="26"/>
      <c r="BGI21" s="26"/>
      <c r="BGJ21" s="26"/>
      <c r="BGK21" s="26"/>
      <c r="BGL21" s="26"/>
      <c r="BGM21" s="26"/>
      <c r="BGN21" s="26"/>
      <c r="BGO21" s="26"/>
      <c r="BGP21" s="26"/>
      <c r="BGQ21" s="26"/>
      <c r="BGR21" s="26"/>
      <c r="BGS21" s="26"/>
      <c r="BGT21" s="26"/>
      <c r="BGU21" s="26"/>
      <c r="BGV21" s="26"/>
      <c r="BGW21" s="26"/>
      <c r="BGX21" s="26"/>
      <c r="BGY21" s="26"/>
      <c r="BGZ21" s="26"/>
      <c r="BHA21" s="26"/>
      <c r="BHB21" s="26"/>
      <c r="BHC21" s="26"/>
      <c r="BHD21" s="26"/>
      <c r="BHE21" s="26"/>
      <c r="BHF21" s="26"/>
      <c r="BHG21" s="26"/>
      <c r="BHH21" s="26"/>
      <c r="BHI21" s="26"/>
      <c r="BHJ21" s="26"/>
      <c r="BHK21" s="26"/>
      <c r="BHL21" s="26"/>
      <c r="BHM21" s="26"/>
      <c r="BHN21" s="26"/>
      <c r="BHO21" s="26"/>
      <c r="BHP21" s="26"/>
      <c r="BHQ21" s="26"/>
      <c r="BHR21" s="26"/>
      <c r="BHS21" s="26"/>
      <c r="BHT21" s="26"/>
      <c r="BHU21" s="26"/>
      <c r="BHV21" s="26"/>
      <c r="BHW21" s="26"/>
      <c r="BHX21" s="26"/>
      <c r="BHY21" s="26"/>
      <c r="BHZ21" s="26"/>
      <c r="BIA21" s="26"/>
      <c r="BIB21" s="26"/>
      <c r="BIC21" s="26"/>
      <c r="BID21" s="26"/>
      <c r="BIE21" s="26"/>
      <c r="BIF21" s="26"/>
      <c r="BIG21" s="26"/>
      <c r="BIH21" s="26"/>
      <c r="BII21" s="26"/>
      <c r="BIJ21" s="26"/>
      <c r="BIK21" s="26"/>
      <c r="BIL21" s="26"/>
      <c r="BIM21" s="26"/>
      <c r="BIN21" s="26"/>
      <c r="BIO21" s="26"/>
      <c r="BIP21" s="26"/>
      <c r="BIQ21" s="26"/>
      <c r="BIR21" s="26"/>
      <c r="BIS21" s="26"/>
      <c r="BIT21" s="26"/>
      <c r="BIU21" s="26"/>
      <c r="BIV21" s="26"/>
      <c r="BIW21" s="26"/>
      <c r="BIX21" s="26"/>
      <c r="BIY21" s="26"/>
      <c r="BIZ21" s="26"/>
      <c r="BJA21" s="26"/>
      <c r="BJB21" s="26"/>
      <c r="BJC21" s="26"/>
      <c r="BJD21" s="26"/>
      <c r="BJE21" s="26"/>
      <c r="BJF21" s="26"/>
      <c r="BJG21" s="26"/>
      <c r="BJH21" s="26"/>
      <c r="BJI21" s="26"/>
      <c r="BJJ21" s="26"/>
      <c r="BJK21" s="26"/>
      <c r="BJL21" s="26"/>
      <c r="BJM21" s="26"/>
      <c r="BJN21" s="26"/>
      <c r="BJO21" s="26"/>
      <c r="BJP21" s="26"/>
      <c r="BJQ21" s="26"/>
      <c r="BJR21" s="26"/>
      <c r="BJS21" s="26"/>
      <c r="BJT21" s="26"/>
      <c r="BJU21" s="26"/>
      <c r="BJV21" s="26"/>
      <c r="BJW21" s="26"/>
      <c r="BJX21" s="26"/>
      <c r="BJY21" s="26"/>
      <c r="BJZ21" s="26"/>
      <c r="BKA21" s="26"/>
      <c r="BKB21" s="26"/>
      <c r="BKC21" s="26"/>
      <c r="BKD21" s="26"/>
      <c r="BKE21" s="26"/>
      <c r="BKF21" s="26"/>
      <c r="BKG21" s="26"/>
      <c r="BKH21" s="26"/>
      <c r="BKI21" s="26"/>
      <c r="BKJ21" s="26"/>
      <c r="BKK21" s="26"/>
      <c r="BKL21" s="26"/>
      <c r="BKM21" s="26"/>
      <c r="BKN21" s="26"/>
      <c r="BKO21" s="26"/>
      <c r="BKP21" s="26"/>
      <c r="BKQ21" s="26"/>
      <c r="BKR21" s="26"/>
      <c r="BKS21" s="26"/>
      <c r="BKT21" s="26"/>
      <c r="BKU21" s="26"/>
      <c r="BKV21" s="26"/>
      <c r="BKW21" s="26"/>
      <c r="BKX21" s="26"/>
      <c r="BKY21" s="26"/>
      <c r="BKZ21" s="26"/>
      <c r="BLA21" s="26"/>
      <c r="BLB21" s="26"/>
      <c r="BLC21" s="26"/>
      <c r="BLD21" s="26"/>
      <c r="BLE21" s="26"/>
      <c r="BLF21" s="26"/>
      <c r="BLG21" s="26"/>
      <c r="BLH21" s="26"/>
      <c r="BLI21" s="26"/>
      <c r="BLJ21" s="26"/>
      <c r="BLK21" s="26"/>
      <c r="BLL21" s="26"/>
      <c r="BLM21" s="26"/>
      <c r="BLN21" s="26"/>
      <c r="BLO21" s="26"/>
      <c r="BLP21" s="26"/>
      <c r="BLQ21" s="26"/>
      <c r="BLR21" s="26"/>
      <c r="BLS21" s="26"/>
      <c r="BLT21" s="26"/>
      <c r="BLU21" s="26"/>
      <c r="BLV21" s="26"/>
      <c r="BLW21" s="26"/>
      <c r="BLX21" s="26"/>
      <c r="BLY21" s="26"/>
      <c r="BLZ21" s="26"/>
      <c r="BMA21" s="26"/>
      <c r="BMB21" s="26"/>
      <c r="BMC21" s="26"/>
      <c r="BMD21" s="26"/>
      <c r="BME21" s="26"/>
      <c r="BMF21" s="26"/>
      <c r="BMG21" s="26"/>
      <c r="BMH21" s="26"/>
      <c r="BMI21" s="26"/>
      <c r="BMJ21" s="26"/>
      <c r="BMK21" s="26"/>
      <c r="BML21" s="26"/>
      <c r="BMM21" s="26"/>
      <c r="BMN21" s="26"/>
      <c r="BMO21" s="26"/>
      <c r="BMP21" s="26"/>
      <c r="BMQ21" s="26"/>
      <c r="BMR21" s="26"/>
      <c r="BMS21" s="26"/>
      <c r="BMT21" s="26"/>
      <c r="BMU21" s="26"/>
      <c r="BMV21" s="26"/>
      <c r="BMW21" s="26"/>
      <c r="BMX21" s="26"/>
      <c r="BMY21" s="26"/>
      <c r="BMZ21" s="26"/>
      <c r="BNA21" s="26"/>
      <c r="BNB21" s="26"/>
      <c r="BNC21" s="26"/>
      <c r="BND21" s="26"/>
      <c r="BNE21" s="26"/>
      <c r="BNF21" s="26"/>
      <c r="BNG21" s="26"/>
      <c r="BNH21" s="26"/>
      <c r="BNI21" s="26"/>
      <c r="BNJ21" s="26"/>
      <c r="BNK21" s="26"/>
      <c r="BNL21" s="26"/>
      <c r="BNM21" s="26"/>
      <c r="BNN21" s="26"/>
      <c r="BNO21" s="26"/>
      <c r="BNP21" s="26"/>
      <c r="BNQ21" s="26"/>
      <c r="BNR21" s="26"/>
      <c r="BNS21" s="26"/>
      <c r="BNT21" s="26"/>
      <c r="BNU21" s="26"/>
      <c r="BNV21" s="26"/>
      <c r="BNW21" s="26"/>
      <c r="BNX21" s="26"/>
      <c r="BNY21" s="26"/>
      <c r="BNZ21" s="26"/>
      <c r="BOA21" s="26"/>
      <c r="BOB21" s="26"/>
      <c r="BOC21" s="26"/>
      <c r="BOD21" s="26"/>
      <c r="BOE21" s="26"/>
      <c r="BOF21" s="26"/>
      <c r="BOG21" s="26"/>
      <c r="BOH21" s="26"/>
      <c r="BOI21" s="26"/>
      <c r="BOJ21" s="26"/>
      <c r="BOK21" s="26"/>
      <c r="BOL21" s="26"/>
      <c r="BOM21" s="26"/>
      <c r="BON21" s="26"/>
      <c r="BOO21" s="26"/>
      <c r="BOP21" s="26"/>
      <c r="BOQ21" s="26"/>
      <c r="BOR21" s="26"/>
      <c r="BOS21" s="26"/>
      <c r="BOT21" s="26"/>
      <c r="BOU21" s="26"/>
      <c r="BOV21" s="26"/>
      <c r="BOW21" s="26"/>
      <c r="BOX21" s="26"/>
      <c r="BOY21" s="26"/>
      <c r="BOZ21" s="26"/>
      <c r="BPA21" s="26"/>
      <c r="BPB21" s="26"/>
      <c r="BPC21" s="26"/>
      <c r="BPD21" s="26"/>
      <c r="BPE21" s="26"/>
      <c r="BPF21" s="26"/>
      <c r="BPG21" s="26"/>
      <c r="BPH21" s="26"/>
      <c r="BPI21" s="26"/>
      <c r="BPJ21" s="26"/>
      <c r="BPK21" s="26"/>
      <c r="BPL21" s="26"/>
      <c r="BPM21" s="26"/>
      <c r="BPN21" s="26"/>
      <c r="BPO21" s="26"/>
      <c r="BPP21" s="26"/>
      <c r="BPQ21" s="26"/>
      <c r="BPR21" s="26"/>
      <c r="BPS21" s="26"/>
      <c r="BPT21" s="26"/>
      <c r="BPU21" s="26"/>
      <c r="BPV21" s="26"/>
      <c r="BPW21" s="26"/>
      <c r="BPX21" s="26"/>
      <c r="BPY21" s="26"/>
      <c r="BPZ21" s="26"/>
      <c r="BQA21" s="26"/>
      <c r="BQB21" s="26"/>
      <c r="BQC21" s="26"/>
      <c r="BQD21" s="26"/>
      <c r="BQE21" s="26"/>
      <c r="BQF21" s="26"/>
      <c r="BQG21" s="26"/>
      <c r="BQH21" s="26"/>
      <c r="BQI21" s="26"/>
      <c r="BQJ21" s="26"/>
      <c r="BQK21" s="26"/>
      <c r="BQL21" s="26"/>
      <c r="BQM21" s="26"/>
      <c r="BQN21" s="26"/>
      <c r="BQO21" s="26"/>
      <c r="BQP21" s="26"/>
      <c r="BQQ21" s="26"/>
      <c r="BQR21" s="26"/>
      <c r="BQS21" s="26"/>
      <c r="BQT21" s="26"/>
      <c r="BQU21" s="26"/>
      <c r="BQV21" s="26"/>
      <c r="BQW21" s="26"/>
      <c r="BQX21" s="26"/>
      <c r="BQY21" s="26"/>
      <c r="BQZ21" s="26"/>
      <c r="BRA21" s="26"/>
      <c r="BRB21" s="26"/>
      <c r="BRC21" s="26"/>
      <c r="BRD21" s="26"/>
      <c r="BRE21" s="26"/>
      <c r="BRF21" s="26"/>
      <c r="BRG21" s="26"/>
      <c r="BRH21" s="26"/>
      <c r="BRI21" s="26"/>
      <c r="BRJ21" s="26"/>
      <c r="BRK21" s="26"/>
      <c r="BRL21" s="26"/>
      <c r="BRM21" s="26"/>
      <c r="BRN21" s="26"/>
      <c r="BRO21" s="26"/>
      <c r="BRP21" s="26"/>
      <c r="BRQ21" s="26"/>
      <c r="BRR21" s="26"/>
      <c r="BRS21" s="26"/>
      <c r="BRT21" s="26"/>
      <c r="BRU21" s="26"/>
      <c r="BRV21" s="26"/>
      <c r="BRW21" s="26"/>
      <c r="BRX21" s="26"/>
      <c r="BRY21" s="26"/>
      <c r="BRZ21" s="26"/>
      <c r="BSA21" s="26"/>
      <c r="BSB21" s="26"/>
      <c r="BSC21" s="26"/>
      <c r="BSD21" s="26"/>
      <c r="BSE21" s="26"/>
      <c r="BSF21" s="26"/>
      <c r="BSG21" s="26"/>
      <c r="BSH21" s="26"/>
      <c r="BSI21" s="26"/>
      <c r="BSJ21" s="26"/>
      <c r="BSK21" s="26"/>
      <c r="BSL21" s="26"/>
      <c r="BSM21" s="26"/>
      <c r="BSN21" s="26"/>
      <c r="BSO21" s="26"/>
      <c r="BSP21" s="26"/>
      <c r="BSQ21" s="26"/>
      <c r="BSR21" s="26"/>
      <c r="BSS21" s="26"/>
      <c r="BST21" s="26"/>
      <c r="BSU21" s="26"/>
      <c r="BSV21" s="26"/>
      <c r="BSW21" s="26"/>
      <c r="BSX21" s="26"/>
      <c r="BSY21" s="26"/>
      <c r="BSZ21" s="26"/>
      <c r="BTA21" s="26"/>
      <c r="BTB21" s="26"/>
      <c r="BTC21" s="26"/>
      <c r="BTD21" s="26"/>
      <c r="BTE21" s="26"/>
      <c r="BTF21" s="26"/>
      <c r="BTG21" s="26"/>
      <c r="BTH21" s="26"/>
      <c r="BTI21" s="26"/>
      <c r="BTJ21" s="26"/>
      <c r="BTK21" s="26"/>
      <c r="BTL21" s="26"/>
      <c r="BTM21" s="26"/>
      <c r="BTN21" s="26"/>
      <c r="BTO21" s="26"/>
      <c r="BTP21" s="26"/>
      <c r="BTQ21" s="26"/>
      <c r="BTR21" s="26"/>
      <c r="BTS21" s="26"/>
      <c r="BTT21" s="26"/>
      <c r="BTU21" s="26"/>
      <c r="BTV21" s="26"/>
      <c r="BTW21" s="26"/>
      <c r="BTX21" s="26"/>
      <c r="BTY21" s="26"/>
      <c r="BTZ21" s="26"/>
      <c r="BUA21" s="26"/>
      <c r="BUB21" s="26"/>
      <c r="BUC21" s="26"/>
      <c r="BUD21" s="26"/>
      <c r="BUE21" s="26"/>
      <c r="BUF21" s="26"/>
      <c r="BUG21" s="26"/>
      <c r="BUH21" s="26"/>
      <c r="BUI21" s="26"/>
      <c r="BUJ21" s="26"/>
      <c r="BUK21" s="26"/>
      <c r="BUL21" s="26"/>
      <c r="BUM21" s="26"/>
      <c r="BUN21" s="26"/>
      <c r="BUO21" s="26"/>
      <c r="BUP21" s="26"/>
      <c r="BUQ21" s="26"/>
      <c r="BUR21" s="26"/>
      <c r="BUS21" s="26"/>
      <c r="BUT21" s="26"/>
      <c r="BUU21" s="26"/>
      <c r="BUV21" s="26"/>
      <c r="BUW21" s="26"/>
      <c r="BUX21" s="26"/>
      <c r="BUY21" s="26"/>
      <c r="BUZ21" s="26"/>
      <c r="BVA21" s="26"/>
      <c r="BVB21" s="26"/>
      <c r="BVC21" s="26"/>
      <c r="BVD21" s="26"/>
      <c r="BVE21" s="26"/>
      <c r="BVF21" s="26"/>
      <c r="BVG21" s="26"/>
      <c r="BVH21" s="26"/>
      <c r="BVI21" s="26"/>
      <c r="BVJ21" s="26"/>
      <c r="BVK21" s="26"/>
      <c r="BVL21" s="26"/>
      <c r="BVM21" s="26"/>
      <c r="BVN21" s="26"/>
      <c r="BVO21" s="26"/>
      <c r="BVP21" s="26"/>
      <c r="BVQ21" s="26"/>
      <c r="BVR21" s="26"/>
      <c r="BVS21" s="26"/>
      <c r="BVT21" s="26"/>
      <c r="BVU21" s="26"/>
      <c r="BVV21" s="26"/>
      <c r="BVW21" s="26"/>
      <c r="BVX21" s="26"/>
      <c r="BVY21" s="26"/>
      <c r="BVZ21" s="26"/>
      <c r="BWA21" s="26"/>
      <c r="BWB21" s="26"/>
      <c r="BWC21" s="26"/>
      <c r="BWD21" s="26"/>
      <c r="BWE21" s="26"/>
      <c r="BWF21" s="26"/>
      <c r="BWG21" s="26"/>
      <c r="BWH21" s="26"/>
      <c r="BWI21" s="26"/>
      <c r="BWJ21" s="26"/>
      <c r="BWK21" s="26"/>
      <c r="BWL21" s="26"/>
      <c r="BWM21" s="26"/>
      <c r="BWN21" s="26"/>
      <c r="BWO21" s="26"/>
      <c r="BWP21" s="26"/>
      <c r="BWQ21" s="26"/>
      <c r="BWR21" s="26"/>
      <c r="BWS21" s="26"/>
      <c r="BWT21" s="26"/>
      <c r="BWU21" s="26"/>
      <c r="BWV21" s="26"/>
      <c r="BWW21" s="26"/>
      <c r="BWX21" s="26"/>
      <c r="BWY21" s="26"/>
      <c r="BWZ21" s="26"/>
      <c r="BXA21" s="26"/>
      <c r="BXB21" s="26"/>
      <c r="BXC21" s="26"/>
      <c r="BXD21" s="26"/>
      <c r="BXE21" s="26"/>
      <c r="BXF21" s="26"/>
      <c r="BXG21" s="26"/>
      <c r="BXH21" s="26"/>
      <c r="BXI21" s="26"/>
      <c r="BXJ21" s="26"/>
      <c r="BXK21" s="26"/>
      <c r="BXL21" s="26"/>
      <c r="BXM21" s="26"/>
      <c r="BXN21" s="26"/>
      <c r="BXO21" s="26"/>
      <c r="BXP21" s="26"/>
      <c r="BXQ21" s="26"/>
      <c r="BXR21" s="26"/>
      <c r="BXS21" s="26"/>
      <c r="BXT21" s="26"/>
      <c r="BXU21" s="26"/>
      <c r="BXV21" s="26"/>
      <c r="BXW21" s="26"/>
      <c r="BXX21" s="26"/>
      <c r="BXY21" s="26"/>
      <c r="BXZ21" s="26"/>
      <c r="BYA21" s="26"/>
      <c r="BYB21" s="26"/>
      <c r="BYC21" s="26"/>
      <c r="BYD21" s="26"/>
      <c r="BYE21" s="26"/>
      <c r="BYF21" s="26"/>
      <c r="BYG21" s="26"/>
      <c r="BYH21" s="26"/>
      <c r="BYI21" s="26"/>
      <c r="BYJ21" s="26"/>
      <c r="BYK21" s="26"/>
      <c r="BYL21" s="26"/>
      <c r="BYM21" s="26"/>
      <c r="BYN21" s="26"/>
      <c r="BYO21" s="26"/>
      <c r="BYP21" s="26"/>
      <c r="BYQ21" s="26"/>
      <c r="BYR21" s="26"/>
      <c r="BYS21" s="26"/>
      <c r="BYT21" s="26"/>
      <c r="BYU21" s="26"/>
      <c r="BYV21" s="26"/>
      <c r="BYW21" s="26"/>
      <c r="BYX21" s="26"/>
      <c r="BYY21" s="26"/>
      <c r="BYZ21" s="26"/>
      <c r="BZA21" s="26"/>
      <c r="BZB21" s="26"/>
      <c r="BZC21" s="26"/>
      <c r="BZD21" s="26"/>
      <c r="BZE21" s="26"/>
      <c r="BZF21" s="26"/>
      <c r="BZG21" s="26"/>
      <c r="BZH21" s="26"/>
      <c r="BZI21" s="26"/>
      <c r="BZJ21" s="26"/>
      <c r="BZK21" s="26"/>
      <c r="BZL21" s="26"/>
      <c r="BZM21" s="26"/>
      <c r="BZN21" s="26"/>
      <c r="BZO21" s="26"/>
      <c r="BZP21" s="26"/>
      <c r="BZQ21" s="26"/>
      <c r="BZR21" s="26"/>
      <c r="BZS21" s="26"/>
      <c r="BZT21" s="26"/>
      <c r="BZU21" s="26"/>
      <c r="BZV21" s="26"/>
      <c r="BZW21" s="26"/>
      <c r="BZX21" s="26"/>
      <c r="BZY21" s="26"/>
      <c r="BZZ21" s="26"/>
      <c r="CAA21" s="26"/>
      <c r="CAB21" s="26"/>
      <c r="CAC21" s="26"/>
      <c r="CAD21" s="26"/>
      <c r="CAE21" s="26"/>
      <c r="CAF21" s="26"/>
      <c r="CAG21" s="26"/>
      <c r="CAH21" s="26"/>
      <c r="CAI21" s="26"/>
      <c r="CAJ21" s="26"/>
      <c r="CAK21" s="26"/>
      <c r="CAL21" s="26"/>
      <c r="CAM21" s="26"/>
      <c r="CAN21" s="26"/>
      <c r="CAO21" s="26"/>
      <c r="CAP21" s="26"/>
      <c r="CAQ21" s="26"/>
      <c r="CAR21" s="26"/>
      <c r="CAS21" s="26"/>
      <c r="CAT21" s="26"/>
      <c r="CAU21" s="26"/>
      <c r="CAV21" s="26"/>
      <c r="CAW21" s="26"/>
      <c r="CAX21" s="26"/>
      <c r="CAY21" s="26"/>
      <c r="CAZ21" s="26"/>
      <c r="CBA21" s="26"/>
      <c r="CBB21" s="26"/>
      <c r="CBC21" s="26"/>
      <c r="CBD21" s="26"/>
      <c r="CBE21" s="26"/>
      <c r="CBF21" s="26"/>
      <c r="CBG21" s="26"/>
      <c r="CBH21" s="26"/>
      <c r="CBI21" s="26"/>
    </row>
    <row r="22" spans="1:2089" ht="14" customHeight="1">
      <c r="A22" s="27">
        <f t="shared" si="0"/>
        <v>21</v>
      </c>
      <c r="B22" s="27" t="s">
        <v>284</v>
      </c>
      <c r="C22" s="27">
        <v>2005</v>
      </c>
      <c r="D22" s="26" t="s">
        <v>27</v>
      </c>
      <c r="E22" s="26" t="s">
        <v>563</v>
      </c>
      <c r="F22" s="77" t="s">
        <v>175</v>
      </c>
      <c r="G22" s="2" t="s">
        <v>84</v>
      </c>
      <c r="H22" s="2" t="s">
        <v>24</v>
      </c>
      <c r="I22" s="2" t="s">
        <v>175</v>
      </c>
      <c r="J22" s="2" t="s">
        <v>604</v>
      </c>
      <c r="K22" s="2" t="s">
        <v>175</v>
      </c>
      <c r="L22" s="2" t="s">
        <v>175</v>
      </c>
      <c r="M22" s="2" t="s">
        <v>175</v>
      </c>
      <c r="N22" s="2" t="s">
        <v>70</v>
      </c>
      <c r="O22" s="2" t="s">
        <v>209</v>
      </c>
      <c r="P22" s="2" t="s">
        <v>612</v>
      </c>
      <c r="Q22" s="2" t="s">
        <v>42</v>
      </c>
      <c r="R22" s="79" t="s">
        <v>613</v>
      </c>
      <c r="S22" s="89">
        <f>33/T22</f>
        <v>0.91666666666666663</v>
      </c>
      <c r="T22" s="26">
        <v>36</v>
      </c>
      <c r="U22" s="77">
        <v>1</v>
      </c>
      <c r="V22" s="26">
        <v>1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f>1-S22</f>
        <v>8.333333333333337E-2</v>
      </c>
      <c r="AD22" s="26">
        <v>0.09</v>
      </c>
      <c r="AE22" s="26">
        <f>1-AF22-AC22-AD22</f>
        <v>0.10666666666666666</v>
      </c>
      <c r="AF22" s="26">
        <v>0.72</v>
      </c>
      <c r="AG22" s="26">
        <v>1998</v>
      </c>
      <c r="AH22" s="26" t="s">
        <v>70</v>
      </c>
      <c r="AI22" s="26">
        <v>820</v>
      </c>
      <c r="AJ22" s="26" t="s">
        <v>237</v>
      </c>
      <c r="AK22" s="26" t="s">
        <v>70</v>
      </c>
      <c r="AL22" s="26" t="s">
        <v>70</v>
      </c>
      <c r="AM22" s="35" t="s">
        <v>175</v>
      </c>
      <c r="AN22" s="32" t="s">
        <v>9</v>
      </c>
      <c r="AO22" s="35" t="s">
        <v>548</v>
      </c>
      <c r="AP22" s="35" t="s">
        <v>175</v>
      </c>
      <c r="AQ22" s="35" t="s">
        <v>548</v>
      </c>
      <c r="AR22" s="35" t="s">
        <v>548</v>
      </c>
      <c r="AS22" s="26" t="s">
        <v>175</v>
      </c>
      <c r="AT22" s="26" t="s">
        <v>175</v>
      </c>
      <c r="AU22" s="40" t="s">
        <v>548</v>
      </c>
      <c r="AV22" s="26">
        <v>8</v>
      </c>
    </row>
    <row r="23" spans="1:2089" ht="14" customHeight="1">
      <c r="A23" s="27">
        <f t="shared" si="0"/>
        <v>22</v>
      </c>
      <c r="B23" s="27" t="s">
        <v>284</v>
      </c>
      <c r="C23" s="27">
        <v>2005</v>
      </c>
      <c r="D23" s="26" t="s">
        <v>27</v>
      </c>
      <c r="E23" s="26" t="s">
        <v>563</v>
      </c>
      <c r="F23" s="77" t="s">
        <v>175</v>
      </c>
      <c r="G23" s="2" t="s">
        <v>84</v>
      </c>
      <c r="H23" s="2" t="s">
        <v>24</v>
      </c>
      <c r="I23" s="2" t="s">
        <v>175</v>
      </c>
      <c r="J23" s="2" t="s">
        <v>604</v>
      </c>
      <c r="K23" s="2" t="s">
        <v>175</v>
      </c>
      <c r="L23" s="2" t="s">
        <v>175</v>
      </c>
      <c r="M23" s="2" t="s">
        <v>175</v>
      </c>
      <c r="N23" s="2" t="s">
        <v>608</v>
      </c>
      <c r="O23" s="2" t="s">
        <v>43</v>
      </c>
      <c r="P23" s="2" t="s">
        <v>608</v>
      </c>
      <c r="Q23" s="2" t="s">
        <v>42</v>
      </c>
      <c r="R23" s="79" t="s">
        <v>613</v>
      </c>
      <c r="S23" s="89">
        <f>18/42</f>
        <v>0.42857142857142855</v>
      </c>
      <c r="T23" s="26">
        <v>42</v>
      </c>
      <c r="U23" s="77">
        <v>1</v>
      </c>
      <c r="V23" s="26">
        <v>1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f>1-S23</f>
        <v>0.5714285714285714</v>
      </c>
      <c r="AD23" s="26">
        <v>7.0000000000000007E-2</v>
      </c>
      <c r="AE23" s="26">
        <f>1-AF23-AC23-AD23</f>
        <v>0.25857142857142862</v>
      </c>
      <c r="AF23" s="26">
        <v>0.1</v>
      </c>
      <c r="AG23" s="26">
        <v>44</v>
      </c>
      <c r="AH23" s="26" t="s">
        <v>70</v>
      </c>
      <c r="AI23" s="26">
        <v>0</v>
      </c>
      <c r="AJ23" s="26" t="s">
        <v>238</v>
      </c>
      <c r="AK23" s="26" t="s">
        <v>70</v>
      </c>
      <c r="AL23" s="26" t="s">
        <v>70</v>
      </c>
      <c r="AM23" s="35" t="s">
        <v>175</v>
      </c>
      <c r="AN23" s="32" t="s">
        <v>9</v>
      </c>
      <c r="AO23" s="35" t="s">
        <v>548</v>
      </c>
      <c r="AP23" s="35" t="s">
        <v>175</v>
      </c>
      <c r="AQ23" s="35" t="s">
        <v>548</v>
      </c>
      <c r="AR23" s="35" t="s">
        <v>548</v>
      </c>
      <c r="AS23" s="26" t="s">
        <v>175</v>
      </c>
      <c r="AT23" s="26" t="s">
        <v>175</v>
      </c>
      <c r="AU23" s="40" t="s">
        <v>548</v>
      </c>
      <c r="AV23" s="26">
        <v>8</v>
      </c>
    </row>
    <row r="24" spans="1:2089" ht="14" customHeight="1">
      <c r="A24" s="27">
        <f t="shared" si="0"/>
        <v>23</v>
      </c>
      <c r="B24" s="27" t="s">
        <v>284</v>
      </c>
      <c r="C24" s="28">
        <v>2012</v>
      </c>
      <c r="D24" s="26" t="s">
        <v>49</v>
      </c>
      <c r="E24" s="26" t="s">
        <v>566</v>
      </c>
      <c r="F24" s="2" t="s">
        <v>175</v>
      </c>
      <c r="G24" s="2" t="s">
        <v>84</v>
      </c>
      <c r="H24" s="2" t="s">
        <v>24</v>
      </c>
      <c r="I24" s="2" t="s">
        <v>548</v>
      </c>
      <c r="J24" s="2" t="s">
        <v>604</v>
      </c>
      <c r="K24" s="2" t="s">
        <v>548</v>
      </c>
      <c r="L24" s="2" t="s">
        <v>548</v>
      </c>
      <c r="M24" s="2" t="s">
        <v>175</v>
      </c>
      <c r="N24" s="2" t="s">
        <v>70</v>
      </c>
      <c r="O24" s="2" t="s">
        <v>209</v>
      </c>
      <c r="P24" s="2" t="s">
        <v>611</v>
      </c>
      <c r="Q24" s="2" t="s">
        <v>42</v>
      </c>
      <c r="R24" s="79" t="s">
        <v>613</v>
      </c>
      <c r="S24" s="88">
        <v>0.8</v>
      </c>
      <c r="T24" s="61">
        <v>95</v>
      </c>
      <c r="U24" s="2">
        <v>1</v>
      </c>
      <c r="V24" s="26">
        <v>0</v>
      </c>
      <c r="W24" s="26">
        <v>1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f>19/95</f>
        <v>0.2</v>
      </c>
      <c r="AD24" s="26">
        <f>6/95</f>
        <v>6.3157894736842107E-2</v>
      </c>
      <c r="AE24" s="26">
        <f>44/95</f>
        <v>0.4631578947368421</v>
      </c>
      <c r="AF24" s="26">
        <f>26/95</f>
        <v>0.27368421052631581</v>
      </c>
      <c r="AG24" s="33" t="s">
        <v>70</v>
      </c>
      <c r="AH24" s="33" t="s">
        <v>70</v>
      </c>
      <c r="AI24" s="33" t="s">
        <v>70</v>
      </c>
      <c r="AJ24" s="26" t="s">
        <v>262</v>
      </c>
      <c r="AK24" s="33" t="s">
        <v>70</v>
      </c>
      <c r="AL24" s="33" t="s">
        <v>70</v>
      </c>
      <c r="AM24" s="61" t="s">
        <v>175</v>
      </c>
      <c r="AN24" s="26" t="s">
        <v>274</v>
      </c>
      <c r="AO24" s="26" t="s">
        <v>548</v>
      </c>
      <c r="AP24" s="26" t="s">
        <v>548</v>
      </c>
      <c r="AQ24" s="26" t="s">
        <v>548</v>
      </c>
      <c r="AR24" s="26" t="s">
        <v>548</v>
      </c>
      <c r="AS24" s="26" t="s">
        <v>175</v>
      </c>
      <c r="AT24" s="26" t="s">
        <v>70</v>
      </c>
      <c r="AU24" s="26" t="s">
        <v>70</v>
      </c>
      <c r="AV24" s="26">
        <v>5</v>
      </c>
    </row>
    <row r="25" spans="1:2089" ht="14" customHeight="1">
      <c r="A25" s="27">
        <f t="shared" si="0"/>
        <v>24</v>
      </c>
      <c r="B25" s="27" t="s">
        <v>284</v>
      </c>
      <c r="C25" s="27">
        <v>2012</v>
      </c>
      <c r="D25" s="26" t="s">
        <v>49</v>
      </c>
      <c r="E25" s="26" t="s">
        <v>566</v>
      </c>
      <c r="F25" s="77" t="s">
        <v>175</v>
      </c>
      <c r="G25" s="2" t="s">
        <v>84</v>
      </c>
      <c r="H25" s="2" t="s">
        <v>30</v>
      </c>
      <c r="I25" s="2" t="s">
        <v>548</v>
      </c>
      <c r="J25" s="2" t="s">
        <v>604</v>
      </c>
      <c r="K25" s="2" t="s">
        <v>548</v>
      </c>
      <c r="L25" s="2" t="s">
        <v>548</v>
      </c>
      <c r="M25" s="2" t="s">
        <v>548</v>
      </c>
      <c r="N25" s="2" t="s">
        <v>210</v>
      </c>
      <c r="O25" s="2" t="s">
        <v>43</v>
      </c>
      <c r="P25" s="2" t="s">
        <v>210</v>
      </c>
      <c r="Q25" s="2" t="s">
        <v>42</v>
      </c>
      <c r="R25" s="102" t="s">
        <v>614</v>
      </c>
      <c r="S25" s="2">
        <f>7/(42+23)</f>
        <v>0.1076923076923077</v>
      </c>
      <c r="T25" s="26">
        <v>65</v>
      </c>
      <c r="U25" s="77">
        <v>1</v>
      </c>
      <c r="V25" s="26">
        <v>0</v>
      </c>
      <c r="W25" s="26">
        <v>1</v>
      </c>
      <c r="X25" s="26">
        <v>1</v>
      </c>
      <c r="Y25" s="26">
        <v>1</v>
      </c>
      <c r="Z25" s="26">
        <v>0</v>
      </c>
      <c r="AA25" s="26">
        <v>0</v>
      </c>
      <c r="AB25" s="26">
        <v>0</v>
      </c>
      <c r="AC25" s="26" t="s">
        <v>70</v>
      </c>
      <c r="AD25" s="26" t="s">
        <v>70</v>
      </c>
      <c r="AE25" s="26" t="s">
        <v>70</v>
      </c>
      <c r="AF25" s="26" t="s">
        <v>70</v>
      </c>
      <c r="AG25" s="26" t="s">
        <v>70</v>
      </c>
      <c r="AH25" s="26" t="s">
        <v>70</v>
      </c>
      <c r="AI25" s="26" t="s">
        <v>70</v>
      </c>
      <c r="AJ25" s="26" t="s">
        <v>70</v>
      </c>
      <c r="AK25" s="26" t="s">
        <v>70</v>
      </c>
      <c r="AL25" s="26" t="s">
        <v>70</v>
      </c>
      <c r="AM25" s="35" t="s">
        <v>175</v>
      </c>
      <c r="AN25" s="26" t="s">
        <v>274</v>
      </c>
      <c r="AO25" s="35" t="s">
        <v>548</v>
      </c>
      <c r="AP25" s="35" t="s">
        <v>548</v>
      </c>
      <c r="AQ25" s="35" t="s">
        <v>548</v>
      </c>
      <c r="AR25" s="35" t="s">
        <v>548</v>
      </c>
      <c r="AS25" s="26" t="s">
        <v>175</v>
      </c>
      <c r="AT25" s="26" t="s">
        <v>70</v>
      </c>
      <c r="AU25" s="26" t="s">
        <v>70</v>
      </c>
      <c r="AV25" s="26">
        <v>6</v>
      </c>
    </row>
    <row r="26" spans="1:2089" ht="14" customHeight="1">
      <c r="A26" s="27">
        <f t="shared" si="0"/>
        <v>25</v>
      </c>
      <c r="B26" s="27" t="s">
        <v>284</v>
      </c>
      <c r="C26" s="27">
        <v>2013</v>
      </c>
      <c r="D26" s="26" t="s">
        <v>27</v>
      </c>
      <c r="E26" s="26" t="s">
        <v>563</v>
      </c>
      <c r="F26" s="77" t="s">
        <v>175</v>
      </c>
      <c r="G26" s="2" t="s">
        <v>84</v>
      </c>
      <c r="H26" s="2" t="s">
        <v>30</v>
      </c>
      <c r="I26" s="2" t="s">
        <v>548</v>
      </c>
      <c r="J26" s="2" t="s">
        <v>604</v>
      </c>
      <c r="K26" s="2" t="s">
        <v>548</v>
      </c>
      <c r="L26" s="2" t="s">
        <v>548</v>
      </c>
      <c r="M26" s="2" t="s">
        <v>175</v>
      </c>
      <c r="N26" s="2" t="s">
        <v>48</v>
      </c>
      <c r="O26" s="2" t="s">
        <v>209</v>
      </c>
      <c r="P26" s="2" t="s">
        <v>48</v>
      </c>
      <c r="Q26" s="2" t="s">
        <v>42</v>
      </c>
      <c r="R26" s="102" t="s">
        <v>614</v>
      </c>
      <c r="S26" s="88">
        <v>0.41304347826086957</v>
      </c>
      <c r="T26" s="61">
        <v>46</v>
      </c>
      <c r="U26" s="77">
        <v>1</v>
      </c>
      <c r="V26" s="26">
        <v>1</v>
      </c>
      <c r="W26" s="26">
        <v>1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33">
        <v>0.58695652173913038</v>
      </c>
      <c r="AD26" s="33">
        <v>0.34782608695652178</v>
      </c>
      <c r="AE26" s="26">
        <f>3/46</f>
        <v>6.5217391304347824E-2</v>
      </c>
      <c r="AF26" s="26">
        <v>0</v>
      </c>
      <c r="AG26" s="33">
        <v>2.4159999999999999</v>
      </c>
      <c r="AH26" s="33" t="s">
        <v>70</v>
      </c>
      <c r="AI26" s="33" t="s">
        <v>70</v>
      </c>
      <c r="AJ26" s="26" t="s">
        <v>585</v>
      </c>
      <c r="AK26" s="33" t="s">
        <v>70</v>
      </c>
      <c r="AL26" s="33" t="s">
        <v>70</v>
      </c>
      <c r="AM26" s="61" t="s">
        <v>548</v>
      </c>
      <c r="AN26" s="26" t="s">
        <v>274</v>
      </c>
      <c r="AO26" s="26" t="s">
        <v>548</v>
      </c>
      <c r="AP26" s="26" t="s">
        <v>548</v>
      </c>
      <c r="AQ26" s="26" t="s">
        <v>548</v>
      </c>
      <c r="AR26" s="26" t="s">
        <v>548</v>
      </c>
      <c r="AS26" s="26" t="s">
        <v>175</v>
      </c>
      <c r="AT26" s="26" t="s">
        <v>70</v>
      </c>
      <c r="AU26" s="26" t="s">
        <v>70</v>
      </c>
      <c r="AV26" s="26">
        <v>5</v>
      </c>
    </row>
    <row r="27" spans="1:2089" s="65" customFormat="1" ht="14" customHeight="1">
      <c r="A27" s="27">
        <f t="shared" si="0"/>
        <v>26</v>
      </c>
      <c r="B27" s="27" t="s">
        <v>285</v>
      </c>
      <c r="C27" s="27">
        <v>2013</v>
      </c>
      <c r="D27" s="26" t="s">
        <v>240</v>
      </c>
      <c r="E27" s="26" t="s">
        <v>566</v>
      </c>
      <c r="F27" s="77" t="s">
        <v>175</v>
      </c>
      <c r="G27" s="2" t="s">
        <v>105</v>
      </c>
      <c r="H27" s="2" t="s">
        <v>30</v>
      </c>
      <c r="I27" s="2" t="s">
        <v>548</v>
      </c>
      <c r="J27" s="2" t="s">
        <v>604</v>
      </c>
      <c r="K27" s="2" t="s">
        <v>548</v>
      </c>
      <c r="L27" s="2" t="s">
        <v>548</v>
      </c>
      <c r="M27" s="2" t="s">
        <v>175</v>
      </c>
      <c r="N27" s="2" t="s">
        <v>70</v>
      </c>
      <c r="O27" s="2" t="s">
        <v>209</v>
      </c>
      <c r="P27" s="2" t="s">
        <v>612</v>
      </c>
      <c r="Q27" s="2" t="s">
        <v>42</v>
      </c>
      <c r="R27" s="79" t="s">
        <v>613</v>
      </c>
      <c r="S27" s="2">
        <v>1</v>
      </c>
      <c r="T27" s="26">
        <v>28</v>
      </c>
      <c r="U27" s="77">
        <v>1</v>
      </c>
      <c r="V27" s="26">
        <v>0</v>
      </c>
      <c r="W27" s="26">
        <v>1</v>
      </c>
      <c r="X27" s="26">
        <v>1</v>
      </c>
      <c r="Y27" s="26">
        <v>1</v>
      </c>
      <c r="Z27" s="26">
        <v>0</v>
      </c>
      <c r="AA27" s="26">
        <v>0</v>
      </c>
      <c r="AB27" s="26">
        <v>0</v>
      </c>
      <c r="AC27" s="26">
        <f>4/28</f>
        <v>0.14285714285714285</v>
      </c>
      <c r="AD27" s="26">
        <f>1/28</f>
        <v>3.5714285714285712E-2</v>
      </c>
      <c r="AE27" s="26">
        <f>5/28</f>
        <v>0.17857142857142858</v>
      </c>
      <c r="AF27" s="26">
        <f>18/28</f>
        <v>0.6428571428571429</v>
      </c>
      <c r="AG27" s="33">
        <v>305</v>
      </c>
      <c r="AH27" s="33">
        <v>75</v>
      </c>
      <c r="AI27" s="33">
        <v>127.5</v>
      </c>
      <c r="AJ27" s="26" t="s">
        <v>241</v>
      </c>
      <c r="AK27" s="33">
        <v>423.8</v>
      </c>
      <c r="AL27" s="33" t="s">
        <v>70</v>
      </c>
      <c r="AM27" s="35" t="s">
        <v>175</v>
      </c>
      <c r="AN27" s="26" t="s">
        <v>617</v>
      </c>
      <c r="AO27" s="35" t="s">
        <v>548</v>
      </c>
      <c r="AP27" s="35" t="s">
        <v>548</v>
      </c>
      <c r="AQ27" s="35" t="s">
        <v>548</v>
      </c>
      <c r="AR27" s="35" t="s">
        <v>548</v>
      </c>
      <c r="AS27" s="26" t="s">
        <v>175</v>
      </c>
      <c r="AT27" s="26" t="s">
        <v>70</v>
      </c>
      <c r="AU27" s="26" t="s">
        <v>70</v>
      </c>
      <c r="AV27" s="26">
        <v>7</v>
      </c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6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6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6"/>
      <c r="OG27" s="26"/>
      <c r="OH27" s="26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  <c r="PS27" s="26"/>
      <c r="PT27" s="26"/>
      <c r="PU27" s="26"/>
      <c r="PV27" s="26"/>
      <c r="PW27" s="26"/>
      <c r="PX27" s="26"/>
      <c r="PY27" s="26"/>
      <c r="PZ27" s="26"/>
      <c r="QA27" s="26"/>
      <c r="QB27" s="26"/>
      <c r="QC27" s="26"/>
      <c r="QD27" s="26"/>
      <c r="QE27" s="26"/>
      <c r="QF27" s="26"/>
      <c r="QG27" s="26"/>
      <c r="QH27" s="26"/>
      <c r="QI27" s="26"/>
      <c r="QJ27" s="26"/>
      <c r="QK27" s="26"/>
      <c r="QL27" s="26"/>
      <c r="QM27" s="26"/>
      <c r="QN27" s="26"/>
      <c r="QO27" s="26"/>
      <c r="QP27" s="26"/>
      <c r="QQ27" s="26"/>
      <c r="QR27" s="26"/>
      <c r="QS27" s="26"/>
      <c r="QT27" s="26"/>
      <c r="QU27" s="26"/>
      <c r="QV27" s="26"/>
      <c r="QW27" s="26"/>
      <c r="QX27" s="26"/>
      <c r="QY27" s="26"/>
      <c r="QZ27" s="26"/>
      <c r="RA27" s="26"/>
      <c r="RB27" s="26"/>
      <c r="RC27" s="26"/>
      <c r="RD27" s="26"/>
      <c r="RE27" s="26"/>
      <c r="RF27" s="26"/>
      <c r="RG27" s="26"/>
      <c r="RH27" s="26"/>
      <c r="RI27" s="26"/>
      <c r="RJ27" s="26"/>
      <c r="RK27" s="26"/>
      <c r="RL27" s="26"/>
      <c r="RM27" s="26"/>
      <c r="RN27" s="26"/>
      <c r="RO27" s="26"/>
      <c r="RP27" s="26"/>
      <c r="RQ27" s="26"/>
      <c r="RR27" s="26"/>
      <c r="RS27" s="26"/>
      <c r="RT27" s="26"/>
      <c r="RU27" s="26"/>
      <c r="RV27" s="26"/>
      <c r="RW27" s="26"/>
      <c r="RX27" s="26"/>
      <c r="RY27" s="26"/>
      <c r="RZ27" s="26"/>
      <c r="SA27" s="26"/>
      <c r="SB27" s="26"/>
      <c r="SC27" s="26"/>
      <c r="SD27" s="26"/>
      <c r="SE27" s="26"/>
      <c r="SF27" s="26"/>
      <c r="SG27" s="26"/>
      <c r="SH27" s="26"/>
      <c r="SI27" s="26"/>
      <c r="SJ27" s="26"/>
      <c r="SK27" s="26"/>
      <c r="SL27" s="26"/>
      <c r="SM27" s="26"/>
      <c r="SN27" s="26"/>
      <c r="SO27" s="26"/>
      <c r="SP27" s="26"/>
      <c r="SQ27" s="26"/>
      <c r="SR27" s="26"/>
      <c r="SS27" s="26"/>
      <c r="ST27" s="26"/>
      <c r="SU27" s="26"/>
      <c r="SV27" s="26"/>
      <c r="SW27" s="26"/>
      <c r="SX27" s="26"/>
      <c r="SY27" s="26"/>
      <c r="SZ27" s="26"/>
      <c r="TA27" s="26"/>
      <c r="TB27" s="26"/>
      <c r="TC27" s="26"/>
      <c r="TD27" s="26"/>
      <c r="TE27" s="26"/>
      <c r="TF27" s="26"/>
      <c r="TG27" s="26"/>
      <c r="TH27" s="26"/>
      <c r="TI27" s="26"/>
      <c r="TJ27" s="26"/>
      <c r="TK27" s="26"/>
      <c r="TL27" s="26"/>
      <c r="TM27" s="26"/>
      <c r="TN27" s="26"/>
      <c r="TO27" s="26"/>
      <c r="TP27" s="26"/>
      <c r="TQ27" s="26"/>
      <c r="TR27" s="26"/>
      <c r="TS27" s="26"/>
      <c r="TT27" s="26"/>
      <c r="TU27" s="26"/>
      <c r="TV27" s="26"/>
      <c r="TW27" s="26"/>
      <c r="TX27" s="26"/>
      <c r="TY27" s="26"/>
      <c r="TZ27" s="26"/>
      <c r="UA27" s="26"/>
      <c r="UB27" s="26"/>
      <c r="UC27" s="26"/>
      <c r="UD27" s="26"/>
      <c r="UE27" s="26"/>
      <c r="UF27" s="26"/>
      <c r="UG27" s="26"/>
      <c r="UH27" s="26"/>
      <c r="UI27" s="26"/>
      <c r="UJ27" s="26"/>
      <c r="UK27" s="26"/>
      <c r="UL27" s="26"/>
      <c r="UM27" s="26"/>
      <c r="UN27" s="26"/>
      <c r="UO27" s="26"/>
      <c r="UP27" s="26"/>
      <c r="UQ27" s="26"/>
      <c r="UR27" s="26"/>
      <c r="US27" s="26"/>
      <c r="UT27" s="26"/>
      <c r="UU27" s="26"/>
      <c r="UV27" s="26"/>
      <c r="UW27" s="26"/>
      <c r="UX27" s="26"/>
      <c r="UY27" s="26"/>
      <c r="UZ27" s="26"/>
      <c r="VA27" s="26"/>
      <c r="VB27" s="26"/>
      <c r="VC27" s="26"/>
      <c r="VD27" s="26"/>
      <c r="VE27" s="26"/>
      <c r="VF27" s="26"/>
      <c r="VG27" s="26"/>
      <c r="VH27" s="26"/>
      <c r="VI27" s="26"/>
      <c r="VJ27" s="26"/>
      <c r="VK27" s="26"/>
      <c r="VL27" s="26"/>
      <c r="VM27" s="26"/>
      <c r="VN27" s="26"/>
      <c r="VO27" s="26"/>
      <c r="VP27" s="26"/>
      <c r="VQ27" s="26"/>
      <c r="VR27" s="26"/>
      <c r="VS27" s="26"/>
      <c r="VT27" s="26"/>
      <c r="VU27" s="26"/>
      <c r="VV27" s="26"/>
      <c r="VW27" s="26"/>
      <c r="VX27" s="26"/>
      <c r="VY27" s="26"/>
      <c r="VZ27" s="26"/>
      <c r="WA27" s="26"/>
      <c r="WB27" s="26"/>
      <c r="WC27" s="26"/>
      <c r="WD27" s="26"/>
      <c r="WE27" s="26"/>
      <c r="WF27" s="26"/>
      <c r="WG27" s="26"/>
      <c r="WH27" s="26"/>
      <c r="WI27" s="26"/>
      <c r="WJ27" s="26"/>
      <c r="WK27" s="26"/>
      <c r="WL27" s="26"/>
      <c r="WM27" s="26"/>
      <c r="WN27" s="26"/>
      <c r="WO27" s="26"/>
      <c r="WP27" s="26"/>
      <c r="WQ27" s="26"/>
      <c r="WR27" s="26"/>
      <c r="WS27" s="26"/>
      <c r="WT27" s="26"/>
      <c r="WU27" s="26"/>
      <c r="WV27" s="26"/>
      <c r="WW27" s="26"/>
      <c r="WX27" s="26"/>
      <c r="WY27" s="26"/>
      <c r="WZ27" s="26"/>
      <c r="XA27" s="26"/>
      <c r="XB27" s="26"/>
      <c r="XC27" s="26"/>
      <c r="XD27" s="26"/>
      <c r="XE27" s="26"/>
      <c r="XF27" s="26"/>
      <c r="XG27" s="26"/>
      <c r="XH27" s="26"/>
      <c r="XI27" s="26"/>
      <c r="XJ27" s="26"/>
      <c r="XK27" s="26"/>
      <c r="XL27" s="26"/>
      <c r="XM27" s="26"/>
      <c r="XN27" s="26"/>
      <c r="XO27" s="26"/>
      <c r="XP27" s="26"/>
      <c r="XQ27" s="26"/>
      <c r="XR27" s="26"/>
      <c r="XS27" s="26"/>
      <c r="XT27" s="26"/>
      <c r="XU27" s="26"/>
      <c r="XV27" s="26"/>
      <c r="XW27" s="26"/>
      <c r="XX27" s="26"/>
      <c r="XY27" s="26"/>
      <c r="XZ27" s="26"/>
      <c r="YA27" s="26"/>
      <c r="YB27" s="26"/>
      <c r="YC27" s="26"/>
      <c r="YD27" s="26"/>
      <c r="YE27" s="26"/>
      <c r="YF27" s="26"/>
      <c r="YG27" s="26"/>
      <c r="YH27" s="26"/>
      <c r="YI27" s="26"/>
      <c r="YJ27" s="26"/>
      <c r="YK27" s="26"/>
      <c r="YL27" s="26"/>
      <c r="YM27" s="26"/>
      <c r="YN27" s="26"/>
      <c r="YO27" s="26"/>
      <c r="YP27" s="26"/>
      <c r="YQ27" s="26"/>
      <c r="YR27" s="26"/>
      <c r="YS27" s="26"/>
      <c r="YT27" s="26"/>
      <c r="YU27" s="26"/>
      <c r="YV27" s="26"/>
      <c r="YW27" s="26"/>
      <c r="YX27" s="26"/>
      <c r="YY27" s="26"/>
      <c r="YZ27" s="26"/>
      <c r="ZA27" s="26"/>
      <c r="ZB27" s="26"/>
      <c r="ZC27" s="26"/>
      <c r="ZD27" s="26"/>
      <c r="ZE27" s="26"/>
      <c r="ZF27" s="26"/>
      <c r="ZG27" s="26"/>
      <c r="ZH27" s="26"/>
      <c r="ZI27" s="26"/>
      <c r="ZJ27" s="26"/>
      <c r="ZK27" s="26"/>
      <c r="ZL27" s="26"/>
      <c r="ZM27" s="26"/>
      <c r="ZN27" s="26"/>
      <c r="ZO27" s="26"/>
      <c r="ZP27" s="26"/>
      <c r="ZQ27" s="26"/>
      <c r="ZR27" s="26"/>
      <c r="ZS27" s="26"/>
      <c r="ZT27" s="26"/>
      <c r="ZU27" s="26"/>
      <c r="ZV27" s="26"/>
      <c r="ZW27" s="26"/>
      <c r="ZX27" s="26"/>
      <c r="ZY27" s="26"/>
      <c r="ZZ27" s="26"/>
      <c r="AAA27" s="26"/>
      <c r="AAB27" s="26"/>
      <c r="AAC27" s="26"/>
      <c r="AAD27" s="26"/>
      <c r="AAE27" s="26"/>
      <c r="AAF27" s="26"/>
      <c r="AAG27" s="26"/>
      <c r="AAH27" s="26"/>
      <c r="AAI27" s="26"/>
      <c r="AAJ27" s="26"/>
      <c r="AAK27" s="26"/>
      <c r="AAL27" s="26"/>
      <c r="AAM27" s="26"/>
      <c r="AAN27" s="26"/>
      <c r="AAO27" s="26"/>
      <c r="AAP27" s="26"/>
      <c r="AAQ27" s="26"/>
      <c r="AAR27" s="26"/>
      <c r="AAS27" s="26"/>
      <c r="AAT27" s="26"/>
      <c r="AAU27" s="26"/>
      <c r="AAV27" s="26"/>
      <c r="AAW27" s="26"/>
      <c r="AAX27" s="26"/>
      <c r="AAY27" s="26"/>
      <c r="AAZ27" s="26"/>
      <c r="ABA27" s="26"/>
      <c r="ABB27" s="26"/>
      <c r="ABC27" s="26"/>
      <c r="ABD27" s="26"/>
      <c r="ABE27" s="26"/>
      <c r="ABF27" s="26"/>
      <c r="ABG27" s="26"/>
      <c r="ABH27" s="26"/>
      <c r="ABI27" s="26"/>
      <c r="ABJ27" s="26"/>
      <c r="ABK27" s="26"/>
      <c r="ABL27" s="26"/>
      <c r="ABM27" s="26"/>
      <c r="ABN27" s="26"/>
      <c r="ABO27" s="26"/>
      <c r="ABP27" s="26"/>
      <c r="ABQ27" s="26"/>
      <c r="ABR27" s="26"/>
      <c r="ABS27" s="26"/>
      <c r="ABT27" s="26"/>
      <c r="ABU27" s="26"/>
      <c r="ABV27" s="26"/>
      <c r="ABW27" s="26"/>
      <c r="ABX27" s="26"/>
      <c r="ABY27" s="26"/>
      <c r="ABZ27" s="26"/>
      <c r="ACA27" s="26"/>
      <c r="ACB27" s="26"/>
      <c r="ACC27" s="26"/>
      <c r="ACD27" s="26"/>
      <c r="ACE27" s="26"/>
      <c r="ACF27" s="26"/>
      <c r="ACG27" s="26"/>
      <c r="ACH27" s="26"/>
      <c r="ACI27" s="26"/>
      <c r="ACJ27" s="26"/>
      <c r="ACK27" s="26"/>
      <c r="ACL27" s="26"/>
      <c r="ACM27" s="26"/>
      <c r="ACN27" s="26"/>
      <c r="ACO27" s="26"/>
      <c r="ACP27" s="26"/>
      <c r="ACQ27" s="26"/>
      <c r="ACR27" s="26"/>
      <c r="ACS27" s="26"/>
      <c r="ACT27" s="26"/>
      <c r="ACU27" s="26"/>
      <c r="ACV27" s="26"/>
      <c r="ACW27" s="26"/>
      <c r="ACX27" s="26"/>
      <c r="ACY27" s="26"/>
      <c r="ACZ27" s="26"/>
      <c r="ADA27" s="26"/>
      <c r="ADB27" s="26"/>
      <c r="ADC27" s="26"/>
      <c r="ADD27" s="26"/>
      <c r="ADE27" s="26"/>
      <c r="ADF27" s="26"/>
      <c r="ADG27" s="26"/>
      <c r="ADH27" s="26"/>
      <c r="ADI27" s="26"/>
      <c r="ADJ27" s="26"/>
      <c r="ADK27" s="26"/>
      <c r="ADL27" s="26"/>
      <c r="ADM27" s="26"/>
      <c r="ADN27" s="26"/>
      <c r="ADO27" s="26"/>
      <c r="ADP27" s="26"/>
      <c r="ADQ27" s="26"/>
      <c r="ADR27" s="26"/>
      <c r="ADS27" s="26"/>
      <c r="ADT27" s="26"/>
      <c r="ADU27" s="26"/>
      <c r="ADV27" s="26"/>
      <c r="ADW27" s="26"/>
      <c r="ADX27" s="26"/>
      <c r="ADY27" s="26"/>
      <c r="ADZ27" s="26"/>
      <c r="AEA27" s="26"/>
      <c r="AEB27" s="26"/>
      <c r="AEC27" s="26"/>
      <c r="AED27" s="26"/>
      <c r="AEE27" s="26"/>
      <c r="AEF27" s="26"/>
      <c r="AEG27" s="26"/>
      <c r="AEH27" s="26"/>
      <c r="AEI27" s="26"/>
      <c r="AEJ27" s="26"/>
      <c r="AEK27" s="26"/>
      <c r="AEL27" s="26"/>
      <c r="AEM27" s="26"/>
      <c r="AEN27" s="26"/>
      <c r="AEO27" s="26"/>
      <c r="AEP27" s="26"/>
      <c r="AEQ27" s="26"/>
      <c r="AER27" s="26"/>
      <c r="AES27" s="26"/>
      <c r="AET27" s="26"/>
      <c r="AEU27" s="26"/>
      <c r="AEV27" s="26"/>
      <c r="AEW27" s="26"/>
      <c r="AEX27" s="26"/>
      <c r="AEY27" s="26"/>
      <c r="AEZ27" s="26"/>
      <c r="AFA27" s="26"/>
      <c r="AFB27" s="26"/>
      <c r="AFC27" s="26"/>
      <c r="AFD27" s="26"/>
      <c r="AFE27" s="26"/>
      <c r="AFF27" s="26"/>
      <c r="AFG27" s="26"/>
      <c r="AFH27" s="26"/>
      <c r="AFI27" s="26"/>
      <c r="AFJ27" s="26"/>
      <c r="AFK27" s="26"/>
      <c r="AFL27" s="26"/>
      <c r="AFM27" s="26"/>
      <c r="AFN27" s="26"/>
      <c r="AFO27" s="26"/>
      <c r="AFP27" s="26"/>
      <c r="AFQ27" s="26"/>
      <c r="AFR27" s="26"/>
      <c r="AFS27" s="26"/>
      <c r="AFT27" s="26"/>
      <c r="AFU27" s="26"/>
      <c r="AFV27" s="26"/>
      <c r="AFW27" s="26"/>
      <c r="AFX27" s="26"/>
      <c r="AFY27" s="26"/>
      <c r="AFZ27" s="26"/>
      <c r="AGA27" s="26"/>
      <c r="AGB27" s="26"/>
      <c r="AGC27" s="26"/>
      <c r="AGD27" s="26"/>
      <c r="AGE27" s="26"/>
      <c r="AGF27" s="26"/>
      <c r="AGG27" s="26"/>
      <c r="AGH27" s="26"/>
      <c r="AGI27" s="26"/>
      <c r="AGJ27" s="26"/>
      <c r="AGK27" s="26"/>
      <c r="AGL27" s="26"/>
      <c r="AGM27" s="26"/>
      <c r="AGN27" s="26"/>
      <c r="AGO27" s="26"/>
      <c r="AGP27" s="26"/>
      <c r="AGQ27" s="26"/>
      <c r="AGR27" s="26"/>
      <c r="AGS27" s="26"/>
      <c r="AGT27" s="26"/>
      <c r="AGU27" s="26"/>
      <c r="AGV27" s="26"/>
      <c r="AGW27" s="26"/>
      <c r="AGX27" s="26"/>
      <c r="AGY27" s="26"/>
      <c r="AGZ27" s="26"/>
      <c r="AHA27" s="26"/>
      <c r="AHB27" s="26"/>
      <c r="AHC27" s="26"/>
      <c r="AHD27" s="26"/>
      <c r="AHE27" s="26"/>
      <c r="AHF27" s="26"/>
      <c r="AHG27" s="26"/>
      <c r="AHH27" s="26"/>
      <c r="AHI27" s="26"/>
      <c r="AHJ27" s="26"/>
      <c r="AHK27" s="26"/>
      <c r="AHL27" s="26"/>
      <c r="AHM27" s="26"/>
      <c r="AHN27" s="26"/>
      <c r="AHO27" s="26"/>
      <c r="AHP27" s="26"/>
      <c r="AHQ27" s="26"/>
      <c r="AHR27" s="26"/>
      <c r="AHS27" s="26"/>
      <c r="AHT27" s="26"/>
      <c r="AHU27" s="26"/>
      <c r="AHV27" s="26"/>
      <c r="AHW27" s="26"/>
      <c r="AHX27" s="26"/>
      <c r="AHY27" s="26"/>
      <c r="AHZ27" s="26"/>
      <c r="AIA27" s="26"/>
      <c r="AIB27" s="26"/>
      <c r="AIC27" s="26"/>
      <c r="AID27" s="26"/>
      <c r="AIE27" s="26"/>
      <c r="AIF27" s="26"/>
      <c r="AIG27" s="26"/>
      <c r="AIH27" s="26"/>
      <c r="AII27" s="26"/>
      <c r="AIJ27" s="26"/>
      <c r="AIK27" s="26"/>
      <c r="AIL27" s="26"/>
      <c r="AIM27" s="26"/>
      <c r="AIN27" s="26"/>
      <c r="AIO27" s="26"/>
      <c r="AIP27" s="26"/>
      <c r="AIQ27" s="26"/>
      <c r="AIR27" s="26"/>
      <c r="AIS27" s="26"/>
      <c r="AIT27" s="26"/>
      <c r="AIU27" s="26"/>
      <c r="AIV27" s="26"/>
      <c r="AIW27" s="26"/>
      <c r="AIX27" s="26"/>
      <c r="AIY27" s="26"/>
      <c r="AIZ27" s="26"/>
      <c r="AJA27" s="26"/>
      <c r="AJB27" s="26"/>
      <c r="AJC27" s="26"/>
      <c r="AJD27" s="26"/>
      <c r="AJE27" s="26"/>
      <c r="AJF27" s="26"/>
      <c r="AJG27" s="26"/>
      <c r="AJH27" s="26"/>
      <c r="AJI27" s="26"/>
      <c r="AJJ27" s="26"/>
      <c r="AJK27" s="26"/>
      <c r="AJL27" s="26"/>
      <c r="AJM27" s="26"/>
      <c r="AJN27" s="26"/>
      <c r="AJO27" s="26"/>
      <c r="AJP27" s="26"/>
      <c r="AJQ27" s="26"/>
      <c r="AJR27" s="26"/>
      <c r="AJS27" s="26"/>
      <c r="AJT27" s="26"/>
      <c r="AJU27" s="26"/>
      <c r="AJV27" s="26"/>
      <c r="AJW27" s="26"/>
      <c r="AJX27" s="26"/>
      <c r="AJY27" s="26"/>
      <c r="AJZ27" s="26"/>
      <c r="AKA27" s="26"/>
      <c r="AKB27" s="26"/>
      <c r="AKC27" s="26"/>
      <c r="AKD27" s="26"/>
      <c r="AKE27" s="26"/>
      <c r="AKF27" s="26"/>
      <c r="AKG27" s="26"/>
      <c r="AKH27" s="26"/>
      <c r="AKI27" s="26"/>
      <c r="AKJ27" s="26"/>
      <c r="AKK27" s="26"/>
      <c r="AKL27" s="26"/>
      <c r="AKM27" s="26"/>
      <c r="AKN27" s="26"/>
      <c r="AKO27" s="26"/>
      <c r="AKP27" s="26"/>
      <c r="AKQ27" s="26"/>
      <c r="AKR27" s="26"/>
      <c r="AKS27" s="26"/>
      <c r="AKT27" s="26"/>
      <c r="AKU27" s="26"/>
      <c r="AKV27" s="26"/>
      <c r="AKW27" s="26"/>
      <c r="AKX27" s="26"/>
      <c r="AKY27" s="26"/>
      <c r="AKZ27" s="26"/>
      <c r="ALA27" s="26"/>
      <c r="ALB27" s="26"/>
      <c r="ALC27" s="26"/>
      <c r="ALD27" s="26"/>
      <c r="ALE27" s="26"/>
      <c r="ALF27" s="26"/>
      <c r="ALG27" s="26"/>
      <c r="ALH27" s="26"/>
      <c r="ALI27" s="26"/>
      <c r="ALJ27" s="26"/>
      <c r="ALK27" s="26"/>
      <c r="ALL27" s="26"/>
      <c r="ALM27" s="26"/>
      <c r="ALN27" s="26"/>
      <c r="ALO27" s="26"/>
      <c r="ALP27" s="26"/>
      <c r="ALQ27" s="26"/>
      <c r="ALR27" s="26"/>
      <c r="ALS27" s="26"/>
      <c r="ALT27" s="26"/>
      <c r="ALU27" s="26"/>
      <c r="ALV27" s="26"/>
      <c r="ALW27" s="26"/>
      <c r="ALX27" s="26"/>
      <c r="ALY27" s="26"/>
      <c r="ALZ27" s="26"/>
      <c r="AMA27" s="26"/>
      <c r="AMB27" s="26"/>
      <c r="AMC27" s="26"/>
      <c r="AMD27" s="26"/>
      <c r="AME27" s="26"/>
      <c r="AMF27" s="26"/>
      <c r="AMG27" s="26"/>
      <c r="AMH27" s="26"/>
      <c r="AMI27" s="26"/>
      <c r="AMJ27" s="26"/>
      <c r="AMK27" s="26"/>
      <c r="AML27" s="26"/>
      <c r="AMM27" s="26"/>
      <c r="AMN27" s="26"/>
      <c r="AMO27" s="26"/>
      <c r="AMP27" s="26"/>
      <c r="AMQ27" s="26"/>
      <c r="AMR27" s="26"/>
      <c r="AMS27" s="26"/>
      <c r="AMT27" s="26"/>
      <c r="AMU27" s="26"/>
      <c r="AMV27" s="26"/>
      <c r="AMW27" s="26"/>
      <c r="AMX27" s="26"/>
      <c r="AMY27" s="26"/>
      <c r="AMZ27" s="26"/>
      <c r="ANA27" s="26"/>
      <c r="ANB27" s="26"/>
      <c r="ANC27" s="26"/>
      <c r="AND27" s="26"/>
      <c r="ANE27" s="26"/>
      <c r="ANF27" s="26"/>
      <c r="ANG27" s="26"/>
      <c r="ANH27" s="26"/>
      <c r="ANI27" s="26"/>
      <c r="ANJ27" s="26"/>
      <c r="ANK27" s="26"/>
      <c r="ANL27" s="26"/>
      <c r="ANM27" s="26"/>
      <c r="ANN27" s="26"/>
      <c r="ANO27" s="26"/>
      <c r="ANP27" s="26"/>
      <c r="ANQ27" s="26"/>
      <c r="ANR27" s="26"/>
      <c r="ANS27" s="26"/>
      <c r="ANT27" s="26"/>
      <c r="ANU27" s="26"/>
      <c r="ANV27" s="26"/>
      <c r="ANW27" s="26"/>
      <c r="ANX27" s="26"/>
      <c r="ANY27" s="26"/>
      <c r="ANZ27" s="26"/>
      <c r="AOA27" s="26"/>
      <c r="AOB27" s="26"/>
      <c r="AOC27" s="26"/>
      <c r="AOD27" s="26"/>
      <c r="AOE27" s="26"/>
      <c r="AOF27" s="26"/>
      <c r="AOG27" s="26"/>
      <c r="AOH27" s="26"/>
      <c r="AOI27" s="26"/>
      <c r="AOJ27" s="26"/>
      <c r="AOK27" s="26"/>
      <c r="AOL27" s="26"/>
      <c r="AOM27" s="26"/>
      <c r="AON27" s="26"/>
      <c r="AOO27" s="26"/>
      <c r="AOP27" s="26"/>
      <c r="AOQ27" s="26"/>
      <c r="AOR27" s="26"/>
      <c r="AOS27" s="26"/>
      <c r="AOT27" s="26"/>
      <c r="AOU27" s="26"/>
      <c r="AOV27" s="26"/>
      <c r="AOW27" s="26"/>
      <c r="AOX27" s="26"/>
      <c r="AOY27" s="26"/>
      <c r="AOZ27" s="26"/>
      <c r="APA27" s="26"/>
      <c r="APB27" s="26"/>
      <c r="APC27" s="26"/>
      <c r="APD27" s="26"/>
      <c r="APE27" s="26"/>
      <c r="APF27" s="26"/>
      <c r="APG27" s="26"/>
      <c r="APH27" s="26"/>
      <c r="API27" s="26"/>
      <c r="APJ27" s="26"/>
      <c r="APK27" s="26"/>
      <c r="APL27" s="26"/>
      <c r="APM27" s="26"/>
      <c r="APN27" s="26"/>
      <c r="APO27" s="26"/>
      <c r="APP27" s="26"/>
      <c r="APQ27" s="26"/>
      <c r="APR27" s="26"/>
      <c r="APS27" s="26"/>
      <c r="APT27" s="26"/>
      <c r="APU27" s="26"/>
      <c r="APV27" s="26"/>
      <c r="APW27" s="26"/>
      <c r="APX27" s="26"/>
      <c r="APY27" s="26"/>
      <c r="APZ27" s="26"/>
      <c r="AQA27" s="26"/>
      <c r="AQB27" s="26"/>
      <c r="AQC27" s="26"/>
      <c r="AQD27" s="26"/>
      <c r="AQE27" s="26"/>
      <c r="AQF27" s="26"/>
      <c r="AQG27" s="26"/>
      <c r="AQH27" s="26"/>
      <c r="AQI27" s="26"/>
      <c r="AQJ27" s="26"/>
      <c r="AQK27" s="26"/>
      <c r="AQL27" s="26"/>
      <c r="AQM27" s="26"/>
      <c r="AQN27" s="26"/>
      <c r="AQO27" s="26"/>
      <c r="AQP27" s="26"/>
      <c r="AQQ27" s="26"/>
      <c r="AQR27" s="26"/>
      <c r="AQS27" s="26"/>
      <c r="AQT27" s="26"/>
      <c r="AQU27" s="26"/>
      <c r="AQV27" s="26"/>
      <c r="AQW27" s="26"/>
      <c r="AQX27" s="26"/>
      <c r="AQY27" s="26"/>
      <c r="AQZ27" s="26"/>
      <c r="ARA27" s="26"/>
      <c r="ARB27" s="26"/>
      <c r="ARC27" s="26"/>
      <c r="ARD27" s="26"/>
      <c r="ARE27" s="26"/>
      <c r="ARF27" s="26"/>
      <c r="ARG27" s="26"/>
      <c r="ARH27" s="26"/>
      <c r="ARI27" s="26"/>
      <c r="ARJ27" s="26"/>
      <c r="ARK27" s="26"/>
      <c r="ARL27" s="26"/>
      <c r="ARM27" s="26"/>
      <c r="ARN27" s="26"/>
      <c r="ARO27" s="26"/>
      <c r="ARP27" s="26"/>
      <c r="ARQ27" s="26"/>
      <c r="ARR27" s="26"/>
      <c r="ARS27" s="26"/>
      <c r="ART27" s="26"/>
      <c r="ARU27" s="26"/>
      <c r="ARV27" s="26"/>
      <c r="ARW27" s="26"/>
      <c r="ARX27" s="26"/>
      <c r="ARY27" s="26"/>
      <c r="ARZ27" s="26"/>
      <c r="ASA27" s="26"/>
      <c r="ASB27" s="26"/>
      <c r="ASC27" s="26"/>
      <c r="ASD27" s="26"/>
      <c r="ASE27" s="26"/>
      <c r="ASF27" s="26"/>
      <c r="ASG27" s="26"/>
      <c r="ASH27" s="26"/>
      <c r="ASI27" s="26"/>
      <c r="ASJ27" s="26"/>
      <c r="ASK27" s="26"/>
      <c r="ASL27" s="26"/>
      <c r="ASM27" s="26"/>
      <c r="ASN27" s="26"/>
      <c r="ASO27" s="26"/>
      <c r="ASP27" s="26"/>
      <c r="ASQ27" s="26"/>
      <c r="ASR27" s="26"/>
      <c r="ASS27" s="26"/>
      <c r="AST27" s="26"/>
      <c r="ASU27" s="26"/>
      <c r="ASV27" s="26"/>
      <c r="ASW27" s="26"/>
      <c r="ASX27" s="26"/>
      <c r="ASY27" s="26"/>
      <c r="ASZ27" s="26"/>
      <c r="ATA27" s="26"/>
      <c r="ATB27" s="26"/>
      <c r="ATC27" s="26"/>
      <c r="ATD27" s="26"/>
      <c r="ATE27" s="26"/>
      <c r="ATF27" s="26"/>
      <c r="ATG27" s="26"/>
      <c r="ATH27" s="26"/>
      <c r="ATI27" s="26"/>
      <c r="ATJ27" s="26"/>
      <c r="ATK27" s="26"/>
      <c r="ATL27" s="26"/>
      <c r="ATM27" s="26"/>
      <c r="ATN27" s="26"/>
      <c r="ATO27" s="26"/>
      <c r="ATP27" s="26"/>
      <c r="ATQ27" s="26"/>
      <c r="ATR27" s="26"/>
      <c r="ATS27" s="26"/>
      <c r="ATT27" s="26"/>
      <c r="ATU27" s="26"/>
      <c r="ATV27" s="26"/>
      <c r="ATW27" s="26"/>
      <c r="ATX27" s="26"/>
      <c r="ATY27" s="26"/>
      <c r="ATZ27" s="26"/>
      <c r="AUA27" s="26"/>
      <c r="AUB27" s="26"/>
      <c r="AUC27" s="26"/>
      <c r="AUD27" s="26"/>
      <c r="AUE27" s="26"/>
      <c r="AUF27" s="26"/>
      <c r="AUG27" s="26"/>
      <c r="AUH27" s="26"/>
      <c r="AUI27" s="26"/>
      <c r="AUJ27" s="26"/>
      <c r="AUK27" s="26"/>
      <c r="AUL27" s="26"/>
      <c r="AUM27" s="26"/>
      <c r="AUN27" s="26"/>
      <c r="AUO27" s="26"/>
      <c r="AUP27" s="26"/>
      <c r="AUQ27" s="26"/>
      <c r="AUR27" s="26"/>
      <c r="AUS27" s="26"/>
      <c r="AUT27" s="26"/>
      <c r="AUU27" s="26"/>
      <c r="AUV27" s="26"/>
      <c r="AUW27" s="26"/>
      <c r="AUX27" s="26"/>
      <c r="AUY27" s="26"/>
      <c r="AUZ27" s="26"/>
      <c r="AVA27" s="26"/>
      <c r="AVB27" s="26"/>
      <c r="AVC27" s="26"/>
      <c r="AVD27" s="26"/>
      <c r="AVE27" s="26"/>
      <c r="AVF27" s="26"/>
      <c r="AVG27" s="26"/>
      <c r="AVH27" s="26"/>
      <c r="AVI27" s="26"/>
      <c r="AVJ27" s="26"/>
      <c r="AVK27" s="26"/>
      <c r="AVL27" s="26"/>
      <c r="AVM27" s="26"/>
      <c r="AVN27" s="26"/>
      <c r="AVO27" s="26"/>
      <c r="AVP27" s="26"/>
      <c r="AVQ27" s="26"/>
      <c r="AVR27" s="26"/>
      <c r="AVS27" s="26"/>
      <c r="AVT27" s="26"/>
      <c r="AVU27" s="26"/>
      <c r="AVV27" s="26"/>
      <c r="AVW27" s="26"/>
      <c r="AVX27" s="26"/>
      <c r="AVY27" s="26"/>
      <c r="AVZ27" s="26"/>
      <c r="AWA27" s="26"/>
      <c r="AWB27" s="26"/>
      <c r="AWC27" s="26"/>
      <c r="AWD27" s="26"/>
      <c r="AWE27" s="26"/>
      <c r="AWF27" s="26"/>
      <c r="AWG27" s="26"/>
      <c r="AWH27" s="26"/>
      <c r="AWI27" s="26"/>
      <c r="AWJ27" s="26"/>
      <c r="AWK27" s="26"/>
      <c r="AWL27" s="26"/>
      <c r="AWM27" s="26"/>
      <c r="AWN27" s="26"/>
      <c r="AWO27" s="26"/>
      <c r="AWP27" s="26"/>
      <c r="AWQ27" s="26"/>
      <c r="AWR27" s="26"/>
      <c r="AWS27" s="26"/>
      <c r="AWT27" s="26"/>
      <c r="AWU27" s="26"/>
      <c r="AWV27" s="26"/>
      <c r="AWW27" s="26"/>
      <c r="AWX27" s="26"/>
      <c r="AWY27" s="26"/>
      <c r="AWZ27" s="26"/>
      <c r="AXA27" s="26"/>
      <c r="AXB27" s="26"/>
      <c r="AXC27" s="26"/>
      <c r="AXD27" s="26"/>
      <c r="AXE27" s="26"/>
      <c r="AXF27" s="26"/>
      <c r="AXG27" s="26"/>
      <c r="AXH27" s="26"/>
      <c r="AXI27" s="26"/>
      <c r="AXJ27" s="26"/>
      <c r="AXK27" s="26"/>
      <c r="AXL27" s="26"/>
      <c r="AXM27" s="26"/>
      <c r="AXN27" s="26"/>
      <c r="AXO27" s="26"/>
      <c r="AXP27" s="26"/>
      <c r="AXQ27" s="26"/>
      <c r="AXR27" s="26"/>
      <c r="AXS27" s="26"/>
      <c r="AXT27" s="26"/>
      <c r="AXU27" s="26"/>
      <c r="AXV27" s="26"/>
      <c r="AXW27" s="26"/>
      <c r="AXX27" s="26"/>
      <c r="AXY27" s="26"/>
      <c r="AXZ27" s="26"/>
      <c r="AYA27" s="26"/>
      <c r="AYB27" s="26"/>
      <c r="AYC27" s="26"/>
      <c r="AYD27" s="26"/>
      <c r="AYE27" s="26"/>
      <c r="AYF27" s="26"/>
      <c r="AYG27" s="26"/>
      <c r="AYH27" s="26"/>
      <c r="AYI27" s="26"/>
      <c r="AYJ27" s="26"/>
      <c r="AYK27" s="26"/>
      <c r="AYL27" s="26"/>
      <c r="AYM27" s="26"/>
      <c r="AYN27" s="26"/>
      <c r="AYO27" s="26"/>
      <c r="AYP27" s="26"/>
      <c r="AYQ27" s="26"/>
      <c r="AYR27" s="26"/>
      <c r="AYS27" s="26"/>
      <c r="AYT27" s="26"/>
      <c r="AYU27" s="26"/>
      <c r="AYV27" s="26"/>
      <c r="AYW27" s="26"/>
      <c r="AYX27" s="26"/>
      <c r="AYY27" s="26"/>
      <c r="AYZ27" s="26"/>
      <c r="AZA27" s="26"/>
      <c r="AZB27" s="26"/>
      <c r="AZC27" s="26"/>
      <c r="AZD27" s="26"/>
      <c r="AZE27" s="26"/>
      <c r="AZF27" s="26"/>
      <c r="AZG27" s="26"/>
      <c r="AZH27" s="26"/>
      <c r="AZI27" s="26"/>
      <c r="AZJ27" s="26"/>
      <c r="AZK27" s="26"/>
      <c r="AZL27" s="26"/>
      <c r="AZM27" s="26"/>
      <c r="AZN27" s="26"/>
      <c r="AZO27" s="26"/>
      <c r="AZP27" s="26"/>
      <c r="AZQ27" s="26"/>
      <c r="AZR27" s="26"/>
      <c r="AZS27" s="26"/>
      <c r="AZT27" s="26"/>
      <c r="AZU27" s="26"/>
      <c r="AZV27" s="26"/>
      <c r="AZW27" s="26"/>
      <c r="AZX27" s="26"/>
      <c r="AZY27" s="26"/>
      <c r="AZZ27" s="26"/>
      <c r="BAA27" s="26"/>
      <c r="BAB27" s="26"/>
      <c r="BAC27" s="26"/>
      <c r="BAD27" s="26"/>
      <c r="BAE27" s="26"/>
      <c r="BAF27" s="26"/>
      <c r="BAG27" s="26"/>
      <c r="BAH27" s="26"/>
      <c r="BAI27" s="26"/>
      <c r="BAJ27" s="26"/>
      <c r="BAK27" s="26"/>
      <c r="BAL27" s="26"/>
      <c r="BAM27" s="26"/>
      <c r="BAN27" s="26"/>
      <c r="BAO27" s="26"/>
      <c r="BAP27" s="26"/>
      <c r="BAQ27" s="26"/>
      <c r="BAR27" s="26"/>
      <c r="BAS27" s="26"/>
      <c r="BAT27" s="26"/>
      <c r="BAU27" s="26"/>
      <c r="BAV27" s="26"/>
      <c r="BAW27" s="26"/>
      <c r="BAX27" s="26"/>
      <c r="BAY27" s="26"/>
      <c r="BAZ27" s="26"/>
      <c r="BBA27" s="26"/>
      <c r="BBB27" s="26"/>
      <c r="BBC27" s="26"/>
      <c r="BBD27" s="26"/>
      <c r="BBE27" s="26"/>
      <c r="BBF27" s="26"/>
      <c r="BBG27" s="26"/>
      <c r="BBH27" s="26"/>
      <c r="BBI27" s="26"/>
      <c r="BBJ27" s="26"/>
      <c r="BBK27" s="26"/>
      <c r="BBL27" s="26"/>
      <c r="BBM27" s="26"/>
      <c r="BBN27" s="26"/>
      <c r="BBO27" s="26"/>
      <c r="BBP27" s="26"/>
      <c r="BBQ27" s="26"/>
      <c r="BBR27" s="26"/>
      <c r="BBS27" s="26"/>
      <c r="BBT27" s="26"/>
      <c r="BBU27" s="26"/>
      <c r="BBV27" s="26"/>
      <c r="BBW27" s="26"/>
      <c r="BBX27" s="26"/>
      <c r="BBY27" s="26"/>
      <c r="BBZ27" s="26"/>
      <c r="BCA27" s="26"/>
      <c r="BCB27" s="26"/>
      <c r="BCC27" s="26"/>
      <c r="BCD27" s="26"/>
      <c r="BCE27" s="26"/>
      <c r="BCF27" s="26"/>
      <c r="BCG27" s="26"/>
      <c r="BCH27" s="26"/>
      <c r="BCI27" s="26"/>
      <c r="BCJ27" s="26"/>
      <c r="BCK27" s="26"/>
      <c r="BCL27" s="26"/>
      <c r="BCM27" s="26"/>
      <c r="BCN27" s="26"/>
      <c r="BCO27" s="26"/>
      <c r="BCP27" s="26"/>
      <c r="BCQ27" s="26"/>
      <c r="BCR27" s="26"/>
      <c r="BCS27" s="26"/>
      <c r="BCT27" s="26"/>
      <c r="BCU27" s="26"/>
      <c r="BCV27" s="26"/>
      <c r="BCW27" s="26"/>
      <c r="BCX27" s="26"/>
      <c r="BCY27" s="26"/>
      <c r="BCZ27" s="26"/>
      <c r="BDA27" s="26"/>
      <c r="BDB27" s="26"/>
      <c r="BDC27" s="26"/>
      <c r="BDD27" s="26"/>
      <c r="BDE27" s="26"/>
      <c r="BDF27" s="26"/>
      <c r="BDG27" s="26"/>
      <c r="BDH27" s="26"/>
      <c r="BDI27" s="26"/>
      <c r="BDJ27" s="26"/>
      <c r="BDK27" s="26"/>
      <c r="BDL27" s="26"/>
      <c r="BDM27" s="26"/>
      <c r="BDN27" s="26"/>
      <c r="BDO27" s="26"/>
      <c r="BDP27" s="26"/>
      <c r="BDQ27" s="26"/>
      <c r="BDR27" s="26"/>
      <c r="BDS27" s="26"/>
      <c r="BDT27" s="26"/>
      <c r="BDU27" s="26"/>
      <c r="BDV27" s="26"/>
      <c r="BDW27" s="26"/>
      <c r="BDX27" s="26"/>
      <c r="BDY27" s="26"/>
      <c r="BDZ27" s="26"/>
      <c r="BEA27" s="26"/>
      <c r="BEB27" s="26"/>
      <c r="BEC27" s="26"/>
      <c r="BED27" s="26"/>
      <c r="BEE27" s="26"/>
      <c r="BEF27" s="26"/>
      <c r="BEG27" s="26"/>
      <c r="BEH27" s="26"/>
      <c r="BEI27" s="26"/>
      <c r="BEJ27" s="26"/>
      <c r="BEK27" s="26"/>
      <c r="BEL27" s="26"/>
      <c r="BEM27" s="26"/>
      <c r="BEN27" s="26"/>
      <c r="BEO27" s="26"/>
      <c r="BEP27" s="26"/>
      <c r="BEQ27" s="26"/>
      <c r="BER27" s="26"/>
      <c r="BES27" s="26"/>
      <c r="BET27" s="26"/>
      <c r="BEU27" s="26"/>
      <c r="BEV27" s="26"/>
      <c r="BEW27" s="26"/>
      <c r="BEX27" s="26"/>
      <c r="BEY27" s="26"/>
      <c r="BEZ27" s="26"/>
      <c r="BFA27" s="26"/>
      <c r="BFB27" s="26"/>
      <c r="BFC27" s="26"/>
      <c r="BFD27" s="26"/>
      <c r="BFE27" s="26"/>
      <c r="BFF27" s="26"/>
      <c r="BFG27" s="26"/>
      <c r="BFH27" s="26"/>
      <c r="BFI27" s="26"/>
      <c r="BFJ27" s="26"/>
      <c r="BFK27" s="26"/>
      <c r="BFL27" s="26"/>
      <c r="BFM27" s="26"/>
      <c r="BFN27" s="26"/>
      <c r="BFO27" s="26"/>
      <c r="BFP27" s="26"/>
      <c r="BFQ27" s="26"/>
      <c r="BFR27" s="26"/>
      <c r="BFS27" s="26"/>
      <c r="BFT27" s="26"/>
      <c r="BFU27" s="26"/>
      <c r="BFV27" s="26"/>
      <c r="BFW27" s="26"/>
      <c r="BFX27" s="26"/>
      <c r="BFY27" s="26"/>
      <c r="BFZ27" s="26"/>
      <c r="BGA27" s="26"/>
      <c r="BGB27" s="26"/>
      <c r="BGC27" s="26"/>
      <c r="BGD27" s="26"/>
      <c r="BGE27" s="26"/>
      <c r="BGF27" s="26"/>
      <c r="BGG27" s="26"/>
      <c r="BGH27" s="26"/>
      <c r="BGI27" s="26"/>
      <c r="BGJ27" s="26"/>
      <c r="BGK27" s="26"/>
      <c r="BGL27" s="26"/>
      <c r="BGM27" s="26"/>
      <c r="BGN27" s="26"/>
      <c r="BGO27" s="26"/>
      <c r="BGP27" s="26"/>
      <c r="BGQ27" s="26"/>
      <c r="BGR27" s="26"/>
      <c r="BGS27" s="26"/>
      <c r="BGT27" s="26"/>
      <c r="BGU27" s="26"/>
      <c r="BGV27" s="26"/>
      <c r="BGW27" s="26"/>
      <c r="BGX27" s="26"/>
      <c r="BGY27" s="26"/>
      <c r="BGZ27" s="26"/>
      <c r="BHA27" s="26"/>
      <c r="BHB27" s="26"/>
      <c r="BHC27" s="26"/>
      <c r="BHD27" s="26"/>
      <c r="BHE27" s="26"/>
      <c r="BHF27" s="26"/>
      <c r="BHG27" s="26"/>
      <c r="BHH27" s="26"/>
      <c r="BHI27" s="26"/>
      <c r="BHJ27" s="26"/>
      <c r="BHK27" s="26"/>
      <c r="BHL27" s="26"/>
      <c r="BHM27" s="26"/>
      <c r="BHN27" s="26"/>
      <c r="BHO27" s="26"/>
      <c r="BHP27" s="26"/>
      <c r="BHQ27" s="26"/>
      <c r="BHR27" s="26"/>
      <c r="BHS27" s="26"/>
      <c r="BHT27" s="26"/>
      <c r="BHU27" s="26"/>
      <c r="BHV27" s="26"/>
      <c r="BHW27" s="26"/>
      <c r="BHX27" s="26"/>
      <c r="BHY27" s="26"/>
      <c r="BHZ27" s="26"/>
      <c r="BIA27" s="26"/>
      <c r="BIB27" s="26"/>
      <c r="BIC27" s="26"/>
      <c r="BID27" s="26"/>
      <c r="BIE27" s="26"/>
      <c r="BIF27" s="26"/>
      <c r="BIG27" s="26"/>
      <c r="BIH27" s="26"/>
      <c r="BII27" s="26"/>
      <c r="BIJ27" s="26"/>
      <c r="BIK27" s="26"/>
      <c r="BIL27" s="26"/>
      <c r="BIM27" s="26"/>
      <c r="BIN27" s="26"/>
      <c r="BIO27" s="26"/>
      <c r="BIP27" s="26"/>
      <c r="BIQ27" s="26"/>
      <c r="BIR27" s="26"/>
      <c r="BIS27" s="26"/>
      <c r="BIT27" s="26"/>
      <c r="BIU27" s="26"/>
      <c r="BIV27" s="26"/>
      <c r="BIW27" s="26"/>
      <c r="BIX27" s="26"/>
      <c r="BIY27" s="26"/>
      <c r="BIZ27" s="26"/>
      <c r="BJA27" s="26"/>
      <c r="BJB27" s="26"/>
      <c r="BJC27" s="26"/>
      <c r="BJD27" s="26"/>
      <c r="BJE27" s="26"/>
      <c r="BJF27" s="26"/>
      <c r="BJG27" s="26"/>
      <c r="BJH27" s="26"/>
      <c r="BJI27" s="26"/>
      <c r="BJJ27" s="26"/>
      <c r="BJK27" s="26"/>
      <c r="BJL27" s="26"/>
      <c r="BJM27" s="26"/>
      <c r="BJN27" s="26"/>
      <c r="BJO27" s="26"/>
      <c r="BJP27" s="26"/>
      <c r="BJQ27" s="26"/>
      <c r="BJR27" s="26"/>
      <c r="BJS27" s="26"/>
      <c r="BJT27" s="26"/>
      <c r="BJU27" s="26"/>
      <c r="BJV27" s="26"/>
      <c r="BJW27" s="26"/>
      <c r="BJX27" s="26"/>
      <c r="BJY27" s="26"/>
      <c r="BJZ27" s="26"/>
      <c r="BKA27" s="26"/>
      <c r="BKB27" s="26"/>
      <c r="BKC27" s="26"/>
      <c r="BKD27" s="26"/>
      <c r="BKE27" s="26"/>
      <c r="BKF27" s="26"/>
      <c r="BKG27" s="26"/>
      <c r="BKH27" s="26"/>
      <c r="BKI27" s="26"/>
      <c r="BKJ27" s="26"/>
      <c r="BKK27" s="26"/>
      <c r="BKL27" s="26"/>
      <c r="BKM27" s="26"/>
      <c r="BKN27" s="26"/>
      <c r="BKO27" s="26"/>
      <c r="BKP27" s="26"/>
      <c r="BKQ27" s="26"/>
      <c r="BKR27" s="26"/>
      <c r="BKS27" s="26"/>
      <c r="BKT27" s="26"/>
      <c r="BKU27" s="26"/>
      <c r="BKV27" s="26"/>
      <c r="BKW27" s="26"/>
      <c r="BKX27" s="26"/>
      <c r="BKY27" s="26"/>
      <c r="BKZ27" s="26"/>
      <c r="BLA27" s="26"/>
      <c r="BLB27" s="26"/>
      <c r="BLC27" s="26"/>
      <c r="BLD27" s="26"/>
      <c r="BLE27" s="26"/>
      <c r="BLF27" s="26"/>
      <c r="BLG27" s="26"/>
      <c r="BLH27" s="26"/>
      <c r="BLI27" s="26"/>
      <c r="BLJ27" s="26"/>
      <c r="BLK27" s="26"/>
      <c r="BLL27" s="26"/>
      <c r="BLM27" s="26"/>
      <c r="BLN27" s="26"/>
      <c r="BLO27" s="26"/>
      <c r="BLP27" s="26"/>
      <c r="BLQ27" s="26"/>
      <c r="BLR27" s="26"/>
      <c r="BLS27" s="26"/>
      <c r="BLT27" s="26"/>
      <c r="BLU27" s="26"/>
      <c r="BLV27" s="26"/>
      <c r="BLW27" s="26"/>
      <c r="BLX27" s="26"/>
      <c r="BLY27" s="26"/>
      <c r="BLZ27" s="26"/>
      <c r="BMA27" s="26"/>
      <c r="BMB27" s="26"/>
      <c r="BMC27" s="26"/>
      <c r="BMD27" s="26"/>
      <c r="BME27" s="26"/>
      <c r="BMF27" s="26"/>
      <c r="BMG27" s="26"/>
      <c r="BMH27" s="26"/>
      <c r="BMI27" s="26"/>
      <c r="BMJ27" s="26"/>
      <c r="BMK27" s="26"/>
      <c r="BML27" s="26"/>
      <c r="BMM27" s="26"/>
      <c r="BMN27" s="26"/>
      <c r="BMO27" s="26"/>
      <c r="BMP27" s="26"/>
      <c r="BMQ27" s="26"/>
      <c r="BMR27" s="26"/>
      <c r="BMS27" s="26"/>
      <c r="BMT27" s="26"/>
      <c r="BMU27" s="26"/>
      <c r="BMV27" s="26"/>
      <c r="BMW27" s="26"/>
      <c r="BMX27" s="26"/>
      <c r="BMY27" s="26"/>
      <c r="BMZ27" s="26"/>
      <c r="BNA27" s="26"/>
      <c r="BNB27" s="26"/>
      <c r="BNC27" s="26"/>
      <c r="BND27" s="26"/>
      <c r="BNE27" s="26"/>
      <c r="BNF27" s="26"/>
      <c r="BNG27" s="26"/>
      <c r="BNH27" s="26"/>
      <c r="BNI27" s="26"/>
      <c r="BNJ27" s="26"/>
      <c r="BNK27" s="26"/>
      <c r="BNL27" s="26"/>
      <c r="BNM27" s="26"/>
      <c r="BNN27" s="26"/>
      <c r="BNO27" s="26"/>
      <c r="BNP27" s="26"/>
      <c r="BNQ27" s="26"/>
      <c r="BNR27" s="26"/>
      <c r="BNS27" s="26"/>
      <c r="BNT27" s="26"/>
      <c r="BNU27" s="26"/>
      <c r="BNV27" s="26"/>
      <c r="BNW27" s="26"/>
      <c r="BNX27" s="26"/>
      <c r="BNY27" s="26"/>
      <c r="BNZ27" s="26"/>
      <c r="BOA27" s="26"/>
      <c r="BOB27" s="26"/>
      <c r="BOC27" s="26"/>
      <c r="BOD27" s="26"/>
      <c r="BOE27" s="26"/>
      <c r="BOF27" s="26"/>
      <c r="BOG27" s="26"/>
      <c r="BOH27" s="26"/>
      <c r="BOI27" s="26"/>
      <c r="BOJ27" s="26"/>
      <c r="BOK27" s="26"/>
      <c r="BOL27" s="26"/>
      <c r="BOM27" s="26"/>
      <c r="BON27" s="26"/>
      <c r="BOO27" s="26"/>
      <c r="BOP27" s="26"/>
      <c r="BOQ27" s="26"/>
      <c r="BOR27" s="26"/>
      <c r="BOS27" s="26"/>
      <c r="BOT27" s="26"/>
      <c r="BOU27" s="26"/>
      <c r="BOV27" s="26"/>
      <c r="BOW27" s="26"/>
      <c r="BOX27" s="26"/>
      <c r="BOY27" s="26"/>
      <c r="BOZ27" s="26"/>
      <c r="BPA27" s="26"/>
      <c r="BPB27" s="26"/>
      <c r="BPC27" s="26"/>
      <c r="BPD27" s="26"/>
      <c r="BPE27" s="26"/>
      <c r="BPF27" s="26"/>
      <c r="BPG27" s="26"/>
      <c r="BPH27" s="26"/>
      <c r="BPI27" s="26"/>
      <c r="BPJ27" s="26"/>
      <c r="BPK27" s="26"/>
      <c r="BPL27" s="26"/>
      <c r="BPM27" s="26"/>
      <c r="BPN27" s="26"/>
      <c r="BPO27" s="26"/>
      <c r="BPP27" s="26"/>
      <c r="BPQ27" s="26"/>
      <c r="BPR27" s="26"/>
      <c r="BPS27" s="26"/>
      <c r="BPT27" s="26"/>
      <c r="BPU27" s="26"/>
      <c r="BPV27" s="26"/>
      <c r="BPW27" s="26"/>
      <c r="BPX27" s="26"/>
      <c r="BPY27" s="26"/>
      <c r="BPZ27" s="26"/>
      <c r="BQA27" s="26"/>
      <c r="BQB27" s="26"/>
      <c r="BQC27" s="26"/>
      <c r="BQD27" s="26"/>
      <c r="BQE27" s="26"/>
      <c r="BQF27" s="26"/>
      <c r="BQG27" s="26"/>
      <c r="BQH27" s="26"/>
      <c r="BQI27" s="26"/>
      <c r="BQJ27" s="26"/>
      <c r="BQK27" s="26"/>
      <c r="BQL27" s="26"/>
      <c r="BQM27" s="26"/>
      <c r="BQN27" s="26"/>
      <c r="BQO27" s="26"/>
      <c r="BQP27" s="26"/>
      <c r="BQQ27" s="26"/>
      <c r="BQR27" s="26"/>
      <c r="BQS27" s="26"/>
      <c r="BQT27" s="26"/>
      <c r="BQU27" s="26"/>
      <c r="BQV27" s="26"/>
      <c r="BQW27" s="26"/>
      <c r="BQX27" s="26"/>
      <c r="BQY27" s="26"/>
      <c r="BQZ27" s="26"/>
      <c r="BRA27" s="26"/>
      <c r="BRB27" s="26"/>
      <c r="BRC27" s="26"/>
      <c r="BRD27" s="26"/>
      <c r="BRE27" s="26"/>
      <c r="BRF27" s="26"/>
      <c r="BRG27" s="26"/>
      <c r="BRH27" s="26"/>
      <c r="BRI27" s="26"/>
      <c r="BRJ27" s="26"/>
      <c r="BRK27" s="26"/>
      <c r="BRL27" s="26"/>
      <c r="BRM27" s="26"/>
      <c r="BRN27" s="26"/>
      <c r="BRO27" s="26"/>
      <c r="BRP27" s="26"/>
      <c r="BRQ27" s="26"/>
      <c r="BRR27" s="26"/>
      <c r="BRS27" s="26"/>
      <c r="BRT27" s="26"/>
      <c r="BRU27" s="26"/>
      <c r="BRV27" s="26"/>
      <c r="BRW27" s="26"/>
      <c r="BRX27" s="26"/>
      <c r="BRY27" s="26"/>
      <c r="BRZ27" s="26"/>
      <c r="BSA27" s="26"/>
      <c r="BSB27" s="26"/>
      <c r="BSC27" s="26"/>
      <c r="BSD27" s="26"/>
      <c r="BSE27" s="26"/>
      <c r="BSF27" s="26"/>
      <c r="BSG27" s="26"/>
      <c r="BSH27" s="26"/>
      <c r="BSI27" s="26"/>
      <c r="BSJ27" s="26"/>
      <c r="BSK27" s="26"/>
      <c r="BSL27" s="26"/>
      <c r="BSM27" s="26"/>
      <c r="BSN27" s="26"/>
      <c r="BSO27" s="26"/>
      <c r="BSP27" s="26"/>
      <c r="BSQ27" s="26"/>
      <c r="BSR27" s="26"/>
      <c r="BSS27" s="26"/>
      <c r="BST27" s="26"/>
      <c r="BSU27" s="26"/>
      <c r="BSV27" s="26"/>
      <c r="BSW27" s="26"/>
      <c r="BSX27" s="26"/>
      <c r="BSY27" s="26"/>
      <c r="BSZ27" s="26"/>
      <c r="BTA27" s="26"/>
      <c r="BTB27" s="26"/>
      <c r="BTC27" s="26"/>
      <c r="BTD27" s="26"/>
      <c r="BTE27" s="26"/>
      <c r="BTF27" s="26"/>
      <c r="BTG27" s="26"/>
      <c r="BTH27" s="26"/>
      <c r="BTI27" s="26"/>
      <c r="BTJ27" s="26"/>
      <c r="BTK27" s="26"/>
      <c r="BTL27" s="26"/>
      <c r="BTM27" s="26"/>
      <c r="BTN27" s="26"/>
      <c r="BTO27" s="26"/>
      <c r="BTP27" s="26"/>
      <c r="BTQ27" s="26"/>
      <c r="BTR27" s="26"/>
      <c r="BTS27" s="26"/>
      <c r="BTT27" s="26"/>
      <c r="BTU27" s="26"/>
      <c r="BTV27" s="26"/>
      <c r="BTW27" s="26"/>
      <c r="BTX27" s="26"/>
      <c r="BTY27" s="26"/>
      <c r="BTZ27" s="26"/>
      <c r="BUA27" s="26"/>
      <c r="BUB27" s="26"/>
      <c r="BUC27" s="26"/>
      <c r="BUD27" s="26"/>
      <c r="BUE27" s="26"/>
      <c r="BUF27" s="26"/>
      <c r="BUG27" s="26"/>
      <c r="BUH27" s="26"/>
      <c r="BUI27" s="26"/>
      <c r="BUJ27" s="26"/>
      <c r="BUK27" s="26"/>
      <c r="BUL27" s="26"/>
      <c r="BUM27" s="26"/>
      <c r="BUN27" s="26"/>
      <c r="BUO27" s="26"/>
      <c r="BUP27" s="26"/>
      <c r="BUQ27" s="26"/>
      <c r="BUR27" s="26"/>
      <c r="BUS27" s="26"/>
      <c r="BUT27" s="26"/>
      <c r="BUU27" s="26"/>
      <c r="BUV27" s="26"/>
      <c r="BUW27" s="26"/>
      <c r="BUX27" s="26"/>
      <c r="BUY27" s="26"/>
      <c r="BUZ27" s="26"/>
      <c r="BVA27" s="26"/>
      <c r="BVB27" s="26"/>
      <c r="BVC27" s="26"/>
      <c r="BVD27" s="26"/>
      <c r="BVE27" s="26"/>
      <c r="BVF27" s="26"/>
      <c r="BVG27" s="26"/>
      <c r="BVH27" s="26"/>
      <c r="BVI27" s="26"/>
      <c r="BVJ27" s="26"/>
      <c r="BVK27" s="26"/>
      <c r="BVL27" s="26"/>
      <c r="BVM27" s="26"/>
      <c r="BVN27" s="26"/>
      <c r="BVO27" s="26"/>
      <c r="BVP27" s="26"/>
      <c r="BVQ27" s="26"/>
      <c r="BVR27" s="26"/>
      <c r="BVS27" s="26"/>
      <c r="BVT27" s="26"/>
      <c r="BVU27" s="26"/>
      <c r="BVV27" s="26"/>
      <c r="BVW27" s="26"/>
      <c r="BVX27" s="26"/>
      <c r="BVY27" s="26"/>
      <c r="BVZ27" s="26"/>
      <c r="BWA27" s="26"/>
      <c r="BWB27" s="26"/>
      <c r="BWC27" s="26"/>
      <c r="BWD27" s="26"/>
      <c r="BWE27" s="26"/>
      <c r="BWF27" s="26"/>
      <c r="BWG27" s="26"/>
      <c r="BWH27" s="26"/>
      <c r="BWI27" s="26"/>
      <c r="BWJ27" s="26"/>
      <c r="BWK27" s="26"/>
      <c r="BWL27" s="26"/>
      <c r="BWM27" s="26"/>
      <c r="BWN27" s="26"/>
      <c r="BWO27" s="26"/>
      <c r="BWP27" s="26"/>
      <c r="BWQ27" s="26"/>
      <c r="BWR27" s="26"/>
      <c r="BWS27" s="26"/>
      <c r="BWT27" s="26"/>
      <c r="BWU27" s="26"/>
      <c r="BWV27" s="26"/>
      <c r="BWW27" s="26"/>
      <c r="BWX27" s="26"/>
      <c r="BWY27" s="26"/>
      <c r="BWZ27" s="26"/>
      <c r="BXA27" s="26"/>
      <c r="BXB27" s="26"/>
      <c r="BXC27" s="26"/>
      <c r="BXD27" s="26"/>
      <c r="BXE27" s="26"/>
      <c r="BXF27" s="26"/>
      <c r="BXG27" s="26"/>
      <c r="BXH27" s="26"/>
      <c r="BXI27" s="26"/>
      <c r="BXJ27" s="26"/>
      <c r="BXK27" s="26"/>
      <c r="BXL27" s="26"/>
      <c r="BXM27" s="26"/>
      <c r="BXN27" s="26"/>
      <c r="BXO27" s="26"/>
      <c r="BXP27" s="26"/>
      <c r="BXQ27" s="26"/>
      <c r="BXR27" s="26"/>
      <c r="BXS27" s="26"/>
      <c r="BXT27" s="26"/>
      <c r="BXU27" s="26"/>
      <c r="BXV27" s="26"/>
      <c r="BXW27" s="26"/>
      <c r="BXX27" s="26"/>
      <c r="BXY27" s="26"/>
      <c r="BXZ27" s="26"/>
      <c r="BYA27" s="26"/>
      <c r="BYB27" s="26"/>
      <c r="BYC27" s="26"/>
      <c r="BYD27" s="26"/>
      <c r="BYE27" s="26"/>
      <c r="BYF27" s="26"/>
      <c r="BYG27" s="26"/>
      <c r="BYH27" s="26"/>
      <c r="BYI27" s="26"/>
      <c r="BYJ27" s="26"/>
      <c r="BYK27" s="26"/>
      <c r="BYL27" s="26"/>
      <c r="BYM27" s="26"/>
      <c r="BYN27" s="26"/>
      <c r="BYO27" s="26"/>
      <c r="BYP27" s="26"/>
      <c r="BYQ27" s="26"/>
      <c r="BYR27" s="26"/>
      <c r="BYS27" s="26"/>
      <c r="BYT27" s="26"/>
      <c r="BYU27" s="26"/>
      <c r="BYV27" s="26"/>
      <c r="BYW27" s="26"/>
      <c r="BYX27" s="26"/>
      <c r="BYY27" s="26"/>
      <c r="BYZ27" s="26"/>
      <c r="BZA27" s="26"/>
      <c r="BZB27" s="26"/>
      <c r="BZC27" s="26"/>
      <c r="BZD27" s="26"/>
      <c r="BZE27" s="26"/>
      <c r="BZF27" s="26"/>
      <c r="BZG27" s="26"/>
      <c r="BZH27" s="26"/>
      <c r="BZI27" s="26"/>
      <c r="BZJ27" s="26"/>
      <c r="BZK27" s="26"/>
      <c r="BZL27" s="26"/>
      <c r="BZM27" s="26"/>
      <c r="BZN27" s="26"/>
      <c r="BZO27" s="26"/>
      <c r="BZP27" s="26"/>
      <c r="BZQ27" s="26"/>
      <c r="BZR27" s="26"/>
      <c r="BZS27" s="26"/>
      <c r="BZT27" s="26"/>
      <c r="BZU27" s="26"/>
      <c r="BZV27" s="26"/>
      <c r="BZW27" s="26"/>
      <c r="BZX27" s="26"/>
      <c r="BZY27" s="26"/>
      <c r="BZZ27" s="26"/>
      <c r="CAA27" s="26"/>
      <c r="CAB27" s="26"/>
      <c r="CAC27" s="26"/>
      <c r="CAD27" s="26"/>
      <c r="CAE27" s="26"/>
      <c r="CAF27" s="26"/>
      <c r="CAG27" s="26"/>
      <c r="CAH27" s="26"/>
      <c r="CAI27" s="26"/>
      <c r="CAJ27" s="26"/>
      <c r="CAK27" s="26"/>
      <c r="CAL27" s="26"/>
      <c r="CAM27" s="26"/>
      <c r="CAN27" s="26"/>
      <c r="CAO27" s="26"/>
      <c r="CAP27" s="26"/>
      <c r="CAQ27" s="26"/>
      <c r="CAR27" s="26"/>
      <c r="CAS27" s="26"/>
      <c r="CAT27" s="26"/>
      <c r="CAU27" s="26"/>
      <c r="CAV27" s="26"/>
      <c r="CAW27" s="26"/>
      <c r="CAX27" s="26"/>
      <c r="CAY27" s="26"/>
      <c r="CAZ27" s="26"/>
      <c r="CBA27" s="26"/>
      <c r="CBB27" s="26"/>
      <c r="CBC27" s="26"/>
      <c r="CBD27" s="26"/>
      <c r="CBE27" s="26"/>
      <c r="CBF27" s="26"/>
      <c r="CBG27" s="26"/>
      <c r="CBH27" s="26"/>
      <c r="CBI27" s="26"/>
    </row>
    <row r="28" spans="1:2089" ht="14" customHeight="1">
      <c r="A28" s="27">
        <f t="shared" si="0"/>
        <v>27</v>
      </c>
      <c r="B28" s="27" t="s">
        <v>286</v>
      </c>
      <c r="C28" s="27">
        <v>2013</v>
      </c>
      <c r="D28" s="26" t="s">
        <v>143</v>
      </c>
      <c r="E28" s="26" t="s">
        <v>566</v>
      </c>
      <c r="F28" s="77" t="s">
        <v>175</v>
      </c>
      <c r="G28" s="2" t="s">
        <v>105</v>
      </c>
      <c r="H28" s="2" t="s">
        <v>30</v>
      </c>
      <c r="I28" s="2" t="s">
        <v>548</v>
      </c>
      <c r="J28" s="2" t="s">
        <v>603</v>
      </c>
      <c r="K28" s="2" t="s">
        <v>548</v>
      </c>
      <c r="L28" s="2" t="s">
        <v>548</v>
      </c>
      <c r="M28" s="2" t="s">
        <v>548</v>
      </c>
      <c r="N28" s="2" t="s">
        <v>70</v>
      </c>
      <c r="O28" s="2" t="s">
        <v>209</v>
      </c>
      <c r="P28" s="2" t="s">
        <v>612</v>
      </c>
      <c r="Q28" s="2" t="s">
        <v>42</v>
      </c>
      <c r="R28" s="79" t="s">
        <v>613</v>
      </c>
      <c r="S28" s="2" t="s">
        <v>70</v>
      </c>
      <c r="T28" s="26">
        <v>150</v>
      </c>
      <c r="U28" s="77">
        <v>1</v>
      </c>
      <c r="V28" s="26">
        <v>0</v>
      </c>
      <c r="W28" s="26">
        <v>1</v>
      </c>
      <c r="X28" s="26">
        <v>1</v>
      </c>
      <c r="Y28" s="26">
        <v>1</v>
      </c>
      <c r="Z28" s="26">
        <v>0</v>
      </c>
      <c r="AA28" s="26">
        <v>0</v>
      </c>
      <c r="AB28" s="26">
        <v>0</v>
      </c>
      <c r="AC28" s="26" t="s">
        <v>70</v>
      </c>
      <c r="AD28" s="26" t="s">
        <v>70</v>
      </c>
      <c r="AE28" s="26" t="s">
        <v>70</v>
      </c>
      <c r="AF28" s="26" t="s">
        <v>70</v>
      </c>
      <c r="AG28" s="33">
        <f>1.68*10^3</f>
        <v>1680</v>
      </c>
      <c r="AH28" s="33" t="s">
        <v>70</v>
      </c>
      <c r="AI28" s="33" t="s">
        <v>70</v>
      </c>
      <c r="AJ28" s="26" t="s">
        <v>242</v>
      </c>
      <c r="AK28" s="33">
        <v>2119</v>
      </c>
      <c r="AL28" s="33" t="s">
        <v>70</v>
      </c>
      <c r="AM28" s="35" t="s">
        <v>175</v>
      </c>
      <c r="AN28" s="32" t="s">
        <v>9</v>
      </c>
      <c r="AO28" s="35" t="s">
        <v>175</v>
      </c>
      <c r="AP28" s="35" t="s">
        <v>175</v>
      </c>
      <c r="AQ28" s="35" t="s">
        <v>548</v>
      </c>
      <c r="AR28" s="35" t="s">
        <v>548</v>
      </c>
      <c r="AS28" s="26" t="s">
        <v>175</v>
      </c>
      <c r="AT28" s="26" t="s">
        <v>548</v>
      </c>
      <c r="AU28" s="40" t="s">
        <v>548</v>
      </c>
      <c r="AV28" s="26">
        <v>6</v>
      </c>
    </row>
    <row r="29" spans="1:2089" ht="14" customHeight="1">
      <c r="A29" s="27">
        <f t="shared" si="0"/>
        <v>28</v>
      </c>
      <c r="B29" s="27" t="s">
        <v>290</v>
      </c>
      <c r="C29" s="27">
        <v>2009</v>
      </c>
      <c r="D29" s="26" t="s">
        <v>47</v>
      </c>
      <c r="E29" s="26" t="s">
        <v>566</v>
      </c>
      <c r="F29" s="77" t="s">
        <v>175</v>
      </c>
      <c r="G29" s="2" t="s">
        <v>147</v>
      </c>
      <c r="H29" s="2" t="s">
        <v>275</v>
      </c>
      <c r="I29" s="2" t="s">
        <v>175</v>
      </c>
      <c r="J29" s="2" t="s">
        <v>603</v>
      </c>
      <c r="K29" s="2" t="s">
        <v>175</v>
      </c>
      <c r="L29" s="2" t="s">
        <v>548</v>
      </c>
      <c r="M29" s="2" t="s">
        <v>548</v>
      </c>
      <c r="N29" s="2" t="s">
        <v>608</v>
      </c>
      <c r="O29" s="2" t="s">
        <v>43</v>
      </c>
      <c r="P29" s="2" t="s">
        <v>608</v>
      </c>
      <c r="Q29" s="2" t="s">
        <v>42</v>
      </c>
      <c r="R29" s="79" t="s">
        <v>613</v>
      </c>
      <c r="S29" s="2">
        <v>3.9E-2</v>
      </c>
      <c r="T29" s="26">
        <v>1056</v>
      </c>
      <c r="U29" s="77">
        <v>1</v>
      </c>
      <c r="V29" s="26">
        <v>1</v>
      </c>
      <c r="W29" s="26">
        <v>1</v>
      </c>
      <c r="X29" s="26">
        <v>1</v>
      </c>
      <c r="Y29" s="26">
        <v>1</v>
      </c>
      <c r="Z29" s="26">
        <v>1</v>
      </c>
      <c r="AA29" s="26">
        <v>1</v>
      </c>
      <c r="AB29" s="26">
        <v>1</v>
      </c>
      <c r="AC29" s="26" t="s">
        <v>70</v>
      </c>
      <c r="AD29" s="26" t="s">
        <v>70</v>
      </c>
      <c r="AE29" s="26" t="s">
        <v>70</v>
      </c>
      <c r="AF29" s="26" t="s">
        <v>70</v>
      </c>
      <c r="AG29" s="26" t="s">
        <v>70</v>
      </c>
      <c r="AH29" s="26" t="s">
        <v>70</v>
      </c>
      <c r="AI29" s="26" t="s">
        <v>70</v>
      </c>
      <c r="AJ29" s="26" t="s">
        <v>70</v>
      </c>
      <c r="AK29" s="26" t="s">
        <v>70</v>
      </c>
      <c r="AL29" s="33" t="s">
        <v>70</v>
      </c>
      <c r="AM29" s="35" t="s">
        <v>175</v>
      </c>
      <c r="AN29" s="26" t="s">
        <v>274</v>
      </c>
      <c r="AO29" s="35" t="s">
        <v>175</v>
      </c>
      <c r="AP29" s="35" t="s">
        <v>548</v>
      </c>
      <c r="AQ29" s="35" t="s">
        <v>548</v>
      </c>
      <c r="AR29" s="35" t="s">
        <v>548</v>
      </c>
      <c r="AS29" s="26" t="s">
        <v>175</v>
      </c>
      <c r="AT29" s="26" t="s">
        <v>70</v>
      </c>
      <c r="AU29" s="26" t="s">
        <v>70</v>
      </c>
      <c r="AV29" s="26">
        <v>12</v>
      </c>
    </row>
    <row r="30" spans="1:2089" ht="14" customHeight="1">
      <c r="A30" s="27">
        <f t="shared" si="0"/>
        <v>29</v>
      </c>
      <c r="B30" s="27" t="s">
        <v>577</v>
      </c>
      <c r="C30" s="27">
        <v>2011</v>
      </c>
      <c r="D30" s="26" t="s">
        <v>47</v>
      </c>
      <c r="E30" s="26" t="s">
        <v>566</v>
      </c>
      <c r="F30" s="77" t="s">
        <v>175</v>
      </c>
      <c r="G30" s="2" t="s">
        <v>147</v>
      </c>
      <c r="H30" s="2" t="s">
        <v>30</v>
      </c>
      <c r="I30" s="2" t="s">
        <v>548</v>
      </c>
      <c r="J30" s="2" t="s">
        <v>603</v>
      </c>
      <c r="K30" s="2" t="s">
        <v>548</v>
      </c>
      <c r="L30" s="2" t="s">
        <v>548</v>
      </c>
      <c r="M30" s="2" t="s">
        <v>175</v>
      </c>
      <c r="N30" s="2" t="s">
        <v>608</v>
      </c>
      <c r="O30" s="2" t="s">
        <v>43</v>
      </c>
      <c r="P30" s="2" t="s">
        <v>608</v>
      </c>
      <c r="Q30" s="2" t="s">
        <v>42</v>
      </c>
      <c r="R30" s="79" t="s">
        <v>613</v>
      </c>
      <c r="S30" s="88">
        <v>0.56999999999999995</v>
      </c>
      <c r="T30" s="26">
        <v>100</v>
      </c>
      <c r="U30" s="77">
        <v>1</v>
      </c>
      <c r="V30" s="26">
        <v>0</v>
      </c>
      <c r="W30" s="26">
        <v>1</v>
      </c>
      <c r="X30" s="26">
        <v>1</v>
      </c>
      <c r="Y30" s="26">
        <v>1</v>
      </c>
      <c r="Z30" s="26">
        <v>0</v>
      </c>
      <c r="AA30" s="26">
        <v>0</v>
      </c>
      <c r="AB30" s="26">
        <v>0</v>
      </c>
      <c r="AC30" s="33">
        <v>0.43</v>
      </c>
      <c r="AD30" s="33">
        <v>0.33</v>
      </c>
      <c r="AE30" s="33">
        <v>0.24</v>
      </c>
      <c r="AF30" s="33">
        <v>0</v>
      </c>
      <c r="AG30" s="33">
        <v>8.8000000000000007</v>
      </c>
      <c r="AH30" s="33" t="s">
        <v>70</v>
      </c>
      <c r="AI30" s="33" t="s">
        <v>70</v>
      </c>
      <c r="AJ30" s="30" t="s">
        <v>133</v>
      </c>
      <c r="AK30" s="33" t="s">
        <v>70</v>
      </c>
      <c r="AL30" s="33" t="s">
        <v>70</v>
      </c>
      <c r="AM30" s="35" t="s">
        <v>175</v>
      </c>
      <c r="AN30" s="26" t="s">
        <v>617</v>
      </c>
      <c r="AO30" s="35" t="s">
        <v>175</v>
      </c>
      <c r="AP30" s="35" t="s">
        <v>548</v>
      </c>
      <c r="AQ30" s="35" t="s">
        <v>548</v>
      </c>
      <c r="AR30" s="35" t="s">
        <v>548</v>
      </c>
      <c r="AS30" s="26" t="s">
        <v>175</v>
      </c>
      <c r="AT30" s="26" t="s">
        <v>70</v>
      </c>
      <c r="AU30" s="26" t="s">
        <v>70</v>
      </c>
      <c r="AV30" s="26">
        <v>7</v>
      </c>
    </row>
    <row r="31" spans="1:2089" ht="14" customHeight="1">
      <c r="A31" s="27">
        <f t="shared" si="0"/>
        <v>30</v>
      </c>
      <c r="B31" s="27" t="s">
        <v>287</v>
      </c>
      <c r="C31" s="27">
        <v>2010</v>
      </c>
      <c r="D31" s="26" t="s">
        <v>134</v>
      </c>
      <c r="E31" s="26" t="s">
        <v>563</v>
      </c>
      <c r="F31" s="77" t="s">
        <v>175</v>
      </c>
      <c r="G31" s="2" t="s">
        <v>105</v>
      </c>
      <c r="H31" s="2" t="s">
        <v>24</v>
      </c>
      <c r="I31" s="2" t="s">
        <v>548</v>
      </c>
      <c r="J31" s="2" t="s">
        <v>604</v>
      </c>
      <c r="K31" s="2" t="s">
        <v>175</v>
      </c>
      <c r="L31" s="2" t="s">
        <v>175</v>
      </c>
      <c r="M31" s="2" t="s">
        <v>175</v>
      </c>
      <c r="N31" s="2" t="s">
        <v>62</v>
      </c>
      <c r="O31" s="2" t="s">
        <v>43</v>
      </c>
      <c r="P31" s="2" t="s">
        <v>621</v>
      </c>
      <c r="Q31" s="2" t="s">
        <v>42</v>
      </c>
      <c r="R31" s="102" t="s">
        <v>614</v>
      </c>
      <c r="S31" s="88" t="s">
        <v>70</v>
      </c>
      <c r="T31" s="26">
        <v>290</v>
      </c>
      <c r="U31" s="77">
        <v>1</v>
      </c>
      <c r="V31" s="26">
        <v>0</v>
      </c>
      <c r="W31" s="26">
        <v>1</v>
      </c>
      <c r="X31" s="26">
        <v>1</v>
      </c>
      <c r="Y31" s="26">
        <v>0</v>
      </c>
      <c r="Z31" s="26">
        <v>0</v>
      </c>
      <c r="AA31" s="26">
        <v>0</v>
      </c>
      <c r="AB31" s="26">
        <v>0</v>
      </c>
      <c r="AC31" s="34" t="s">
        <v>70</v>
      </c>
      <c r="AD31" s="34" t="s">
        <v>70</v>
      </c>
      <c r="AE31" s="34" t="s">
        <v>70</v>
      </c>
      <c r="AF31" s="34" t="s">
        <v>70</v>
      </c>
      <c r="AG31" s="33">
        <v>248</v>
      </c>
      <c r="AH31" s="34" t="s">
        <v>70</v>
      </c>
      <c r="AI31" s="33">
        <v>23</v>
      </c>
      <c r="AJ31" s="34" t="s">
        <v>70</v>
      </c>
      <c r="AK31" s="34" t="s">
        <v>70</v>
      </c>
      <c r="AL31" s="34" t="s">
        <v>70</v>
      </c>
      <c r="AM31" s="35" t="s">
        <v>175</v>
      </c>
      <c r="AN31" s="32" t="s">
        <v>9</v>
      </c>
      <c r="AO31" s="35" t="s">
        <v>175</v>
      </c>
      <c r="AP31" s="35" t="s">
        <v>548</v>
      </c>
      <c r="AQ31" s="35" t="s">
        <v>548</v>
      </c>
      <c r="AR31" s="35" t="s">
        <v>548</v>
      </c>
      <c r="AS31" s="26" t="s">
        <v>175</v>
      </c>
      <c r="AT31" s="26" t="s">
        <v>70</v>
      </c>
      <c r="AU31" s="26" t="s">
        <v>70</v>
      </c>
      <c r="AV31" s="26">
        <v>8</v>
      </c>
    </row>
    <row r="32" spans="1:2089" ht="14" customHeight="1">
      <c r="A32" s="27">
        <f t="shared" si="0"/>
        <v>31</v>
      </c>
      <c r="B32" s="27" t="s">
        <v>287</v>
      </c>
      <c r="C32" s="27">
        <v>2010</v>
      </c>
      <c r="D32" s="26" t="s">
        <v>134</v>
      </c>
      <c r="E32" s="26" t="s">
        <v>563</v>
      </c>
      <c r="F32" s="77" t="s">
        <v>175</v>
      </c>
      <c r="G32" s="2" t="s">
        <v>105</v>
      </c>
      <c r="H32" s="2" t="s">
        <v>24</v>
      </c>
      <c r="I32" s="2" t="s">
        <v>548</v>
      </c>
      <c r="J32" s="2" t="s">
        <v>604</v>
      </c>
      <c r="K32" s="2" t="s">
        <v>175</v>
      </c>
      <c r="L32" s="2" t="s">
        <v>175</v>
      </c>
      <c r="M32" s="2" t="s">
        <v>175</v>
      </c>
      <c r="N32" s="2" t="s">
        <v>608</v>
      </c>
      <c r="O32" s="2" t="s">
        <v>43</v>
      </c>
      <c r="P32" s="2" t="s">
        <v>623</v>
      </c>
      <c r="Q32" s="2" t="s">
        <v>42</v>
      </c>
      <c r="R32" s="102" t="s">
        <v>614</v>
      </c>
      <c r="S32" s="88" t="s">
        <v>70</v>
      </c>
      <c r="T32" s="26">
        <v>456</v>
      </c>
      <c r="U32" s="77">
        <v>1</v>
      </c>
      <c r="V32" s="26">
        <v>0</v>
      </c>
      <c r="W32" s="26">
        <v>1</v>
      </c>
      <c r="X32" s="26">
        <v>1</v>
      </c>
      <c r="Y32" s="26">
        <v>0</v>
      </c>
      <c r="Z32" s="26">
        <v>0</v>
      </c>
      <c r="AA32" s="26">
        <v>0</v>
      </c>
      <c r="AB32" s="26">
        <v>0</v>
      </c>
      <c r="AC32" s="34" t="s">
        <v>70</v>
      </c>
      <c r="AD32" s="34" t="s">
        <v>70</v>
      </c>
      <c r="AE32" s="34" t="s">
        <v>70</v>
      </c>
      <c r="AF32" s="34" t="s">
        <v>70</v>
      </c>
      <c r="AG32" s="33">
        <v>231</v>
      </c>
      <c r="AH32" s="34" t="s">
        <v>70</v>
      </c>
      <c r="AI32" s="33">
        <v>11</v>
      </c>
      <c r="AJ32" s="34" t="s">
        <v>70</v>
      </c>
      <c r="AK32" s="34" t="s">
        <v>70</v>
      </c>
      <c r="AL32" s="34" t="s">
        <v>70</v>
      </c>
      <c r="AM32" s="35" t="s">
        <v>175</v>
      </c>
      <c r="AN32" s="32" t="s">
        <v>9</v>
      </c>
      <c r="AO32" s="35" t="s">
        <v>175</v>
      </c>
      <c r="AP32" s="35" t="s">
        <v>548</v>
      </c>
      <c r="AQ32" s="35" t="s">
        <v>548</v>
      </c>
      <c r="AR32" s="35" t="s">
        <v>548</v>
      </c>
      <c r="AS32" s="26" t="s">
        <v>175</v>
      </c>
      <c r="AT32" s="26" t="s">
        <v>70</v>
      </c>
      <c r="AU32" s="26" t="s">
        <v>70</v>
      </c>
      <c r="AV32" s="26">
        <v>8</v>
      </c>
    </row>
    <row r="33" spans="1:48" ht="14" customHeight="1">
      <c r="A33" s="27">
        <f t="shared" si="0"/>
        <v>32</v>
      </c>
      <c r="B33" s="27" t="s">
        <v>288</v>
      </c>
      <c r="C33" s="27">
        <v>2010</v>
      </c>
      <c r="D33" s="26" t="s">
        <v>12</v>
      </c>
      <c r="E33" s="26" t="s">
        <v>566</v>
      </c>
      <c r="F33" s="77" t="s">
        <v>175</v>
      </c>
      <c r="G33" s="2" t="s">
        <v>106</v>
      </c>
      <c r="H33" s="2" t="s">
        <v>275</v>
      </c>
      <c r="I33" s="2" t="s">
        <v>175</v>
      </c>
      <c r="J33" s="2" t="s">
        <v>604</v>
      </c>
      <c r="K33" s="2" t="s">
        <v>175</v>
      </c>
      <c r="L33" s="2" t="s">
        <v>175</v>
      </c>
      <c r="M33" s="2" t="s">
        <v>175</v>
      </c>
      <c r="N33" s="2" t="s">
        <v>210</v>
      </c>
      <c r="O33" s="2" t="s">
        <v>43</v>
      </c>
      <c r="P33" s="2" t="s">
        <v>210</v>
      </c>
      <c r="Q33" s="2" t="s">
        <v>42</v>
      </c>
      <c r="R33" s="79" t="s">
        <v>613</v>
      </c>
      <c r="S33" s="88">
        <v>0.54300000000000004</v>
      </c>
      <c r="T33" s="26">
        <v>442</v>
      </c>
      <c r="U33" s="77">
        <v>1</v>
      </c>
      <c r="V33" s="26">
        <v>1</v>
      </c>
      <c r="W33" s="26">
        <v>1</v>
      </c>
      <c r="X33" s="26">
        <v>1</v>
      </c>
      <c r="Y33" s="26">
        <v>1</v>
      </c>
      <c r="Z33" s="26">
        <v>1</v>
      </c>
      <c r="AA33" s="26">
        <v>0</v>
      </c>
      <c r="AB33" s="26">
        <v>1</v>
      </c>
      <c r="AC33" s="26">
        <v>0.45</v>
      </c>
      <c r="AD33" s="26">
        <v>0.25</v>
      </c>
      <c r="AE33" s="26">
        <v>0.24</v>
      </c>
      <c r="AF33" s="26">
        <v>0.06</v>
      </c>
      <c r="AG33" s="26" t="s">
        <v>70</v>
      </c>
      <c r="AH33" s="26" t="s">
        <v>70</v>
      </c>
      <c r="AI33" s="26">
        <v>1</v>
      </c>
      <c r="AJ33" s="26" t="s">
        <v>174</v>
      </c>
      <c r="AK33" s="26" t="s">
        <v>70</v>
      </c>
      <c r="AL33" s="26" t="s">
        <v>70</v>
      </c>
      <c r="AM33" s="35" t="s">
        <v>175</v>
      </c>
      <c r="AN33" s="26" t="s">
        <v>617</v>
      </c>
      <c r="AO33" s="35" t="s">
        <v>548</v>
      </c>
      <c r="AP33" s="35" t="s">
        <v>175</v>
      </c>
      <c r="AQ33" s="35" t="s">
        <v>548</v>
      </c>
      <c r="AR33" s="35" t="s">
        <v>548</v>
      </c>
      <c r="AS33" s="26" t="s">
        <v>548</v>
      </c>
      <c r="AT33" s="26" t="s">
        <v>175</v>
      </c>
      <c r="AU33" s="40" t="s">
        <v>175</v>
      </c>
      <c r="AV33" s="26">
        <v>12</v>
      </c>
    </row>
    <row r="34" spans="1:48" ht="14" customHeight="1">
      <c r="A34" s="27">
        <f t="shared" si="0"/>
        <v>33</v>
      </c>
      <c r="B34" s="27" t="s">
        <v>288</v>
      </c>
      <c r="C34" s="27">
        <v>2010</v>
      </c>
      <c r="D34" s="26" t="s">
        <v>12</v>
      </c>
      <c r="E34" s="26" t="s">
        <v>566</v>
      </c>
      <c r="F34" s="77" t="s">
        <v>175</v>
      </c>
      <c r="G34" s="2" t="s">
        <v>106</v>
      </c>
      <c r="H34" s="2" t="s">
        <v>275</v>
      </c>
      <c r="I34" s="2" t="s">
        <v>175</v>
      </c>
      <c r="J34" s="2" t="s">
        <v>604</v>
      </c>
      <c r="K34" s="2" t="s">
        <v>175</v>
      </c>
      <c r="L34" s="2" t="s">
        <v>175</v>
      </c>
      <c r="M34" s="2" t="s">
        <v>175</v>
      </c>
      <c r="N34" s="2" t="s">
        <v>62</v>
      </c>
      <c r="O34" s="2" t="s">
        <v>43</v>
      </c>
      <c r="P34" s="2" t="s">
        <v>62</v>
      </c>
      <c r="Q34" s="26" t="s">
        <v>606</v>
      </c>
      <c r="R34" s="79" t="s">
        <v>613</v>
      </c>
      <c r="S34" s="88">
        <f>1-AC34</f>
        <v>0.23575000000000002</v>
      </c>
      <c r="T34" s="26">
        <v>600</v>
      </c>
      <c r="U34" s="77">
        <v>1</v>
      </c>
      <c r="V34" s="26">
        <v>1</v>
      </c>
      <c r="W34" s="26">
        <v>1</v>
      </c>
      <c r="X34" s="26">
        <v>1</v>
      </c>
      <c r="Y34" s="26">
        <v>1</v>
      </c>
      <c r="Z34" s="26">
        <v>1</v>
      </c>
      <c r="AA34" s="26">
        <v>0</v>
      </c>
      <c r="AB34" s="26">
        <v>1</v>
      </c>
      <c r="AC34" s="26">
        <v>0.76424999999999998</v>
      </c>
      <c r="AD34" s="26">
        <v>8.9749999999999996E-2</v>
      </c>
      <c r="AE34" s="26">
        <v>7.3000000000000009E-2</v>
      </c>
      <c r="AF34" s="26">
        <v>7.3000000000000009E-2</v>
      </c>
      <c r="AG34" s="26" t="s">
        <v>70</v>
      </c>
      <c r="AH34" s="26" t="s">
        <v>70</v>
      </c>
      <c r="AI34" s="26" t="s">
        <v>70</v>
      </c>
      <c r="AJ34" s="26" t="s">
        <v>174</v>
      </c>
      <c r="AK34" s="26" t="s">
        <v>70</v>
      </c>
      <c r="AL34" s="26" t="s">
        <v>70</v>
      </c>
      <c r="AM34" s="35" t="s">
        <v>175</v>
      </c>
      <c r="AN34" s="26" t="s">
        <v>617</v>
      </c>
      <c r="AO34" s="35" t="s">
        <v>548</v>
      </c>
      <c r="AP34" s="35" t="s">
        <v>175</v>
      </c>
      <c r="AQ34" s="35" t="s">
        <v>548</v>
      </c>
      <c r="AR34" s="35" t="s">
        <v>548</v>
      </c>
      <c r="AS34" s="26" t="s">
        <v>548</v>
      </c>
      <c r="AT34" s="26" t="s">
        <v>175</v>
      </c>
      <c r="AU34" s="40" t="s">
        <v>175</v>
      </c>
      <c r="AV34" s="26">
        <v>12</v>
      </c>
    </row>
    <row r="35" spans="1:48" ht="14" customHeight="1">
      <c r="A35" s="27">
        <f t="shared" si="0"/>
        <v>34</v>
      </c>
      <c r="B35" s="27" t="s">
        <v>288</v>
      </c>
      <c r="C35" s="27">
        <v>2010</v>
      </c>
      <c r="D35" s="26" t="s">
        <v>12</v>
      </c>
      <c r="E35" s="26" t="s">
        <v>566</v>
      </c>
      <c r="F35" s="77" t="s">
        <v>175</v>
      </c>
      <c r="G35" s="2" t="s">
        <v>106</v>
      </c>
      <c r="H35" s="2" t="s">
        <v>275</v>
      </c>
      <c r="I35" s="2" t="s">
        <v>175</v>
      </c>
      <c r="J35" s="2" t="s">
        <v>604</v>
      </c>
      <c r="K35" s="2" t="s">
        <v>175</v>
      </c>
      <c r="L35" s="2" t="s">
        <v>175</v>
      </c>
      <c r="M35" s="2" t="s">
        <v>175</v>
      </c>
      <c r="N35" s="2" t="s">
        <v>51</v>
      </c>
      <c r="O35" s="2" t="s">
        <v>43</v>
      </c>
      <c r="P35" s="2" t="s">
        <v>51</v>
      </c>
      <c r="Q35" s="2" t="s">
        <v>42</v>
      </c>
      <c r="R35" s="79" t="s">
        <v>613</v>
      </c>
      <c r="S35" s="88">
        <v>0.80700000000000005</v>
      </c>
      <c r="T35" s="26">
        <v>446</v>
      </c>
      <c r="U35" s="77">
        <v>1</v>
      </c>
      <c r="V35" s="26">
        <v>1</v>
      </c>
      <c r="W35" s="26">
        <v>1</v>
      </c>
      <c r="X35" s="26">
        <v>1</v>
      </c>
      <c r="Y35" s="26">
        <v>1</v>
      </c>
      <c r="Z35" s="26">
        <v>1</v>
      </c>
      <c r="AA35" s="26">
        <v>0</v>
      </c>
      <c r="AB35" s="26">
        <v>1</v>
      </c>
      <c r="AC35" s="26">
        <v>0.18</v>
      </c>
      <c r="AD35" s="26">
        <v>0.14000000000000001</v>
      </c>
      <c r="AE35" s="26">
        <v>0.32</v>
      </c>
      <c r="AF35" s="26">
        <v>0.36</v>
      </c>
      <c r="AG35" s="26" t="s">
        <v>70</v>
      </c>
      <c r="AH35" s="26" t="s">
        <v>70</v>
      </c>
      <c r="AI35" s="26">
        <v>41</v>
      </c>
      <c r="AJ35" s="26" t="s">
        <v>174</v>
      </c>
      <c r="AK35" s="26" t="s">
        <v>70</v>
      </c>
      <c r="AL35" s="26" t="s">
        <v>70</v>
      </c>
      <c r="AM35" s="35" t="s">
        <v>175</v>
      </c>
      <c r="AN35" s="26" t="s">
        <v>617</v>
      </c>
      <c r="AO35" s="35" t="s">
        <v>548</v>
      </c>
      <c r="AP35" s="35" t="s">
        <v>175</v>
      </c>
      <c r="AQ35" s="35" t="s">
        <v>548</v>
      </c>
      <c r="AR35" s="35" t="s">
        <v>548</v>
      </c>
      <c r="AS35" s="26" t="s">
        <v>548</v>
      </c>
      <c r="AT35" s="26" t="s">
        <v>175</v>
      </c>
      <c r="AU35" s="40" t="s">
        <v>175</v>
      </c>
      <c r="AV35" s="26">
        <v>12</v>
      </c>
    </row>
    <row r="36" spans="1:48" ht="14" customHeight="1">
      <c r="A36" s="27">
        <f t="shared" si="0"/>
        <v>35</v>
      </c>
      <c r="B36" s="27" t="s">
        <v>289</v>
      </c>
      <c r="C36" s="27">
        <v>2010</v>
      </c>
      <c r="D36" s="26" t="s">
        <v>14</v>
      </c>
      <c r="E36" s="26" t="s">
        <v>563</v>
      </c>
      <c r="F36" s="77" t="s">
        <v>175</v>
      </c>
      <c r="G36" s="2" t="s">
        <v>107</v>
      </c>
      <c r="H36" s="2" t="s">
        <v>275</v>
      </c>
      <c r="I36" s="2" t="s">
        <v>175</v>
      </c>
      <c r="J36" s="2" t="s">
        <v>604</v>
      </c>
      <c r="K36" s="2" t="s">
        <v>175</v>
      </c>
      <c r="L36" s="2" t="s">
        <v>175</v>
      </c>
      <c r="M36" s="2" t="s">
        <v>175</v>
      </c>
      <c r="N36" s="2" t="s">
        <v>62</v>
      </c>
      <c r="O36" s="2" t="s">
        <v>43</v>
      </c>
      <c r="P36" s="2" t="s">
        <v>62</v>
      </c>
      <c r="Q36" s="26" t="s">
        <v>606</v>
      </c>
      <c r="R36" s="79" t="s">
        <v>613</v>
      </c>
      <c r="S36" s="88">
        <v>0.11</v>
      </c>
      <c r="T36" s="26">
        <v>1286</v>
      </c>
      <c r="U36" s="77">
        <v>1</v>
      </c>
      <c r="V36" s="26">
        <v>1</v>
      </c>
      <c r="W36" s="26">
        <v>1</v>
      </c>
      <c r="X36" s="26">
        <v>1</v>
      </c>
      <c r="Y36" s="26">
        <v>1</v>
      </c>
      <c r="Z36" s="26">
        <v>1</v>
      </c>
      <c r="AA36" s="26">
        <v>0</v>
      </c>
      <c r="AB36" s="26">
        <v>1</v>
      </c>
      <c r="AC36" s="33">
        <f>(1038+91+10)/T36</f>
        <v>0.88569206842923798</v>
      </c>
      <c r="AD36" s="33">
        <f>146/T36</f>
        <v>0.11353032659409021</v>
      </c>
      <c r="AE36" s="33">
        <f>1/T36</f>
        <v>7.776049766718507E-4</v>
      </c>
      <c r="AF36" s="33">
        <v>0</v>
      </c>
      <c r="AG36" s="26" t="s">
        <v>70</v>
      </c>
      <c r="AH36" s="26" t="s">
        <v>70</v>
      </c>
      <c r="AI36" s="26" t="s">
        <v>70</v>
      </c>
      <c r="AJ36" s="26" t="s">
        <v>70</v>
      </c>
      <c r="AK36" s="26" t="s">
        <v>70</v>
      </c>
      <c r="AL36" s="26" t="s">
        <v>70</v>
      </c>
      <c r="AM36" s="35" t="s">
        <v>175</v>
      </c>
      <c r="AN36" s="26" t="s">
        <v>615</v>
      </c>
      <c r="AO36" s="35" t="s">
        <v>548</v>
      </c>
      <c r="AP36" s="35" t="s">
        <v>175</v>
      </c>
      <c r="AQ36" s="35" t="s">
        <v>548</v>
      </c>
      <c r="AR36" s="35" t="s">
        <v>548</v>
      </c>
      <c r="AS36" s="26" t="s">
        <v>548</v>
      </c>
      <c r="AT36" s="26" t="s">
        <v>175</v>
      </c>
      <c r="AU36" s="40" t="s">
        <v>175</v>
      </c>
      <c r="AV36" s="26">
        <v>12</v>
      </c>
    </row>
    <row r="37" spans="1:48" ht="14" customHeight="1">
      <c r="A37" s="27">
        <f t="shared" si="0"/>
        <v>36</v>
      </c>
      <c r="B37" s="27" t="s">
        <v>289</v>
      </c>
      <c r="C37" s="27">
        <v>2010</v>
      </c>
      <c r="D37" s="26" t="s">
        <v>14</v>
      </c>
      <c r="E37" s="26" t="s">
        <v>563</v>
      </c>
      <c r="F37" s="77" t="s">
        <v>175</v>
      </c>
      <c r="G37" s="2" t="s">
        <v>107</v>
      </c>
      <c r="H37" s="2" t="s">
        <v>275</v>
      </c>
      <c r="I37" s="2" t="s">
        <v>175</v>
      </c>
      <c r="J37" s="2" t="s">
        <v>604</v>
      </c>
      <c r="K37" s="2" t="s">
        <v>175</v>
      </c>
      <c r="L37" s="2" t="s">
        <v>175</v>
      </c>
      <c r="M37" s="2" t="s">
        <v>175</v>
      </c>
      <c r="N37" s="2" t="s">
        <v>50</v>
      </c>
      <c r="O37" s="2" t="s">
        <v>43</v>
      </c>
      <c r="P37" s="2" t="s">
        <v>50</v>
      </c>
      <c r="Q37" s="2" t="s">
        <v>42</v>
      </c>
      <c r="R37" s="79" t="s">
        <v>613</v>
      </c>
      <c r="S37" s="88">
        <v>0.18</v>
      </c>
      <c r="T37" s="26">
        <v>334</v>
      </c>
      <c r="U37" s="77">
        <v>1</v>
      </c>
      <c r="V37" s="26">
        <v>1</v>
      </c>
      <c r="W37" s="26">
        <v>1</v>
      </c>
      <c r="X37" s="26">
        <v>1</v>
      </c>
      <c r="Y37" s="26">
        <v>1</v>
      </c>
      <c r="Z37" s="26">
        <v>1</v>
      </c>
      <c r="AA37" s="26">
        <v>0</v>
      </c>
      <c r="AB37" s="26">
        <v>1</v>
      </c>
      <c r="AC37" s="26">
        <f>(121+146+7)/T37</f>
        <v>0.82035928143712578</v>
      </c>
      <c r="AD37" s="26">
        <f>(28+15+4)/T37</f>
        <v>0.1407185628742515</v>
      </c>
      <c r="AE37" s="26">
        <f>10/T37</f>
        <v>2.9940119760479042E-2</v>
      </c>
      <c r="AF37" s="26">
        <f>3/T37</f>
        <v>8.9820359281437123E-3</v>
      </c>
      <c r="AG37" s="26" t="s">
        <v>70</v>
      </c>
      <c r="AH37" s="26" t="s">
        <v>70</v>
      </c>
      <c r="AI37" s="26" t="s">
        <v>70</v>
      </c>
      <c r="AJ37" s="26" t="s">
        <v>70</v>
      </c>
      <c r="AK37" s="26" t="s">
        <v>70</v>
      </c>
      <c r="AL37" s="26" t="s">
        <v>70</v>
      </c>
      <c r="AM37" s="35" t="s">
        <v>175</v>
      </c>
      <c r="AN37" s="26" t="s">
        <v>615</v>
      </c>
      <c r="AO37" s="35" t="s">
        <v>548</v>
      </c>
      <c r="AP37" s="35" t="s">
        <v>175</v>
      </c>
      <c r="AQ37" s="35" t="s">
        <v>548</v>
      </c>
      <c r="AR37" s="35" t="s">
        <v>548</v>
      </c>
      <c r="AS37" s="26" t="s">
        <v>548</v>
      </c>
      <c r="AT37" s="26" t="s">
        <v>175</v>
      </c>
      <c r="AU37" s="40" t="s">
        <v>175</v>
      </c>
      <c r="AV37" s="26">
        <v>12</v>
      </c>
    </row>
    <row r="38" spans="1:48" ht="14" customHeight="1">
      <c r="A38" s="27">
        <f t="shared" si="0"/>
        <v>37</v>
      </c>
      <c r="B38" s="27" t="s">
        <v>291</v>
      </c>
      <c r="C38" s="27">
        <v>2002</v>
      </c>
      <c r="D38" s="26" t="s">
        <v>69</v>
      </c>
      <c r="E38" s="26" t="s">
        <v>565</v>
      </c>
      <c r="F38" s="77" t="s">
        <v>175</v>
      </c>
      <c r="G38" s="2" t="s">
        <v>106</v>
      </c>
      <c r="H38" s="2" t="s">
        <v>30</v>
      </c>
      <c r="I38" s="2" t="s">
        <v>548</v>
      </c>
      <c r="J38" s="2" t="s">
        <v>604</v>
      </c>
      <c r="K38" s="2" t="s">
        <v>548</v>
      </c>
      <c r="L38" s="2" t="s">
        <v>548</v>
      </c>
      <c r="M38" s="2" t="s">
        <v>548</v>
      </c>
      <c r="N38" s="2" t="s">
        <v>48</v>
      </c>
      <c r="O38" s="2" t="s">
        <v>209</v>
      </c>
      <c r="P38" s="2" t="s">
        <v>48</v>
      </c>
      <c r="Q38" s="2" t="s">
        <v>42</v>
      </c>
      <c r="R38" s="79" t="s">
        <v>613</v>
      </c>
      <c r="S38" s="2">
        <v>0</v>
      </c>
      <c r="T38" s="26">
        <v>18</v>
      </c>
      <c r="U38" s="77">
        <v>1</v>
      </c>
      <c r="V38" s="26">
        <v>0</v>
      </c>
      <c r="W38" s="26">
        <v>1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 t="s">
        <v>70</v>
      </c>
      <c r="AD38" s="26" t="s">
        <v>70</v>
      </c>
      <c r="AE38" s="26" t="s">
        <v>70</v>
      </c>
      <c r="AF38" s="26" t="s">
        <v>70</v>
      </c>
      <c r="AG38" s="26" t="s">
        <v>70</v>
      </c>
      <c r="AH38" s="26" t="s">
        <v>70</v>
      </c>
      <c r="AI38" s="26" t="s">
        <v>70</v>
      </c>
      <c r="AJ38" s="26" t="s">
        <v>70</v>
      </c>
      <c r="AK38" s="26" t="s">
        <v>70</v>
      </c>
      <c r="AL38" s="26" t="s">
        <v>70</v>
      </c>
      <c r="AM38" s="35" t="s">
        <v>548</v>
      </c>
      <c r="AN38" s="26" t="s">
        <v>274</v>
      </c>
      <c r="AO38" s="26" t="s">
        <v>548</v>
      </c>
      <c r="AP38" s="35" t="s">
        <v>548</v>
      </c>
      <c r="AQ38" s="35" t="s">
        <v>548</v>
      </c>
      <c r="AR38" s="35" t="s">
        <v>548</v>
      </c>
      <c r="AS38" s="26" t="s">
        <v>548</v>
      </c>
      <c r="AT38" s="26" t="s">
        <v>70</v>
      </c>
      <c r="AU38" s="26" t="s">
        <v>70</v>
      </c>
      <c r="AV38" s="26">
        <v>2</v>
      </c>
    </row>
    <row r="39" spans="1:48" ht="14" customHeight="1">
      <c r="A39" s="27">
        <f t="shared" si="0"/>
        <v>38</v>
      </c>
      <c r="B39" s="27" t="s">
        <v>292</v>
      </c>
      <c r="C39" s="37">
        <v>2012</v>
      </c>
      <c r="D39" s="26" t="s">
        <v>160</v>
      </c>
      <c r="E39" s="26" t="s">
        <v>565</v>
      </c>
      <c r="F39" s="77" t="s">
        <v>175</v>
      </c>
      <c r="G39" s="2" t="s">
        <v>84</v>
      </c>
      <c r="H39" s="2" t="s">
        <v>24</v>
      </c>
      <c r="I39" s="2" t="s">
        <v>548</v>
      </c>
      <c r="J39" s="2" t="s">
        <v>604</v>
      </c>
      <c r="K39" s="2" t="s">
        <v>548</v>
      </c>
      <c r="L39" s="2" t="s">
        <v>548</v>
      </c>
      <c r="M39" s="2" t="s">
        <v>175</v>
      </c>
      <c r="N39" s="2" t="s">
        <v>70</v>
      </c>
      <c r="O39" s="2" t="s">
        <v>209</v>
      </c>
      <c r="P39" s="2" t="s">
        <v>611</v>
      </c>
      <c r="Q39" s="2" t="s">
        <v>42</v>
      </c>
      <c r="R39" s="79" t="s">
        <v>613</v>
      </c>
      <c r="S39" s="75">
        <v>0.40500000000000003</v>
      </c>
      <c r="T39" s="26">
        <v>37</v>
      </c>
      <c r="U39" s="77">
        <v>1</v>
      </c>
      <c r="V39" s="26">
        <v>0</v>
      </c>
      <c r="W39" s="26">
        <v>0</v>
      </c>
      <c r="X39" s="26">
        <v>0</v>
      </c>
      <c r="Y39" s="26">
        <v>1</v>
      </c>
      <c r="Z39" s="38">
        <v>0</v>
      </c>
      <c r="AA39" s="38">
        <v>0</v>
      </c>
      <c r="AB39" s="38">
        <v>0</v>
      </c>
      <c r="AC39" s="26" t="s">
        <v>70</v>
      </c>
      <c r="AD39" s="26" t="s">
        <v>70</v>
      </c>
      <c r="AE39" s="26" t="s">
        <v>70</v>
      </c>
      <c r="AF39" s="26" t="s">
        <v>70</v>
      </c>
      <c r="AG39" s="26" t="s">
        <v>70</v>
      </c>
      <c r="AH39" s="26" t="s">
        <v>70</v>
      </c>
      <c r="AI39" s="26" t="s">
        <v>70</v>
      </c>
      <c r="AJ39" s="26" t="s">
        <v>70</v>
      </c>
      <c r="AK39" s="26" t="s">
        <v>70</v>
      </c>
      <c r="AL39" s="26" t="s">
        <v>70</v>
      </c>
      <c r="AM39" s="35" t="s">
        <v>548</v>
      </c>
      <c r="AN39" s="26" t="s">
        <v>274</v>
      </c>
      <c r="AO39" s="35" t="s">
        <v>548</v>
      </c>
      <c r="AP39" s="35" t="s">
        <v>548</v>
      </c>
      <c r="AQ39" s="35" t="s">
        <v>548</v>
      </c>
      <c r="AR39" s="35" t="s">
        <v>548</v>
      </c>
      <c r="AS39" s="26" t="s">
        <v>175</v>
      </c>
      <c r="AT39" s="26" t="s">
        <v>70</v>
      </c>
      <c r="AU39" s="26" t="s">
        <v>70</v>
      </c>
      <c r="AV39" s="26">
        <v>4</v>
      </c>
    </row>
    <row r="40" spans="1:48" ht="14" customHeight="1">
      <c r="A40" s="27">
        <f t="shared" si="0"/>
        <v>39</v>
      </c>
      <c r="B40" s="27" t="s">
        <v>292</v>
      </c>
      <c r="C40" s="37">
        <v>2012</v>
      </c>
      <c r="D40" s="26" t="s">
        <v>160</v>
      </c>
      <c r="E40" s="26" t="s">
        <v>565</v>
      </c>
      <c r="F40" s="77" t="s">
        <v>175</v>
      </c>
      <c r="G40" s="2" t="s">
        <v>84</v>
      </c>
      <c r="H40" s="2" t="s">
        <v>24</v>
      </c>
      <c r="I40" s="2" t="s">
        <v>548</v>
      </c>
      <c r="J40" s="2" t="s">
        <v>604</v>
      </c>
      <c r="K40" s="2" t="s">
        <v>548</v>
      </c>
      <c r="L40" s="2" t="s">
        <v>548</v>
      </c>
      <c r="M40" s="2" t="s">
        <v>175</v>
      </c>
      <c r="N40" s="2" t="s">
        <v>70</v>
      </c>
      <c r="O40" s="2" t="s">
        <v>209</v>
      </c>
      <c r="P40" s="2" t="s">
        <v>612</v>
      </c>
      <c r="Q40" s="2" t="s">
        <v>42</v>
      </c>
      <c r="R40" s="79" t="s">
        <v>613</v>
      </c>
      <c r="S40" s="2">
        <v>0.12545631067961163</v>
      </c>
      <c r="T40" s="26">
        <v>103</v>
      </c>
      <c r="U40" s="77">
        <v>1</v>
      </c>
      <c r="V40" s="26">
        <v>0</v>
      </c>
      <c r="W40" s="26">
        <v>0</v>
      </c>
      <c r="X40" s="26">
        <v>0</v>
      </c>
      <c r="Y40" s="26">
        <v>1</v>
      </c>
      <c r="Z40" s="38">
        <v>0</v>
      </c>
      <c r="AA40" s="38">
        <v>0</v>
      </c>
      <c r="AB40" s="38">
        <v>0</v>
      </c>
      <c r="AC40" s="26" t="s">
        <v>70</v>
      </c>
      <c r="AD40" s="26" t="s">
        <v>70</v>
      </c>
      <c r="AE40" s="26" t="s">
        <v>70</v>
      </c>
      <c r="AF40" s="26" t="s">
        <v>70</v>
      </c>
      <c r="AG40" s="26" t="s">
        <v>70</v>
      </c>
      <c r="AH40" s="26" t="s">
        <v>70</v>
      </c>
      <c r="AI40" s="26" t="s">
        <v>70</v>
      </c>
      <c r="AJ40" s="26" t="s">
        <v>70</v>
      </c>
      <c r="AK40" s="26" t="s">
        <v>70</v>
      </c>
      <c r="AL40" s="26" t="s">
        <v>70</v>
      </c>
      <c r="AM40" s="35" t="s">
        <v>548</v>
      </c>
      <c r="AN40" s="32" t="s">
        <v>274</v>
      </c>
      <c r="AO40" s="35" t="s">
        <v>548</v>
      </c>
      <c r="AP40" s="35" t="s">
        <v>548</v>
      </c>
      <c r="AQ40" s="35" t="s">
        <v>548</v>
      </c>
      <c r="AR40" s="35" t="s">
        <v>548</v>
      </c>
      <c r="AS40" s="26" t="s">
        <v>175</v>
      </c>
      <c r="AT40" s="26" t="s">
        <v>70</v>
      </c>
      <c r="AU40" s="26" t="s">
        <v>70</v>
      </c>
      <c r="AV40" s="26">
        <v>4</v>
      </c>
    </row>
    <row r="41" spans="1:48" ht="14" customHeight="1">
      <c r="A41" s="27">
        <f t="shared" si="0"/>
        <v>40</v>
      </c>
      <c r="B41" s="27" t="s">
        <v>292</v>
      </c>
      <c r="C41" s="37">
        <v>2012</v>
      </c>
      <c r="D41" s="26" t="s">
        <v>160</v>
      </c>
      <c r="E41" s="26" t="s">
        <v>565</v>
      </c>
      <c r="F41" s="77" t="s">
        <v>175</v>
      </c>
      <c r="G41" s="2" t="s">
        <v>84</v>
      </c>
      <c r="H41" s="2" t="s">
        <v>24</v>
      </c>
      <c r="I41" s="2" t="s">
        <v>548</v>
      </c>
      <c r="J41" s="2" t="s">
        <v>604</v>
      </c>
      <c r="K41" s="2" t="s">
        <v>548</v>
      </c>
      <c r="L41" s="2" t="s">
        <v>548</v>
      </c>
      <c r="M41" s="2" t="s">
        <v>175</v>
      </c>
      <c r="N41" s="2" t="s">
        <v>62</v>
      </c>
      <c r="O41" s="2" t="s">
        <v>43</v>
      </c>
      <c r="P41" s="2" t="s">
        <v>62</v>
      </c>
      <c r="Q41" s="26" t="s">
        <v>275</v>
      </c>
      <c r="R41" s="79" t="s">
        <v>613</v>
      </c>
      <c r="S41" s="2">
        <v>0.158</v>
      </c>
      <c r="T41" s="26">
        <v>38</v>
      </c>
      <c r="U41" s="77">
        <v>1</v>
      </c>
      <c r="V41" s="26">
        <v>0</v>
      </c>
      <c r="W41" s="26">
        <v>0</v>
      </c>
      <c r="X41" s="26">
        <v>0</v>
      </c>
      <c r="Y41" s="26">
        <v>1</v>
      </c>
      <c r="Z41" s="38">
        <v>0</v>
      </c>
      <c r="AA41" s="38">
        <v>0</v>
      </c>
      <c r="AB41" s="38">
        <v>0</v>
      </c>
      <c r="AC41" s="26" t="s">
        <v>70</v>
      </c>
      <c r="AD41" s="26" t="s">
        <v>70</v>
      </c>
      <c r="AE41" s="26" t="s">
        <v>70</v>
      </c>
      <c r="AF41" s="26" t="s">
        <v>70</v>
      </c>
      <c r="AG41" s="26" t="s">
        <v>70</v>
      </c>
      <c r="AH41" s="26" t="s">
        <v>70</v>
      </c>
      <c r="AI41" s="26" t="s">
        <v>70</v>
      </c>
      <c r="AJ41" s="26" t="s">
        <v>70</v>
      </c>
      <c r="AK41" s="26" t="s">
        <v>70</v>
      </c>
      <c r="AL41" s="26" t="s">
        <v>70</v>
      </c>
      <c r="AM41" s="35" t="s">
        <v>175</v>
      </c>
      <c r="AN41" s="32" t="s">
        <v>9</v>
      </c>
      <c r="AO41" s="35" t="s">
        <v>548</v>
      </c>
      <c r="AP41" s="35" t="s">
        <v>548</v>
      </c>
      <c r="AQ41" s="35" t="s">
        <v>548</v>
      </c>
      <c r="AR41" s="35" t="s">
        <v>548</v>
      </c>
      <c r="AS41" s="26" t="s">
        <v>175</v>
      </c>
      <c r="AT41" s="26" t="s">
        <v>70</v>
      </c>
      <c r="AU41" s="26" t="s">
        <v>70</v>
      </c>
      <c r="AV41" s="26">
        <v>5</v>
      </c>
    </row>
    <row r="42" spans="1:48" ht="14" customHeight="1">
      <c r="A42" s="27">
        <f t="shared" si="0"/>
        <v>41</v>
      </c>
      <c r="B42" s="27" t="s">
        <v>293</v>
      </c>
      <c r="C42" s="26">
        <v>2007</v>
      </c>
      <c r="D42" s="26" t="s">
        <v>38</v>
      </c>
      <c r="E42" s="26" t="s">
        <v>566</v>
      </c>
      <c r="F42" s="77" t="s">
        <v>175</v>
      </c>
      <c r="G42" s="2" t="s">
        <v>105</v>
      </c>
      <c r="H42" s="2" t="s">
        <v>30</v>
      </c>
      <c r="I42" s="2" t="s">
        <v>548</v>
      </c>
      <c r="J42" s="2" t="s">
        <v>604</v>
      </c>
      <c r="K42" s="2" t="s">
        <v>548</v>
      </c>
      <c r="L42" s="2" t="s">
        <v>548</v>
      </c>
      <c r="M42" s="2" t="s">
        <v>175</v>
      </c>
      <c r="N42" s="2" t="s">
        <v>70</v>
      </c>
      <c r="O42" s="2" t="s">
        <v>209</v>
      </c>
      <c r="P42" s="2" t="s">
        <v>61</v>
      </c>
      <c r="Q42" s="2" t="s">
        <v>42</v>
      </c>
      <c r="R42" s="79" t="s">
        <v>613</v>
      </c>
      <c r="S42" s="88">
        <v>8.4000000000000005E-2</v>
      </c>
      <c r="T42" s="61">
        <v>179</v>
      </c>
      <c r="U42" s="77">
        <v>1</v>
      </c>
      <c r="V42" s="26">
        <v>0</v>
      </c>
      <c r="W42" s="26">
        <v>1</v>
      </c>
      <c r="X42" s="26">
        <v>1</v>
      </c>
      <c r="Y42" s="26">
        <v>0</v>
      </c>
      <c r="Z42" s="26">
        <v>0</v>
      </c>
      <c r="AA42" s="26">
        <v>0</v>
      </c>
      <c r="AB42" s="26">
        <v>0</v>
      </c>
      <c r="AC42" s="33" t="s">
        <v>70</v>
      </c>
      <c r="AD42" s="33" t="s">
        <v>70</v>
      </c>
      <c r="AE42" s="33" t="s">
        <v>70</v>
      </c>
      <c r="AF42" s="33" t="s">
        <v>70</v>
      </c>
      <c r="AG42" s="33" t="s">
        <v>70</v>
      </c>
      <c r="AH42" s="33" t="s">
        <v>70</v>
      </c>
      <c r="AI42" s="33" t="s">
        <v>70</v>
      </c>
      <c r="AJ42" s="33" t="s">
        <v>70</v>
      </c>
      <c r="AK42" s="33" t="s">
        <v>70</v>
      </c>
      <c r="AL42" s="33" t="s">
        <v>70</v>
      </c>
      <c r="AM42" s="61" t="s">
        <v>548</v>
      </c>
      <c r="AN42" s="26" t="s">
        <v>274</v>
      </c>
      <c r="AO42" s="26" t="s">
        <v>548</v>
      </c>
      <c r="AP42" s="26" t="s">
        <v>548</v>
      </c>
      <c r="AQ42" s="26" t="s">
        <v>548</v>
      </c>
      <c r="AR42" s="26" t="s">
        <v>548</v>
      </c>
      <c r="AS42" s="26" t="s">
        <v>175</v>
      </c>
      <c r="AT42" s="26" t="s">
        <v>70</v>
      </c>
      <c r="AU42" s="26" t="s">
        <v>70</v>
      </c>
      <c r="AV42" s="26">
        <v>5</v>
      </c>
    </row>
    <row r="43" spans="1:48" ht="14" customHeight="1">
      <c r="A43" s="27">
        <f t="shared" si="0"/>
        <v>42</v>
      </c>
      <c r="B43" s="27" t="s">
        <v>294</v>
      </c>
      <c r="C43" s="27">
        <v>2005</v>
      </c>
      <c r="D43" s="26" t="s">
        <v>64</v>
      </c>
      <c r="E43" s="26" t="s">
        <v>564</v>
      </c>
      <c r="F43" s="77" t="s">
        <v>175</v>
      </c>
      <c r="G43" s="2" t="s">
        <v>149</v>
      </c>
      <c r="H43" s="2" t="s">
        <v>24</v>
      </c>
      <c r="I43" s="2" t="s">
        <v>548</v>
      </c>
      <c r="J43" s="2" t="s">
        <v>604</v>
      </c>
      <c r="K43" s="2" t="s">
        <v>548</v>
      </c>
      <c r="L43" s="2" t="s">
        <v>548</v>
      </c>
      <c r="M43" s="2" t="s">
        <v>548</v>
      </c>
      <c r="N43" s="2" t="s">
        <v>139</v>
      </c>
      <c r="O43" s="2" t="s">
        <v>60</v>
      </c>
      <c r="P43" s="2" t="s">
        <v>139</v>
      </c>
      <c r="Q43" s="2" t="s">
        <v>42</v>
      </c>
      <c r="R43" s="102" t="s">
        <v>614</v>
      </c>
      <c r="S43" s="88">
        <v>0.78</v>
      </c>
      <c r="T43" s="26">
        <v>27</v>
      </c>
      <c r="U43" s="77">
        <v>1</v>
      </c>
      <c r="V43" s="26">
        <v>1</v>
      </c>
      <c r="W43" s="26">
        <v>1</v>
      </c>
      <c r="X43" s="26">
        <v>1</v>
      </c>
      <c r="Y43" s="26">
        <v>1</v>
      </c>
      <c r="Z43" s="26">
        <v>0</v>
      </c>
      <c r="AA43" s="26">
        <v>0</v>
      </c>
      <c r="AB43" s="26">
        <v>1</v>
      </c>
      <c r="AC43" s="26" t="s">
        <v>70</v>
      </c>
      <c r="AD43" s="26" t="s">
        <v>70</v>
      </c>
      <c r="AE43" s="26" t="s">
        <v>70</v>
      </c>
      <c r="AF43" s="26" t="s">
        <v>70</v>
      </c>
      <c r="AG43" s="33" t="s">
        <v>70</v>
      </c>
      <c r="AH43" s="33" t="s">
        <v>70</v>
      </c>
      <c r="AI43" s="33" t="s">
        <v>70</v>
      </c>
      <c r="AJ43" s="26" t="s">
        <v>70</v>
      </c>
      <c r="AK43" s="33" t="s">
        <v>70</v>
      </c>
      <c r="AL43" s="33" t="s">
        <v>70</v>
      </c>
      <c r="AM43" s="35" t="s">
        <v>175</v>
      </c>
      <c r="AN43" s="32" t="s">
        <v>9</v>
      </c>
      <c r="AO43" s="35" t="s">
        <v>548</v>
      </c>
      <c r="AP43" s="35" t="s">
        <v>548</v>
      </c>
      <c r="AQ43" s="35" t="s">
        <v>548</v>
      </c>
      <c r="AR43" s="35" t="s">
        <v>175</v>
      </c>
      <c r="AS43" s="26" t="s">
        <v>175</v>
      </c>
      <c r="AT43" s="26" t="s">
        <v>70</v>
      </c>
      <c r="AU43" s="26" t="s">
        <v>70</v>
      </c>
      <c r="AV43" s="26">
        <v>8</v>
      </c>
    </row>
    <row r="44" spans="1:48" ht="14" customHeight="1">
      <c r="A44" s="27">
        <f t="shared" si="0"/>
        <v>43</v>
      </c>
      <c r="B44" s="27" t="s">
        <v>295</v>
      </c>
      <c r="C44" s="27">
        <v>2004</v>
      </c>
      <c r="D44" s="26" t="s">
        <v>69</v>
      </c>
      <c r="E44" s="26" t="s">
        <v>565</v>
      </c>
      <c r="F44" s="77" t="s">
        <v>175</v>
      </c>
      <c r="G44" s="2" t="s">
        <v>106</v>
      </c>
      <c r="H44" s="2" t="s">
        <v>30</v>
      </c>
      <c r="I44" s="2" t="s">
        <v>548</v>
      </c>
      <c r="J44" s="2" t="s">
        <v>604</v>
      </c>
      <c r="K44" s="2" t="s">
        <v>548</v>
      </c>
      <c r="L44" s="2" t="s">
        <v>548</v>
      </c>
      <c r="M44" s="2" t="s">
        <v>175</v>
      </c>
      <c r="N44" s="2" t="s">
        <v>62</v>
      </c>
      <c r="O44" s="2" t="s">
        <v>43</v>
      </c>
      <c r="P44" s="2" t="s">
        <v>62</v>
      </c>
      <c r="Q44" s="26" t="s">
        <v>275</v>
      </c>
      <c r="R44" s="102" t="s">
        <v>614</v>
      </c>
      <c r="S44" s="2">
        <f>13/T44</f>
        <v>0.30232558139534882</v>
      </c>
      <c r="T44" s="26">
        <v>43</v>
      </c>
      <c r="U44" s="77">
        <v>1</v>
      </c>
      <c r="V44" s="26">
        <v>0</v>
      </c>
      <c r="W44" s="26">
        <v>1</v>
      </c>
      <c r="X44" s="26">
        <v>1</v>
      </c>
      <c r="Y44" s="26">
        <v>1</v>
      </c>
      <c r="Z44" s="26">
        <v>0</v>
      </c>
      <c r="AA44" s="26">
        <v>0</v>
      </c>
      <c r="AB44" s="26">
        <v>0</v>
      </c>
      <c r="AC44" s="26" t="s">
        <v>70</v>
      </c>
      <c r="AD44" s="26" t="s">
        <v>70</v>
      </c>
      <c r="AE44" s="26" t="s">
        <v>70</v>
      </c>
      <c r="AF44" s="26" t="s">
        <v>70</v>
      </c>
      <c r="AG44" s="26" t="s">
        <v>70</v>
      </c>
      <c r="AH44" s="26" t="s">
        <v>70</v>
      </c>
      <c r="AI44" s="26" t="s">
        <v>70</v>
      </c>
      <c r="AJ44" s="26" t="s">
        <v>70</v>
      </c>
      <c r="AK44" s="26" t="s">
        <v>70</v>
      </c>
      <c r="AL44" s="33" t="s">
        <v>70</v>
      </c>
      <c r="AM44" s="35" t="s">
        <v>175</v>
      </c>
      <c r="AN44" s="26" t="s">
        <v>274</v>
      </c>
      <c r="AO44" s="35" t="s">
        <v>548</v>
      </c>
      <c r="AP44" s="35" t="s">
        <v>548</v>
      </c>
      <c r="AQ44" s="35" t="s">
        <v>548</v>
      </c>
      <c r="AR44" s="35" t="s">
        <v>175</v>
      </c>
      <c r="AS44" s="26" t="s">
        <v>175</v>
      </c>
      <c r="AT44" s="26" t="s">
        <v>70</v>
      </c>
      <c r="AU44" s="26" t="s">
        <v>70</v>
      </c>
      <c r="AV44" s="26">
        <v>7</v>
      </c>
    </row>
    <row r="45" spans="1:48" ht="14" customHeight="1">
      <c r="A45" s="27">
        <f t="shared" si="0"/>
        <v>44</v>
      </c>
      <c r="B45" s="27" t="s">
        <v>296</v>
      </c>
      <c r="C45" s="37">
        <v>2013</v>
      </c>
      <c r="D45" s="26" t="s">
        <v>38</v>
      </c>
      <c r="E45" s="26" t="s">
        <v>566</v>
      </c>
      <c r="F45" s="77" t="s">
        <v>175</v>
      </c>
      <c r="G45" s="2" t="s">
        <v>105</v>
      </c>
      <c r="H45" s="2" t="s">
        <v>24</v>
      </c>
      <c r="I45" s="2" t="s">
        <v>548</v>
      </c>
      <c r="J45" s="2" t="s">
        <v>604</v>
      </c>
      <c r="K45" s="2" t="s">
        <v>548</v>
      </c>
      <c r="L45" s="2" t="s">
        <v>548</v>
      </c>
      <c r="M45" s="2" t="s">
        <v>175</v>
      </c>
      <c r="N45" s="2" t="s">
        <v>62</v>
      </c>
      <c r="O45" s="2" t="s">
        <v>43</v>
      </c>
      <c r="P45" s="2" t="s">
        <v>62</v>
      </c>
      <c r="Q45" s="26" t="s">
        <v>606</v>
      </c>
      <c r="R45" s="102" t="s">
        <v>614</v>
      </c>
      <c r="S45" s="2">
        <v>0.61</v>
      </c>
      <c r="T45" s="26">
        <v>18</v>
      </c>
      <c r="U45" s="77">
        <v>1</v>
      </c>
      <c r="V45" s="26">
        <v>0</v>
      </c>
      <c r="W45" s="26">
        <v>1</v>
      </c>
      <c r="X45" s="26">
        <v>1</v>
      </c>
      <c r="Y45" s="26">
        <v>1</v>
      </c>
      <c r="Z45" s="26">
        <v>0</v>
      </c>
      <c r="AA45" s="26">
        <v>0</v>
      </c>
      <c r="AB45" s="26">
        <v>0</v>
      </c>
      <c r="AC45" s="26" t="s">
        <v>70</v>
      </c>
      <c r="AD45" s="26" t="s">
        <v>70</v>
      </c>
      <c r="AE45" s="26" t="s">
        <v>70</v>
      </c>
      <c r="AF45" s="26" t="s">
        <v>70</v>
      </c>
      <c r="AG45" s="26" t="s">
        <v>70</v>
      </c>
      <c r="AH45" s="26" t="s">
        <v>70</v>
      </c>
      <c r="AI45" s="26" t="s">
        <v>70</v>
      </c>
      <c r="AJ45" s="26" t="s">
        <v>70</v>
      </c>
      <c r="AK45" s="26" t="s">
        <v>70</v>
      </c>
      <c r="AL45" s="26" t="s">
        <v>70</v>
      </c>
      <c r="AM45" s="26" t="s">
        <v>175</v>
      </c>
      <c r="AN45" s="26" t="s">
        <v>274</v>
      </c>
      <c r="AO45" s="35" t="s">
        <v>548</v>
      </c>
      <c r="AP45" s="35" t="s">
        <v>175</v>
      </c>
      <c r="AQ45" s="35" t="s">
        <v>548</v>
      </c>
      <c r="AR45" s="35" t="s">
        <v>548</v>
      </c>
      <c r="AS45" s="26" t="s">
        <v>175</v>
      </c>
      <c r="AT45" s="26" t="s">
        <v>548</v>
      </c>
      <c r="AU45" s="40" t="s">
        <v>548</v>
      </c>
      <c r="AV45" s="26">
        <v>7</v>
      </c>
    </row>
    <row r="46" spans="1:48" ht="14" customHeight="1">
      <c r="A46" s="27">
        <f t="shared" si="0"/>
        <v>45</v>
      </c>
      <c r="B46" s="27" t="s">
        <v>297</v>
      </c>
      <c r="C46" s="27">
        <v>1995</v>
      </c>
      <c r="D46" s="26" t="s">
        <v>25</v>
      </c>
      <c r="E46" s="26" t="s">
        <v>565</v>
      </c>
      <c r="F46" s="77" t="s">
        <v>548</v>
      </c>
      <c r="G46" s="2" t="s">
        <v>105</v>
      </c>
      <c r="H46" s="2" t="s">
        <v>30</v>
      </c>
      <c r="I46" s="2" t="s">
        <v>548</v>
      </c>
      <c r="J46" s="2" t="s">
        <v>604</v>
      </c>
      <c r="K46" s="2" t="s">
        <v>548</v>
      </c>
      <c r="L46" s="2" t="s">
        <v>548</v>
      </c>
      <c r="M46" s="2" t="s">
        <v>548</v>
      </c>
      <c r="N46" s="2" t="s">
        <v>62</v>
      </c>
      <c r="O46" s="2" t="s">
        <v>43</v>
      </c>
      <c r="P46" s="2" t="s">
        <v>62</v>
      </c>
      <c r="Q46" s="38" t="s">
        <v>247</v>
      </c>
      <c r="R46" s="79" t="s">
        <v>613</v>
      </c>
      <c r="S46" s="2">
        <f>8/T46</f>
        <v>0.1</v>
      </c>
      <c r="T46" s="26">
        <v>80</v>
      </c>
      <c r="U46" s="77">
        <v>0</v>
      </c>
      <c r="V46" s="26">
        <v>0</v>
      </c>
      <c r="W46" s="26">
        <v>1</v>
      </c>
      <c r="X46" s="26">
        <v>0</v>
      </c>
      <c r="Y46" s="26">
        <v>1</v>
      </c>
      <c r="Z46" s="26">
        <v>0</v>
      </c>
      <c r="AA46" s="26">
        <v>0</v>
      </c>
      <c r="AB46" s="26">
        <v>0</v>
      </c>
      <c r="AC46" s="26" t="s">
        <v>70</v>
      </c>
      <c r="AD46" s="26" t="s">
        <v>70</v>
      </c>
      <c r="AE46" s="26" t="s">
        <v>70</v>
      </c>
      <c r="AF46" s="26" t="s">
        <v>70</v>
      </c>
      <c r="AG46" s="26" t="s">
        <v>70</v>
      </c>
      <c r="AH46" s="26" t="s">
        <v>70</v>
      </c>
      <c r="AI46" s="26" t="s">
        <v>70</v>
      </c>
      <c r="AJ46" s="26" t="s">
        <v>224</v>
      </c>
      <c r="AK46" s="26" t="s">
        <v>70</v>
      </c>
      <c r="AL46" s="26" t="s">
        <v>70</v>
      </c>
      <c r="AM46" s="35" t="s">
        <v>548</v>
      </c>
      <c r="AN46" s="32" t="s">
        <v>9</v>
      </c>
      <c r="AO46" s="35" t="s">
        <v>175</v>
      </c>
      <c r="AP46" s="35" t="s">
        <v>548</v>
      </c>
      <c r="AQ46" s="35" t="s">
        <v>548</v>
      </c>
      <c r="AR46" s="35" t="s">
        <v>548</v>
      </c>
      <c r="AS46" s="26" t="s">
        <v>175</v>
      </c>
      <c r="AT46" s="26" t="s">
        <v>70</v>
      </c>
      <c r="AU46" s="26" t="s">
        <v>70</v>
      </c>
      <c r="AV46" s="26">
        <v>3</v>
      </c>
    </row>
    <row r="47" spans="1:48" ht="14" customHeight="1">
      <c r="A47" s="27">
        <f t="shared" si="0"/>
        <v>46</v>
      </c>
      <c r="B47" s="27" t="s">
        <v>298</v>
      </c>
      <c r="C47" s="27">
        <v>1993</v>
      </c>
      <c r="D47" s="26" t="s">
        <v>229</v>
      </c>
      <c r="E47" s="26" t="s">
        <v>563</v>
      </c>
      <c r="F47" s="77" t="s">
        <v>175</v>
      </c>
      <c r="G47" s="2" t="s">
        <v>105</v>
      </c>
      <c r="H47" s="2" t="s">
        <v>24</v>
      </c>
      <c r="I47" s="2" t="s">
        <v>548</v>
      </c>
      <c r="J47" s="2" t="s">
        <v>189</v>
      </c>
      <c r="K47" s="2" t="s">
        <v>548</v>
      </c>
      <c r="L47" s="2" t="s">
        <v>548</v>
      </c>
      <c r="M47" s="2" t="s">
        <v>175</v>
      </c>
      <c r="N47" s="2" t="s">
        <v>209</v>
      </c>
      <c r="O47" s="2" t="s">
        <v>209</v>
      </c>
      <c r="P47" s="2" t="s">
        <v>625</v>
      </c>
      <c r="Q47" s="2" t="s">
        <v>42</v>
      </c>
      <c r="R47" s="79" t="s">
        <v>613</v>
      </c>
      <c r="S47" s="2">
        <v>0.95</v>
      </c>
      <c r="T47" s="26">
        <v>84</v>
      </c>
      <c r="U47" s="77">
        <v>1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 t="s">
        <v>70</v>
      </c>
      <c r="AD47" s="26" t="s">
        <v>70</v>
      </c>
      <c r="AE47" s="26" t="s">
        <v>70</v>
      </c>
      <c r="AF47" s="26" t="s">
        <v>70</v>
      </c>
      <c r="AG47" s="33">
        <v>3358</v>
      </c>
      <c r="AH47" s="33" t="s">
        <v>70</v>
      </c>
      <c r="AI47" s="33" t="s">
        <v>70</v>
      </c>
      <c r="AJ47" s="26" t="s">
        <v>70</v>
      </c>
      <c r="AK47" s="33" t="s">
        <v>70</v>
      </c>
      <c r="AL47" s="33" t="s">
        <v>70</v>
      </c>
      <c r="AM47" s="35" t="s">
        <v>175</v>
      </c>
      <c r="AN47" s="32" t="s">
        <v>9</v>
      </c>
      <c r="AO47" s="35" t="s">
        <v>548</v>
      </c>
      <c r="AP47" s="35" t="s">
        <v>548</v>
      </c>
      <c r="AQ47" s="35" t="s">
        <v>548</v>
      </c>
      <c r="AR47" s="35" t="s">
        <v>548</v>
      </c>
      <c r="AS47" s="26" t="s">
        <v>548</v>
      </c>
      <c r="AT47" s="26" t="s">
        <v>70</v>
      </c>
      <c r="AU47" s="26" t="s">
        <v>70</v>
      </c>
      <c r="AV47" s="26">
        <v>3</v>
      </c>
    </row>
    <row r="48" spans="1:48" ht="14" customHeight="1">
      <c r="A48" s="27">
        <f t="shared" si="0"/>
        <v>47</v>
      </c>
      <c r="B48" s="27" t="s">
        <v>298</v>
      </c>
      <c r="C48" s="27">
        <v>1993</v>
      </c>
      <c r="D48" s="26" t="s">
        <v>229</v>
      </c>
      <c r="E48" s="26" t="s">
        <v>563</v>
      </c>
      <c r="F48" s="77" t="s">
        <v>175</v>
      </c>
      <c r="G48" s="2" t="s">
        <v>105</v>
      </c>
      <c r="H48" s="2" t="s">
        <v>24</v>
      </c>
      <c r="I48" s="2" t="s">
        <v>548</v>
      </c>
      <c r="J48" s="2" t="s">
        <v>189</v>
      </c>
      <c r="K48" s="2" t="s">
        <v>548</v>
      </c>
      <c r="L48" s="2" t="s">
        <v>548</v>
      </c>
      <c r="M48" s="2" t="s">
        <v>175</v>
      </c>
      <c r="N48" s="2" t="s">
        <v>609</v>
      </c>
      <c r="O48" s="2" t="s">
        <v>60</v>
      </c>
      <c r="P48" s="2" t="s">
        <v>609</v>
      </c>
      <c r="Q48" s="2" t="s">
        <v>42</v>
      </c>
      <c r="R48" s="79" t="s">
        <v>613</v>
      </c>
      <c r="S48" s="2">
        <v>1</v>
      </c>
      <c r="T48" s="26">
        <v>94</v>
      </c>
      <c r="U48" s="77">
        <v>1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 t="s">
        <v>70</v>
      </c>
      <c r="AD48" s="26" t="s">
        <v>70</v>
      </c>
      <c r="AE48" s="26" t="s">
        <v>70</v>
      </c>
      <c r="AF48" s="26" t="s">
        <v>70</v>
      </c>
      <c r="AG48" s="33">
        <v>1871</v>
      </c>
      <c r="AH48" s="33" t="s">
        <v>70</v>
      </c>
      <c r="AI48" s="33" t="s">
        <v>70</v>
      </c>
      <c r="AJ48" s="26" t="s">
        <v>70</v>
      </c>
      <c r="AK48" s="33" t="s">
        <v>70</v>
      </c>
      <c r="AL48" s="33" t="s">
        <v>70</v>
      </c>
      <c r="AM48" s="35" t="s">
        <v>175</v>
      </c>
      <c r="AN48" s="32" t="s">
        <v>9</v>
      </c>
      <c r="AO48" s="35" t="s">
        <v>548</v>
      </c>
      <c r="AP48" s="35" t="s">
        <v>548</v>
      </c>
      <c r="AQ48" s="35" t="s">
        <v>548</v>
      </c>
      <c r="AR48" s="35" t="s">
        <v>548</v>
      </c>
      <c r="AS48" s="26" t="s">
        <v>548</v>
      </c>
      <c r="AT48" s="26" t="s">
        <v>70</v>
      </c>
      <c r="AU48" s="26" t="s">
        <v>70</v>
      </c>
      <c r="AV48" s="26">
        <v>3</v>
      </c>
    </row>
    <row r="49" spans="1:2089" ht="14" customHeight="1">
      <c r="A49" s="27">
        <f t="shared" si="0"/>
        <v>48</v>
      </c>
      <c r="B49" s="27" t="s">
        <v>299</v>
      </c>
      <c r="C49" s="27">
        <v>2009</v>
      </c>
      <c r="D49" s="26" t="s">
        <v>38</v>
      </c>
      <c r="E49" s="26" t="s">
        <v>566</v>
      </c>
      <c r="F49" s="77" t="s">
        <v>175</v>
      </c>
      <c r="G49" s="2" t="s">
        <v>105</v>
      </c>
      <c r="H49" s="2" t="s">
        <v>30</v>
      </c>
      <c r="I49" s="2" t="s">
        <v>548</v>
      </c>
      <c r="J49" s="2" t="s">
        <v>603</v>
      </c>
      <c r="K49" s="2" t="s">
        <v>548</v>
      </c>
      <c r="L49" s="2" t="s">
        <v>548</v>
      </c>
      <c r="M49" s="2" t="s">
        <v>548</v>
      </c>
      <c r="N49" s="2" t="s">
        <v>609</v>
      </c>
      <c r="O49" s="2" t="s">
        <v>60</v>
      </c>
      <c r="P49" s="2" t="s">
        <v>609</v>
      </c>
      <c r="Q49" s="2" t="s">
        <v>42</v>
      </c>
      <c r="R49" s="102" t="s">
        <v>614</v>
      </c>
      <c r="S49" s="88">
        <f>9/15</f>
        <v>0.6</v>
      </c>
      <c r="T49" s="26">
        <v>15</v>
      </c>
      <c r="U49" s="77">
        <v>1</v>
      </c>
      <c r="V49" s="26">
        <v>0</v>
      </c>
      <c r="W49" s="26">
        <v>1</v>
      </c>
      <c r="X49" s="26">
        <v>1</v>
      </c>
      <c r="Y49" s="26">
        <v>1</v>
      </c>
      <c r="Z49" s="26">
        <v>0</v>
      </c>
      <c r="AA49" s="26">
        <v>0</v>
      </c>
      <c r="AB49" s="26">
        <v>0</v>
      </c>
      <c r="AC49" s="33">
        <v>0.4</v>
      </c>
      <c r="AD49" s="33">
        <v>0</v>
      </c>
      <c r="AE49" s="33">
        <v>0</v>
      </c>
      <c r="AF49" s="33">
        <v>0.6</v>
      </c>
      <c r="AG49" s="33" t="s">
        <v>70</v>
      </c>
      <c r="AH49" s="33" t="s">
        <v>70</v>
      </c>
      <c r="AI49" s="33" t="s">
        <v>70</v>
      </c>
      <c r="AJ49" s="26" t="s">
        <v>70</v>
      </c>
      <c r="AK49" s="33" t="s">
        <v>70</v>
      </c>
      <c r="AL49" s="33" t="s">
        <v>70</v>
      </c>
      <c r="AM49" s="35" t="s">
        <v>175</v>
      </c>
      <c r="AN49" s="26" t="s">
        <v>615</v>
      </c>
      <c r="AO49" s="35" t="s">
        <v>548</v>
      </c>
      <c r="AP49" s="35" t="s">
        <v>548</v>
      </c>
      <c r="AQ49" s="35" t="s">
        <v>548</v>
      </c>
      <c r="AR49" s="35" t="s">
        <v>548</v>
      </c>
      <c r="AS49" s="26" t="s">
        <v>175</v>
      </c>
      <c r="AT49" s="26" t="s">
        <v>70</v>
      </c>
      <c r="AU49" s="26" t="s">
        <v>70</v>
      </c>
      <c r="AV49" s="26">
        <v>6</v>
      </c>
    </row>
    <row r="50" spans="1:2089" ht="14" customHeight="1">
      <c r="A50" s="27">
        <f t="shared" si="0"/>
        <v>49</v>
      </c>
      <c r="B50" s="27" t="s">
        <v>300</v>
      </c>
      <c r="C50" s="37">
        <v>2012</v>
      </c>
      <c r="D50" s="26" t="s">
        <v>13</v>
      </c>
      <c r="E50" s="26" t="s">
        <v>566</v>
      </c>
      <c r="F50" s="77" t="s">
        <v>175</v>
      </c>
      <c r="G50" s="2" t="s">
        <v>105</v>
      </c>
      <c r="H50" s="2" t="s">
        <v>30</v>
      </c>
      <c r="I50" s="2" t="s">
        <v>175</v>
      </c>
      <c r="J50" s="2" t="s">
        <v>604</v>
      </c>
      <c r="K50" s="2" t="s">
        <v>175</v>
      </c>
      <c r="L50" s="2" t="s">
        <v>175</v>
      </c>
      <c r="M50" s="2" t="s">
        <v>175</v>
      </c>
      <c r="N50" s="2" t="s">
        <v>51</v>
      </c>
      <c r="O50" s="2" t="s">
        <v>43</v>
      </c>
      <c r="P50" s="2" t="s">
        <v>51</v>
      </c>
      <c r="Q50" s="2" t="s">
        <v>42</v>
      </c>
      <c r="R50" s="102" t="s">
        <v>614</v>
      </c>
      <c r="S50" s="2" t="s">
        <v>70</v>
      </c>
      <c r="T50" s="26">
        <v>42</v>
      </c>
      <c r="U50" s="77">
        <v>1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 t="s">
        <v>70</v>
      </c>
      <c r="AD50" s="26" t="s">
        <v>70</v>
      </c>
      <c r="AE50" s="26" t="s">
        <v>70</v>
      </c>
      <c r="AF50" s="26" t="s">
        <v>70</v>
      </c>
      <c r="AG50" s="33">
        <v>23.5</v>
      </c>
      <c r="AH50" s="26" t="s">
        <v>70</v>
      </c>
      <c r="AI50" s="26" t="s">
        <v>70</v>
      </c>
      <c r="AJ50" s="26" t="s">
        <v>202</v>
      </c>
      <c r="AK50" s="26" t="s">
        <v>70</v>
      </c>
      <c r="AL50" s="26" t="s">
        <v>70</v>
      </c>
      <c r="AM50" s="35" t="s">
        <v>548</v>
      </c>
      <c r="AN50" s="26" t="s">
        <v>274</v>
      </c>
      <c r="AO50" s="35" t="s">
        <v>548</v>
      </c>
      <c r="AP50" s="35" t="s">
        <v>548</v>
      </c>
      <c r="AQ50" s="35" t="s">
        <v>548</v>
      </c>
      <c r="AR50" s="35" t="s">
        <v>548</v>
      </c>
      <c r="AS50" s="26" t="s">
        <v>175</v>
      </c>
      <c r="AT50" s="26" t="s">
        <v>70</v>
      </c>
      <c r="AU50" s="26" t="s">
        <v>70</v>
      </c>
      <c r="AV50" s="26">
        <v>6</v>
      </c>
    </row>
    <row r="51" spans="1:2089" ht="14" customHeight="1">
      <c r="A51" s="27">
        <f t="shared" si="0"/>
        <v>50</v>
      </c>
      <c r="B51" s="27" t="s">
        <v>300</v>
      </c>
      <c r="C51" s="37">
        <v>2012</v>
      </c>
      <c r="D51" s="26" t="s">
        <v>13</v>
      </c>
      <c r="E51" s="26" t="s">
        <v>566</v>
      </c>
      <c r="F51" s="77" t="s">
        <v>175</v>
      </c>
      <c r="G51" s="2" t="s">
        <v>105</v>
      </c>
      <c r="H51" s="2" t="s">
        <v>30</v>
      </c>
      <c r="I51" s="2" t="s">
        <v>548</v>
      </c>
      <c r="J51" s="2" t="s">
        <v>604</v>
      </c>
      <c r="K51" s="2" t="s">
        <v>175</v>
      </c>
      <c r="L51" s="2" t="s">
        <v>175</v>
      </c>
      <c r="M51" s="2" t="s">
        <v>175</v>
      </c>
      <c r="N51" s="2" t="s">
        <v>609</v>
      </c>
      <c r="O51" s="2" t="s">
        <v>60</v>
      </c>
      <c r="P51" s="2" t="s">
        <v>609</v>
      </c>
      <c r="Q51" s="2" t="s">
        <v>42</v>
      </c>
      <c r="R51" s="102" t="s">
        <v>614</v>
      </c>
      <c r="S51" s="2" t="s">
        <v>70</v>
      </c>
      <c r="T51" s="26">
        <v>59</v>
      </c>
      <c r="U51" s="77">
        <v>1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 t="s">
        <v>70</v>
      </c>
      <c r="AD51" s="26" t="s">
        <v>70</v>
      </c>
      <c r="AE51" s="26" t="s">
        <v>70</v>
      </c>
      <c r="AF51" s="26" t="s">
        <v>70</v>
      </c>
      <c r="AG51" s="33">
        <v>64.231694919999995</v>
      </c>
      <c r="AH51" s="26" t="s">
        <v>70</v>
      </c>
      <c r="AI51" s="26" t="s">
        <v>70</v>
      </c>
      <c r="AJ51" s="26" t="s">
        <v>204</v>
      </c>
      <c r="AK51" s="26" t="s">
        <v>70</v>
      </c>
      <c r="AL51" s="26" t="s">
        <v>70</v>
      </c>
      <c r="AM51" s="35" t="s">
        <v>548</v>
      </c>
      <c r="AN51" s="26" t="s">
        <v>274</v>
      </c>
      <c r="AO51" s="35" t="s">
        <v>548</v>
      </c>
      <c r="AP51" s="35" t="s">
        <v>548</v>
      </c>
      <c r="AQ51" s="35" t="s">
        <v>548</v>
      </c>
      <c r="AR51" s="35" t="s">
        <v>548</v>
      </c>
      <c r="AS51" s="26" t="s">
        <v>175</v>
      </c>
      <c r="AT51" s="26" t="s">
        <v>70</v>
      </c>
      <c r="AU51" s="26" t="s">
        <v>70</v>
      </c>
      <c r="AV51" s="26">
        <v>5</v>
      </c>
    </row>
    <row r="52" spans="1:2089" ht="14" customHeight="1">
      <c r="A52" s="27">
        <f t="shared" si="0"/>
        <v>51</v>
      </c>
      <c r="B52" s="27" t="s">
        <v>301</v>
      </c>
      <c r="C52" s="28">
        <v>2006</v>
      </c>
      <c r="D52" s="26" t="s">
        <v>109</v>
      </c>
      <c r="E52" s="26" t="s">
        <v>565</v>
      </c>
      <c r="F52" s="2" t="s">
        <v>175</v>
      </c>
      <c r="G52" s="2" t="s">
        <v>147</v>
      </c>
      <c r="H52" s="2" t="s">
        <v>30</v>
      </c>
      <c r="I52" s="2" t="s">
        <v>548</v>
      </c>
      <c r="J52" s="2" t="s">
        <v>604</v>
      </c>
      <c r="K52" s="2" t="s">
        <v>548</v>
      </c>
      <c r="L52" s="2" t="s">
        <v>548</v>
      </c>
      <c r="M52" s="2" t="s">
        <v>175</v>
      </c>
      <c r="N52" s="2" t="s">
        <v>70</v>
      </c>
      <c r="O52" s="2" t="s">
        <v>209</v>
      </c>
      <c r="P52" s="2" t="s">
        <v>612</v>
      </c>
      <c r="Q52" s="2" t="s">
        <v>42</v>
      </c>
      <c r="R52" s="102" t="s">
        <v>614</v>
      </c>
      <c r="S52" s="88">
        <v>0.15</v>
      </c>
      <c r="T52" s="61">
        <v>40</v>
      </c>
      <c r="U52" s="2">
        <v>1</v>
      </c>
      <c r="V52" s="26">
        <v>0</v>
      </c>
      <c r="W52" s="26">
        <v>1</v>
      </c>
      <c r="X52" s="26">
        <v>1</v>
      </c>
      <c r="Y52" s="26">
        <v>0</v>
      </c>
      <c r="Z52" s="26">
        <v>0</v>
      </c>
      <c r="AA52" s="26">
        <v>0</v>
      </c>
      <c r="AB52" s="26">
        <v>0</v>
      </c>
      <c r="AC52" s="33" t="s">
        <v>70</v>
      </c>
      <c r="AD52" s="33" t="s">
        <v>70</v>
      </c>
      <c r="AE52" s="33" t="s">
        <v>70</v>
      </c>
      <c r="AF52" s="33" t="s">
        <v>70</v>
      </c>
      <c r="AG52" s="33" t="s">
        <v>70</v>
      </c>
      <c r="AH52" s="33" t="s">
        <v>70</v>
      </c>
      <c r="AI52" s="33" t="s">
        <v>70</v>
      </c>
      <c r="AJ52" s="33" t="s">
        <v>70</v>
      </c>
      <c r="AK52" s="33" t="s">
        <v>70</v>
      </c>
      <c r="AL52" s="33" t="s">
        <v>70</v>
      </c>
      <c r="AM52" s="61" t="s">
        <v>175</v>
      </c>
      <c r="AN52" s="26" t="s">
        <v>274</v>
      </c>
      <c r="AO52" s="26" t="s">
        <v>548</v>
      </c>
      <c r="AP52" s="26" t="s">
        <v>548</v>
      </c>
      <c r="AQ52" s="26" t="s">
        <v>548</v>
      </c>
      <c r="AR52" s="26" t="s">
        <v>548</v>
      </c>
      <c r="AS52" s="26" t="s">
        <v>175</v>
      </c>
      <c r="AT52" s="26" t="s">
        <v>70</v>
      </c>
      <c r="AU52" s="26" t="s">
        <v>70</v>
      </c>
      <c r="AV52" s="26">
        <v>6</v>
      </c>
    </row>
    <row r="53" spans="1:2089" ht="14" customHeight="1">
      <c r="A53" s="27">
        <f t="shared" si="0"/>
        <v>52</v>
      </c>
      <c r="B53" s="27" t="s">
        <v>302</v>
      </c>
      <c r="C53" s="37">
        <v>2012</v>
      </c>
      <c r="D53" s="26" t="s">
        <v>160</v>
      </c>
      <c r="E53" s="26" t="s">
        <v>565</v>
      </c>
      <c r="F53" s="77" t="s">
        <v>175</v>
      </c>
      <c r="G53" s="2" t="s">
        <v>84</v>
      </c>
      <c r="H53" s="2" t="s">
        <v>24</v>
      </c>
      <c r="I53" s="2" t="s">
        <v>548</v>
      </c>
      <c r="J53" s="2" t="s">
        <v>604</v>
      </c>
      <c r="K53" s="2" t="s">
        <v>175</v>
      </c>
      <c r="L53" s="2" t="s">
        <v>175</v>
      </c>
      <c r="M53" s="2" t="s">
        <v>175</v>
      </c>
      <c r="N53" s="2" t="s">
        <v>210</v>
      </c>
      <c r="O53" s="2" t="s">
        <v>43</v>
      </c>
      <c r="P53" s="2" t="s">
        <v>210</v>
      </c>
      <c r="Q53" s="2" t="s">
        <v>42</v>
      </c>
      <c r="R53" s="79" t="s">
        <v>613</v>
      </c>
      <c r="S53" s="2">
        <f>25/T53</f>
        <v>0.32894736842105265</v>
      </c>
      <c r="T53" s="26">
        <v>76</v>
      </c>
      <c r="U53" s="77">
        <v>1</v>
      </c>
      <c r="V53" s="26">
        <v>0</v>
      </c>
      <c r="W53" s="26">
        <v>1</v>
      </c>
      <c r="X53" s="26">
        <v>1</v>
      </c>
      <c r="Y53" s="26">
        <v>1</v>
      </c>
      <c r="Z53" s="26">
        <v>1</v>
      </c>
      <c r="AA53" s="26">
        <v>0</v>
      </c>
      <c r="AB53" s="26">
        <v>0</v>
      </c>
      <c r="AC53" s="26" t="s">
        <v>70</v>
      </c>
      <c r="AD53" s="26" t="s">
        <v>70</v>
      </c>
      <c r="AE53" s="26" t="s">
        <v>70</v>
      </c>
      <c r="AF53" s="26" t="s">
        <v>70</v>
      </c>
      <c r="AG53" s="26" t="s">
        <v>70</v>
      </c>
      <c r="AH53" s="26" t="s">
        <v>70</v>
      </c>
      <c r="AI53" s="26" t="s">
        <v>70</v>
      </c>
      <c r="AJ53" s="26" t="s">
        <v>70</v>
      </c>
      <c r="AK53" s="26" t="s">
        <v>70</v>
      </c>
      <c r="AL53" s="26" t="s">
        <v>70</v>
      </c>
      <c r="AM53" s="35" t="s">
        <v>175</v>
      </c>
      <c r="AN53" s="32" t="s">
        <v>9</v>
      </c>
      <c r="AO53" s="35" t="s">
        <v>548</v>
      </c>
      <c r="AP53" s="35" t="s">
        <v>548</v>
      </c>
      <c r="AQ53" s="35" t="s">
        <v>548</v>
      </c>
      <c r="AR53" s="35" t="s">
        <v>548</v>
      </c>
      <c r="AS53" s="26" t="s">
        <v>175</v>
      </c>
      <c r="AT53" s="26" t="s">
        <v>70</v>
      </c>
      <c r="AU53" s="26" t="s">
        <v>70</v>
      </c>
      <c r="AV53" s="26">
        <v>10</v>
      </c>
    </row>
    <row r="54" spans="1:2089" s="59" customFormat="1" ht="14" customHeight="1">
      <c r="A54" s="27">
        <f t="shared" si="0"/>
        <v>53</v>
      </c>
      <c r="B54" s="27" t="s">
        <v>303</v>
      </c>
      <c r="C54" s="27">
        <v>2012</v>
      </c>
      <c r="D54" s="26" t="s">
        <v>49</v>
      </c>
      <c r="E54" s="26" t="s">
        <v>566</v>
      </c>
      <c r="F54" s="77" t="s">
        <v>175</v>
      </c>
      <c r="G54" s="2" t="s">
        <v>84</v>
      </c>
      <c r="H54" s="2" t="s">
        <v>24</v>
      </c>
      <c r="I54" s="2" t="s">
        <v>548</v>
      </c>
      <c r="J54" s="2" t="s">
        <v>604</v>
      </c>
      <c r="K54" s="2" t="s">
        <v>548</v>
      </c>
      <c r="L54" s="2" t="s">
        <v>548</v>
      </c>
      <c r="M54" s="2" t="s">
        <v>175</v>
      </c>
      <c r="N54" s="2" t="s">
        <v>62</v>
      </c>
      <c r="O54" s="2" t="s">
        <v>43</v>
      </c>
      <c r="P54" s="2" t="s">
        <v>62</v>
      </c>
      <c r="Q54" s="26" t="s">
        <v>247</v>
      </c>
      <c r="R54" s="102" t="s">
        <v>614</v>
      </c>
      <c r="S54" s="88">
        <v>0.84</v>
      </c>
      <c r="T54" s="61">
        <v>100</v>
      </c>
      <c r="U54" s="77">
        <v>1</v>
      </c>
      <c r="V54" s="26">
        <v>0</v>
      </c>
      <c r="W54" s="26">
        <v>1</v>
      </c>
      <c r="X54" s="26">
        <v>1</v>
      </c>
      <c r="Y54" s="26">
        <v>0</v>
      </c>
      <c r="Z54" s="26">
        <v>0</v>
      </c>
      <c r="AA54" s="26">
        <v>0</v>
      </c>
      <c r="AB54" s="26">
        <v>0</v>
      </c>
      <c r="AC54" s="26" t="s">
        <v>70</v>
      </c>
      <c r="AD54" s="26" t="s">
        <v>70</v>
      </c>
      <c r="AE54" s="26" t="s">
        <v>70</v>
      </c>
      <c r="AF54" s="26" t="s">
        <v>70</v>
      </c>
      <c r="AG54" s="26" t="s">
        <v>70</v>
      </c>
      <c r="AH54" s="26" t="s">
        <v>70</v>
      </c>
      <c r="AI54" s="26" t="s">
        <v>70</v>
      </c>
      <c r="AJ54" s="26" t="s">
        <v>70</v>
      </c>
      <c r="AK54" s="26" t="s">
        <v>70</v>
      </c>
      <c r="AL54" s="26" t="s">
        <v>70</v>
      </c>
      <c r="AM54" s="61" t="s">
        <v>548</v>
      </c>
      <c r="AN54" s="26" t="s">
        <v>274</v>
      </c>
      <c r="AO54" s="35" t="s">
        <v>548</v>
      </c>
      <c r="AP54" s="35" t="s">
        <v>548</v>
      </c>
      <c r="AQ54" s="35" t="s">
        <v>175</v>
      </c>
      <c r="AR54" s="35" t="s">
        <v>175</v>
      </c>
      <c r="AS54" s="26" t="s">
        <v>175</v>
      </c>
      <c r="AT54" s="26" t="s">
        <v>70</v>
      </c>
      <c r="AU54" s="26" t="s">
        <v>70</v>
      </c>
      <c r="AV54" s="26">
        <v>5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6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6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6"/>
      <c r="OG54" s="26"/>
      <c r="OH54" s="26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  <c r="PS54" s="26"/>
      <c r="PT54" s="26"/>
      <c r="PU54" s="26"/>
      <c r="PV54" s="26"/>
      <c r="PW54" s="26"/>
      <c r="PX54" s="26"/>
      <c r="PY54" s="26"/>
      <c r="PZ54" s="26"/>
      <c r="QA54" s="26"/>
      <c r="QB54" s="26"/>
      <c r="QC54" s="26"/>
      <c r="QD54" s="26"/>
      <c r="QE54" s="26"/>
      <c r="QF54" s="26"/>
      <c r="QG54" s="26"/>
      <c r="QH54" s="26"/>
      <c r="QI54" s="26"/>
      <c r="QJ54" s="26"/>
      <c r="QK54" s="26"/>
      <c r="QL54" s="26"/>
      <c r="QM54" s="26"/>
      <c r="QN54" s="26"/>
      <c r="QO54" s="26"/>
      <c r="QP54" s="26"/>
      <c r="QQ54" s="26"/>
      <c r="QR54" s="26"/>
      <c r="QS54" s="26"/>
      <c r="QT54" s="26"/>
      <c r="QU54" s="26"/>
      <c r="QV54" s="26"/>
      <c r="QW54" s="26"/>
      <c r="QX54" s="26"/>
      <c r="QY54" s="26"/>
      <c r="QZ54" s="26"/>
      <c r="RA54" s="26"/>
      <c r="RB54" s="26"/>
      <c r="RC54" s="26"/>
      <c r="RD54" s="26"/>
      <c r="RE54" s="26"/>
      <c r="RF54" s="26"/>
      <c r="RG54" s="26"/>
      <c r="RH54" s="26"/>
      <c r="RI54" s="26"/>
      <c r="RJ54" s="26"/>
      <c r="RK54" s="26"/>
      <c r="RL54" s="26"/>
      <c r="RM54" s="26"/>
      <c r="RN54" s="26"/>
      <c r="RO54" s="26"/>
      <c r="RP54" s="26"/>
      <c r="RQ54" s="26"/>
      <c r="RR54" s="26"/>
      <c r="RS54" s="26"/>
      <c r="RT54" s="26"/>
      <c r="RU54" s="26"/>
      <c r="RV54" s="26"/>
      <c r="RW54" s="26"/>
      <c r="RX54" s="26"/>
      <c r="RY54" s="26"/>
      <c r="RZ54" s="26"/>
      <c r="SA54" s="26"/>
      <c r="SB54" s="26"/>
      <c r="SC54" s="26"/>
      <c r="SD54" s="26"/>
      <c r="SE54" s="26"/>
      <c r="SF54" s="26"/>
      <c r="SG54" s="26"/>
      <c r="SH54" s="26"/>
      <c r="SI54" s="26"/>
      <c r="SJ54" s="26"/>
      <c r="SK54" s="26"/>
      <c r="SL54" s="26"/>
      <c r="SM54" s="26"/>
      <c r="SN54" s="26"/>
      <c r="SO54" s="26"/>
      <c r="SP54" s="26"/>
      <c r="SQ54" s="26"/>
      <c r="SR54" s="26"/>
      <c r="SS54" s="26"/>
      <c r="ST54" s="26"/>
      <c r="SU54" s="26"/>
      <c r="SV54" s="26"/>
      <c r="SW54" s="26"/>
      <c r="SX54" s="26"/>
      <c r="SY54" s="26"/>
      <c r="SZ54" s="26"/>
      <c r="TA54" s="26"/>
      <c r="TB54" s="26"/>
      <c r="TC54" s="26"/>
      <c r="TD54" s="26"/>
      <c r="TE54" s="26"/>
      <c r="TF54" s="26"/>
      <c r="TG54" s="26"/>
      <c r="TH54" s="26"/>
      <c r="TI54" s="26"/>
      <c r="TJ54" s="26"/>
      <c r="TK54" s="26"/>
      <c r="TL54" s="26"/>
      <c r="TM54" s="26"/>
      <c r="TN54" s="26"/>
      <c r="TO54" s="26"/>
      <c r="TP54" s="26"/>
      <c r="TQ54" s="26"/>
      <c r="TR54" s="26"/>
      <c r="TS54" s="26"/>
      <c r="TT54" s="26"/>
      <c r="TU54" s="26"/>
      <c r="TV54" s="26"/>
      <c r="TW54" s="26"/>
      <c r="TX54" s="26"/>
      <c r="TY54" s="26"/>
      <c r="TZ54" s="26"/>
      <c r="UA54" s="26"/>
      <c r="UB54" s="26"/>
      <c r="UC54" s="26"/>
      <c r="UD54" s="26"/>
      <c r="UE54" s="26"/>
      <c r="UF54" s="26"/>
      <c r="UG54" s="26"/>
      <c r="UH54" s="26"/>
      <c r="UI54" s="26"/>
      <c r="UJ54" s="26"/>
      <c r="UK54" s="26"/>
      <c r="UL54" s="26"/>
      <c r="UM54" s="26"/>
      <c r="UN54" s="26"/>
      <c r="UO54" s="26"/>
      <c r="UP54" s="26"/>
      <c r="UQ54" s="26"/>
      <c r="UR54" s="26"/>
      <c r="US54" s="26"/>
      <c r="UT54" s="26"/>
      <c r="UU54" s="26"/>
      <c r="UV54" s="26"/>
      <c r="UW54" s="26"/>
      <c r="UX54" s="26"/>
      <c r="UY54" s="26"/>
      <c r="UZ54" s="26"/>
      <c r="VA54" s="26"/>
      <c r="VB54" s="26"/>
      <c r="VC54" s="26"/>
      <c r="VD54" s="26"/>
      <c r="VE54" s="26"/>
      <c r="VF54" s="26"/>
      <c r="VG54" s="26"/>
      <c r="VH54" s="26"/>
      <c r="VI54" s="26"/>
      <c r="VJ54" s="26"/>
      <c r="VK54" s="26"/>
      <c r="VL54" s="26"/>
      <c r="VM54" s="26"/>
      <c r="VN54" s="26"/>
      <c r="VO54" s="26"/>
      <c r="VP54" s="26"/>
      <c r="VQ54" s="26"/>
      <c r="VR54" s="26"/>
      <c r="VS54" s="26"/>
      <c r="VT54" s="26"/>
      <c r="VU54" s="26"/>
      <c r="VV54" s="26"/>
      <c r="VW54" s="26"/>
      <c r="VX54" s="26"/>
      <c r="VY54" s="26"/>
      <c r="VZ54" s="26"/>
      <c r="WA54" s="26"/>
      <c r="WB54" s="26"/>
      <c r="WC54" s="26"/>
      <c r="WD54" s="26"/>
      <c r="WE54" s="26"/>
      <c r="WF54" s="26"/>
      <c r="WG54" s="26"/>
      <c r="WH54" s="26"/>
      <c r="WI54" s="26"/>
      <c r="WJ54" s="26"/>
      <c r="WK54" s="26"/>
      <c r="WL54" s="26"/>
      <c r="WM54" s="26"/>
      <c r="WN54" s="26"/>
      <c r="WO54" s="26"/>
      <c r="WP54" s="26"/>
      <c r="WQ54" s="26"/>
      <c r="WR54" s="26"/>
      <c r="WS54" s="26"/>
      <c r="WT54" s="26"/>
      <c r="WU54" s="26"/>
      <c r="WV54" s="26"/>
      <c r="WW54" s="26"/>
      <c r="WX54" s="26"/>
      <c r="WY54" s="26"/>
      <c r="WZ54" s="26"/>
      <c r="XA54" s="26"/>
      <c r="XB54" s="26"/>
      <c r="XC54" s="26"/>
      <c r="XD54" s="26"/>
      <c r="XE54" s="26"/>
      <c r="XF54" s="26"/>
      <c r="XG54" s="26"/>
      <c r="XH54" s="26"/>
      <c r="XI54" s="26"/>
      <c r="XJ54" s="26"/>
      <c r="XK54" s="26"/>
      <c r="XL54" s="26"/>
      <c r="XM54" s="26"/>
      <c r="XN54" s="26"/>
      <c r="XO54" s="26"/>
      <c r="XP54" s="26"/>
      <c r="XQ54" s="26"/>
      <c r="XR54" s="26"/>
      <c r="XS54" s="26"/>
      <c r="XT54" s="26"/>
      <c r="XU54" s="26"/>
      <c r="XV54" s="26"/>
      <c r="XW54" s="26"/>
      <c r="XX54" s="26"/>
      <c r="XY54" s="26"/>
      <c r="XZ54" s="26"/>
      <c r="YA54" s="26"/>
      <c r="YB54" s="26"/>
      <c r="YC54" s="26"/>
      <c r="YD54" s="26"/>
      <c r="YE54" s="26"/>
      <c r="YF54" s="26"/>
      <c r="YG54" s="26"/>
      <c r="YH54" s="26"/>
      <c r="YI54" s="26"/>
      <c r="YJ54" s="26"/>
      <c r="YK54" s="26"/>
      <c r="YL54" s="26"/>
      <c r="YM54" s="26"/>
      <c r="YN54" s="26"/>
      <c r="YO54" s="26"/>
      <c r="YP54" s="26"/>
      <c r="YQ54" s="26"/>
      <c r="YR54" s="26"/>
      <c r="YS54" s="26"/>
      <c r="YT54" s="26"/>
      <c r="YU54" s="26"/>
      <c r="YV54" s="26"/>
      <c r="YW54" s="26"/>
      <c r="YX54" s="26"/>
      <c r="YY54" s="26"/>
      <c r="YZ54" s="26"/>
      <c r="ZA54" s="26"/>
      <c r="ZB54" s="26"/>
      <c r="ZC54" s="26"/>
      <c r="ZD54" s="26"/>
      <c r="ZE54" s="26"/>
      <c r="ZF54" s="26"/>
      <c r="ZG54" s="26"/>
      <c r="ZH54" s="26"/>
      <c r="ZI54" s="26"/>
      <c r="ZJ54" s="26"/>
      <c r="ZK54" s="26"/>
      <c r="ZL54" s="26"/>
      <c r="ZM54" s="26"/>
      <c r="ZN54" s="26"/>
      <c r="ZO54" s="26"/>
      <c r="ZP54" s="26"/>
      <c r="ZQ54" s="26"/>
      <c r="ZR54" s="26"/>
      <c r="ZS54" s="26"/>
      <c r="ZT54" s="26"/>
      <c r="ZU54" s="26"/>
      <c r="ZV54" s="26"/>
      <c r="ZW54" s="26"/>
      <c r="ZX54" s="26"/>
      <c r="ZY54" s="26"/>
      <c r="ZZ54" s="26"/>
      <c r="AAA54" s="26"/>
      <c r="AAB54" s="26"/>
      <c r="AAC54" s="26"/>
      <c r="AAD54" s="26"/>
      <c r="AAE54" s="26"/>
      <c r="AAF54" s="26"/>
      <c r="AAG54" s="26"/>
      <c r="AAH54" s="26"/>
      <c r="AAI54" s="26"/>
      <c r="AAJ54" s="26"/>
      <c r="AAK54" s="26"/>
      <c r="AAL54" s="26"/>
      <c r="AAM54" s="26"/>
      <c r="AAN54" s="26"/>
      <c r="AAO54" s="26"/>
      <c r="AAP54" s="26"/>
      <c r="AAQ54" s="26"/>
      <c r="AAR54" s="26"/>
      <c r="AAS54" s="26"/>
      <c r="AAT54" s="26"/>
      <c r="AAU54" s="26"/>
      <c r="AAV54" s="26"/>
      <c r="AAW54" s="26"/>
      <c r="AAX54" s="26"/>
      <c r="AAY54" s="26"/>
      <c r="AAZ54" s="26"/>
      <c r="ABA54" s="26"/>
      <c r="ABB54" s="26"/>
      <c r="ABC54" s="26"/>
      <c r="ABD54" s="26"/>
      <c r="ABE54" s="26"/>
      <c r="ABF54" s="26"/>
      <c r="ABG54" s="26"/>
      <c r="ABH54" s="26"/>
      <c r="ABI54" s="26"/>
      <c r="ABJ54" s="26"/>
      <c r="ABK54" s="26"/>
      <c r="ABL54" s="26"/>
      <c r="ABM54" s="26"/>
      <c r="ABN54" s="26"/>
      <c r="ABO54" s="26"/>
      <c r="ABP54" s="26"/>
      <c r="ABQ54" s="26"/>
      <c r="ABR54" s="26"/>
      <c r="ABS54" s="26"/>
      <c r="ABT54" s="26"/>
      <c r="ABU54" s="26"/>
      <c r="ABV54" s="26"/>
      <c r="ABW54" s="26"/>
      <c r="ABX54" s="26"/>
      <c r="ABY54" s="26"/>
      <c r="ABZ54" s="26"/>
      <c r="ACA54" s="26"/>
      <c r="ACB54" s="26"/>
      <c r="ACC54" s="26"/>
      <c r="ACD54" s="26"/>
      <c r="ACE54" s="26"/>
      <c r="ACF54" s="26"/>
      <c r="ACG54" s="26"/>
      <c r="ACH54" s="26"/>
      <c r="ACI54" s="26"/>
      <c r="ACJ54" s="26"/>
      <c r="ACK54" s="26"/>
      <c r="ACL54" s="26"/>
      <c r="ACM54" s="26"/>
      <c r="ACN54" s="26"/>
      <c r="ACO54" s="26"/>
      <c r="ACP54" s="26"/>
      <c r="ACQ54" s="26"/>
      <c r="ACR54" s="26"/>
      <c r="ACS54" s="26"/>
      <c r="ACT54" s="26"/>
      <c r="ACU54" s="26"/>
      <c r="ACV54" s="26"/>
      <c r="ACW54" s="26"/>
      <c r="ACX54" s="26"/>
      <c r="ACY54" s="26"/>
      <c r="ACZ54" s="26"/>
      <c r="ADA54" s="26"/>
      <c r="ADB54" s="26"/>
      <c r="ADC54" s="26"/>
      <c r="ADD54" s="26"/>
      <c r="ADE54" s="26"/>
      <c r="ADF54" s="26"/>
      <c r="ADG54" s="26"/>
      <c r="ADH54" s="26"/>
      <c r="ADI54" s="26"/>
      <c r="ADJ54" s="26"/>
      <c r="ADK54" s="26"/>
      <c r="ADL54" s="26"/>
      <c r="ADM54" s="26"/>
      <c r="ADN54" s="26"/>
      <c r="ADO54" s="26"/>
      <c r="ADP54" s="26"/>
      <c r="ADQ54" s="26"/>
      <c r="ADR54" s="26"/>
      <c r="ADS54" s="26"/>
      <c r="ADT54" s="26"/>
      <c r="ADU54" s="26"/>
      <c r="ADV54" s="26"/>
      <c r="ADW54" s="26"/>
      <c r="ADX54" s="26"/>
      <c r="ADY54" s="26"/>
      <c r="ADZ54" s="26"/>
      <c r="AEA54" s="26"/>
      <c r="AEB54" s="26"/>
      <c r="AEC54" s="26"/>
      <c r="AED54" s="26"/>
      <c r="AEE54" s="26"/>
      <c r="AEF54" s="26"/>
      <c r="AEG54" s="26"/>
      <c r="AEH54" s="26"/>
      <c r="AEI54" s="26"/>
      <c r="AEJ54" s="26"/>
      <c r="AEK54" s="26"/>
      <c r="AEL54" s="26"/>
      <c r="AEM54" s="26"/>
      <c r="AEN54" s="26"/>
      <c r="AEO54" s="26"/>
      <c r="AEP54" s="26"/>
      <c r="AEQ54" s="26"/>
      <c r="AER54" s="26"/>
      <c r="AES54" s="26"/>
      <c r="AET54" s="26"/>
      <c r="AEU54" s="26"/>
      <c r="AEV54" s="26"/>
      <c r="AEW54" s="26"/>
      <c r="AEX54" s="26"/>
      <c r="AEY54" s="26"/>
      <c r="AEZ54" s="26"/>
      <c r="AFA54" s="26"/>
      <c r="AFB54" s="26"/>
      <c r="AFC54" s="26"/>
      <c r="AFD54" s="26"/>
      <c r="AFE54" s="26"/>
      <c r="AFF54" s="26"/>
      <c r="AFG54" s="26"/>
      <c r="AFH54" s="26"/>
      <c r="AFI54" s="26"/>
      <c r="AFJ54" s="26"/>
      <c r="AFK54" s="26"/>
      <c r="AFL54" s="26"/>
      <c r="AFM54" s="26"/>
      <c r="AFN54" s="26"/>
      <c r="AFO54" s="26"/>
      <c r="AFP54" s="26"/>
      <c r="AFQ54" s="26"/>
      <c r="AFR54" s="26"/>
      <c r="AFS54" s="26"/>
      <c r="AFT54" s="26"/>
      <c r="AFU54" s="26"/>
      <c r="AFV54" s="26"/>
      <c r="AFW54" s="26"/>
      <c r="AFX54" s="26"/>
      <c r="AFY54" s="26"/>
      <c r="AFZ54" s="26"/>
      <c r="AGA54" s="26"/>
      <c r="AGB54" s="26"/>
      <c r="AGC54" s="26"/>
      <c r="AGD54" s="26"/>
      <c r="AGE54" s="26"/>
      <c r="AGF54" s="26"/>
      <c r="AGG54" s="26"/>
      <c r="AGH54" s="26"/>
      <c r="AGI54" s="26"/>
      <c r="AGJ54" s="26"/>
      <c r="AGK54" s="26"/>
      <c r="AGL54" s="26"/>
      <c r="AGM54" s="26"/>
      <c r="AGN54" s="26"/>
      <c r="AGO54" s="26"/>
      <c r="AGP54" s="26"/>
      <c r="AGQ54" s="26"/>
      <c r="AGR54" s="26"/>
      <c r="AGS54" s="26"/>
      <c r="AGT54" s="26"/>
      <c r="AGU54" s="26"/>
      <c r="AGV54" s="26"/>
      <c r="AGW54" s="26"/>
      <c r="AGX54" s="26"/>
      <c r="AGY54" s="26"/>
      <c r="AGZ54" s="26"/>
      <c r="AHA54" s="26"/>
      <c r="AHB54" s="26"/>
      <c r="AHC54" s="26"/>
      <c r="AHD54" s="26"/>
      <c r="AHE54" s="26"/>
      <c r="AHF54" s="26"/>
      <c r="AHG54" s="26"/>
      <c r="AHH54" s="26"/>
      <c r="AHI54" s="26"/>
      <c r="AHJ54" s="26"/>
      <c r="AHK54" s="26"/>
      <c r="AHL54" s="26"/>
      <c r="AHM54" s="26"/>
      <c r="AHN54" s="26"/>
      <c r="AHO54" s="26"/>
      <c r="AHP54" s="26"/>
      <c r="AHQ54" s="26"/>
      <c r="AHR54" s="26"/>
      <c r="AHS54" s="26"/>
      <c r="AHT54" s="26"/>
      <c r="AHU54" s="26"/>
      <c r="AHV54" s="26"/>
      <c r="AHW54" s="26"/>
      <c r="AHX54" s="26"/>
      <c r="AHY54" s="26"/>
      <c r="AHZ54" s="26"/>
      <c r="AIA54" s="26"/>
      <c r="AIB54" s="26"/>
      <c r="AIC54" s="26"/>
      <c r="AID54" s="26"/>
      <c r="AIE54" s="26"/>
      <c r="AIF54" s="26"/>
      <c r="AIG54" s="26"/>
      <c r="AIH54" s="26"/>
      <c r="AII54" s="26"/>
      <c r="AIJ54" s="26"/>
      <c r="AIK54" s="26"/>
      <c r="AIL54" s="26"/>
      <c r="AIM54" s="26"/>
      <c r="AIN54" s="26"/>
      <c r="AIO54" s="26"/>
      <c r="AIP54" s="26"/>
      <c r="AIQ54" s="26"/>
      <c r="AIR54" s="26"/>
      <c r="AIS54" s="26"/>
      <c r="AIT54" s="26"/>
      <c r="AIU54" s="26"/>
      <c r="AIV54" s="26"/>
      <c r="AIW54" s="26"/>
      <c r="AIX54" s="26"/>
      <c r="AIY54" s="26"/>
      <c r="AIZ54" s="26"/>
      <c r="AJA54" s="26"/>
      <c r="AJB54" s="26"/>
      <c r="AJC54" s="26"/>
      <c r="AJD54" s="26"/>
      <c r="AJE54" s="26"/>
      <c r="AJF54" s="26"/>
      <c r="AJG54" s="26"/>
      <c r="AJH54" s="26"/>
      <c r="AJI54" s="26"/>
      <c r="AJJ54" s="26"/>
      <c r="AJK54" s="26"/>
      <c r="AJL54" s="26"/>
      <c r="AJM54" s="26"/>
      <c r="AJN54" s="26"/>
      <c r="AJO54" s="26"/>
      <c r="AJP54" s="26"/>
      <c r="AJQ54" s="26"/>
      <c r="AJR54" s="26"/>
      <c r="AJS54" s="26"/>
      <c r="AJT54" s="26"/>
      <c r="AJU54" s="26"/>
      <c r="AJV54" s="26"/>
      <c r="AJW54" s="26"/>
      <c r="AJX54" s="26"/>
      <c r="AJY54" s="26"/>
      <c r="AJZ54" s="26"/>
      <c r="AKA54" s="26"/>
      <c r="AKB54" s="26"/>
      <c r="AKC54" s="26"/>
      <c r="AKD54" s="26"/>
      <c r="AKE54" s="26"/>
      <c r="AKF54" s="26"/>
      <c r="AKG54" s="26"/>
      <c r="AKH54" s="26"/>
      <c r="AKI54" s="26"/>
      <c r="AKJ54" s="26"/>
      <c r="AKK54" s="26"/>
      <c r="AKL54" s="26"/>
      <c r="AKM54" s="26"/>
      <c r="AKN54" s="26"/>
      <c r="AKO54" s="26"/>
      <c r="AKP54" s="26"/>
      <c r="AKQ54" s="26"/>
      <c r="AKR54" s="26"/>
      <c r="AKS54" s="26"/>
      <c r="AKT54" s="26"/>
      <c r="AKU54" s="26"/>
      <c r="AKV54" s="26"/>
      <c r="AKW54" s="26"/>
      <c r="AKX54" s="26"/>
      <c r="AKY54" s="26"/>
      <c r="AKZ54" s="26"/>
      <c r="ALA54" s="26"/>
      <c r="ALB54" s="26"/>
      <c r="ALC54" s="26"/>
      <c r="ALD54" s="26"/>
      <c r="ALE54" s="26"/>
      <c r="ALF54" s="26"/>
      <c r="ALG54" s="26"/>
      <c r="ALH54" s="26"/>
      <c r="ALI54" s="26"/>
      <c r="ALJ54" s="26"/>
      <c r="ALK54" s="26"/>
      <c r="ALL54" s="26"/>
      <c r="ALM54" s="26"/>
      <c r="ALN54" s="26"/>
      <c r="ALO54" s="26"/>
      <c r="ALP54" s="26"/>
      <c r="ALQ54" s="26"/>
      <c r="ALR54" s="26"/>
      <c r="ALS54" s="26"/>
      <c r="ALT54" s="26"/>
      <c r="ALU54" s="26"/>
      <c r="ALV54" s="26"/>
      <c r="ALW54" s="26"/>
      <c r="ALX54" s="26"/>
      <c r="ALY54" s="26"/>
      <c r="ALZ54" s="26"/>
      <c r="AMA54" s="26"/>
      <c r="AMB54" s="26"/>
      <c r="AMC54" s="26"/>
      <c r="AMD54" s="26"/>
      <c r="AME54" s="26"/>
      <c r="AMF54" s="26"/>
      <c r="AMG54" s="26"/>
      <c r="AMH54" s="26"/>
      <c r="AMI54" s="26"/>
      <c r="AMJ54" s="26"/>
      <c r="AMK54" s="26"/>
      <c r="AML54" s="26"/>
      <c r="AMM54" s="26"/>
      <c r="AMN54" s="26"/>
      <c r="AMO54" s="26"/>
      <c r="AMP54" s="26"/>
      <c r="AMQ54" s="26"/>
      <c r="AMR54" s="26"/>
      <c r="AMS54" s="26"/>
      <c r="AMT54" s="26"/>
      <c r="AMU54" s="26"/>
      <c r="AMV54" s="26"/>
      <c r="AMW54" s="26"/>
      <c r="AMX54" s="26"/>
      <c r="AMY54" s="26"/>
      <c r="AMZ54" s="26"/>
      <c r="ANA54" s="26"/>
      <c r="ANB54" s="26"/>
      <c r="ANC54" s="26"/>
      <c r="AND54" s="26"/>
      <c r="ANE54" s="26"/>
      <c r="ANF54" s="26"/>
      <c r="ANG54" s="26"/>
      <c r="ANH54" s="26"/>
      <c r="ANI54" s="26"/>
      <c r="ANJ54" s="26"/>
      <c r="ANK54" s="26"/>
      <c r="ANL54" s="26"/>
      <c r="ANM54" s="26"/>
      <c r="ANN54" s="26"/>
      <c r="ANO54" s="26"/>
      <c r="ANP54" s="26"/>
      <c r="ANQ54" s="26"/>
      <c r="ANR54" s="26"/>
      <c r="ANS54" s="26"/>
      <c r="ANT54" s="26"/>
      <c r="ANU54" s="26"/>
      <c r="ANV54" s="26"/>
      <c r="ANW54" s="26"/>
      <c r="ANX54" s="26"/>
      <c r="ANY54" s="26"/>
      <c r="ANZ54" s="26"/>
      <c r="AOA54" s="26"/>
      <c r="AOB54" s="26"/>
      <c r="AOC54" s="26"/>
      <c r="AOD54" s="26"/>
      <c r="AOE54" s="26"/>
      <c r="AOF54" s="26"/>
      <c r="AOG54" s="26"/>
      <c r="AOH54" s="26"/>
      <c r="AOI54" s="26"/>
      <c r="AOJ54" s="26"/>
      <c r="AOK54" s="26"/>
      <c r="AOL54" s="26"/>
      <c r="AOM54" s="26"/>
      <c r="AON54" s="26"/>
      <c r="AOO54" s="26"/>
      <c r="AOP54" s="26"/>
      <c r="AOQ54" s="26"/>
      <c r="AOR54" s="26"/>
      <c r="AOS54" s="26"/>
      <c r="AOT54" s="26"/>
      <c r="AOU54" s="26"/>
      <c r="AOV54" s="26"/>
      <c r="AOW54" s="26"/>
      <c r="AOX54" s="26"/>
      <c r="AOY54" s="26"/>
      <c r="AOZ54" s="26"/>
      <c r="APA54" s="26"/>
      <c r="APB54" s="26"/>
      <c r="APC54" s="26"/>
      <c r="APD54" s="26"/>
      <c r="APE54" s="26"/>
      <c r="APF54" s="26"/>
      <c r="APG54" s="26"/>
      <c r="APH54" s="26"/>
      <c r="API54" s="26"/>
      <c r="APJ54" s="26"/>
      <c r="APK54" s="26"/>
      <c r="APL54" s="26"/>
      <c r="APM54" s="26"/>
      <c r="APN54" s="26"/>
      <c r="APO54" s="26"/>
      <c r="APP54" s="26"/>
      <c r="APQ54" s="26"/>
      <c r="APR54" s="26"/>
      <c r="APS54" s="26"/>
      <c r="APT54" s="26"/>
      <c r="APU54" s="26"/>
      <c r="APV54" s="26"/>
      <c r="APW54" s="26"/>
      <c r="APX54" s="26"/>
      <c r="APY54" s="26"/>
      <c r="APZ54" s="26"/>
      <c r="AQA54" s="26"/>
      <c r="AQB54" s="26"/>
      <c r="AQC54" s="26"/>
      <c r="AQD54" s="26"/>
      <c r="AQE54" s="26"/>
      <c r="AQF54" s="26"/>
      <c r="AQG54" s="26"/>
      <c r="AQH54" s="26"/>
      <c r="AQI54" s="26"/>
      <c r="AQJ54" s="26"/>
      <c r="AQK54" s="26"/>
      <c r="AQL54" s="26"/>
      <c r="AQM54" s="26"/>
      <c r="AQN54" s="26"/>
      <c r="AQO54" s="26"/>
      <c r="AQP54" s="26"/>
      <c r="AQQ54" s="26"/>
      <c r="AQR54" s="26"/>
      <c r="AQS54" s="26"/>
      <c r="AQT54" s="26"/>
      <c r="AQU54" s="26"/>
      <c r="AQV54" s="26"/>
      <c r="AQW54" s="26"/>
      <c r="AQX54" s="26"/>
      <c r="AQY54" s="26"/>
      <c r="AQZ54" s="26"/>
      <c r="ARA54" s="26"/>
      <c r="ARB54" s="26"/>
      <c r="ARC54" s="26"/>
      <c r="ARD54" s="26"/>
      <c r="ARE54" s="26"/>
      <c r="ARF54" s="26"/>
      <c r="ARG54" s="26"/>
      <c r="ARH54" s="26"/>
      <c r="ARI54" s="26"/>
      <c r="ARJ54" s="26"/>
      <c r="ARK54" s="26"/>
      <c r="ARL54" s="26"/>
      <c r="ARM54" s="26"/>
      <c r="ARN54" s="26"/>
      <c r="ARO54" s="26"/>
      <c r="ARP54" s="26"/>
      <c r="ARQ54" s="26"/>
      <c r="ARR54" s="26"/>
      <c r="ARS54" s="26"/>
      <c r="ART54" s="26"/>
      <c r="ARU54" s="26"/>
      <c r="ARV54" s="26"/>
      <c r="ARW54" s="26"/>
      <c r="ARX54" s="26"/>
      <c r="ARY54" s="26"/>
      <c r="ARZ54" s="26"/>
      <c r="ASA54" s="26"/>
      <c r="ASB54" s="26"/>
      <c r="ASC54" s="26"/>
      <c r="ASD54" s="26"/>
      <c r="ASE54" s="26"/>
      <c r="ASF54" s="26"/>
      <c r="ASG54" s="26"/>
      <c r="ASH54" s="26"/>
      <c r="ASI54" s="26"/>
      <c r="ASJ54" s="26"/>
      <c r="ASK54" s="26"/>
      <c r="ASL54" s="26"/>
      <c r="ASM54" s="26"/>
      <c r="ASN54" s="26"/>
      <c r="ASO54" s="26"/>
      <c r="ASP54" s="26"/>
      <c r="ASQ54" s="26"/>
      <c r="ASR54" s="26"/>
      <c r="ASS54" s="26"/>
      <c r="AST54" s="26"/>
      <c r="ASU54" s="26"/>
      <c r="ASV54" s="26"/>
      <c r="ASW54" s="26"/>
      <c r="ASX54" s="26"/>
      <c r="ASY54" s="26"/>
      <c r="ASZ54" s="26"/>
      <c r="ATA54" s="26"/>
      <c r="ATB54" s="26"/>
      <c r="ATC54" s="26"/>
      <c r="ATD54" s="26"/>
      <c r="ATE54" s="26"/>
      <c r="ATF54" s="26"/>
      <c r="ATG54" s="26"/>
      <c r="ATH54" s="26"/>
      <c r="ATI54" s="26"/>
      <c r="ATJ54" s="26"/>
      <c r="ATK54" s="26"/>
      <c r="ATL54" s="26"/>
      <c r="ATM54" s="26"/>
      <c r="ATN54" s="26"/>
      <c r="ATO54" s="26"/>
      <c r="ATP54" s="26"/>
      <c r="ATQ54" s="26"/>
      <c r="ATR54" s="26"/>
      <c r="ATS54" s="26"/>
      <c r="ATT54" s="26"/>
      <c r="ATU54" s="26"/>
      <c r="ATV54" s="26"/>
      <c r="ATW54" s="26"/>
      <c r="ATX54" s="26"/>
      <c r="ATY54" s="26"/>
      <c r="ATZ54" s="26"/>
      <c r="AUA54" s="26"/>
      <c r="AUB54" s="26"/>
      <c r="AUC54" s="26"/>
      <c r="AUD54" s="26"/>
      <c r="AUE54" s="26"/>
      <c r="AUF54" s="26"/>
      <c r="AUG54" s="26"/>
      <c r="AUH54" s="26"/>
      <c r="AUI54" s="26"/>
      <c r="AUJ54" s="26"/>
      <c r="AUK54" s="26"/>
      <c r="AUL54" s="26"/>
      <c r="AUM54" s="26"/>
      <c r="AUN54" s="26"/>
      <c r="AUO54" s="26"/>
      <c r="AUP54" s="26"/>
      <c r="AUQ54" s="26"/>
      <c r="AUR54" s="26"/>
      <c r="AUS54" s="26"/>
      <c r="AUT54" s="26"/>
      <c r="AUU54" s="26"/>
      <c r="AUV54" s="26"/>
      <c r="AUW54" s="26"/>
      <c r="AUX54" s="26"/>
      <c r="AUY54" s="26"/>
      <c r="AUZ54" s="26"/>
      <c r="AVA54" s="26"/>
      <c r="AVB54" s="26"/>
      <c r="AVC54" s="26"/>
      <c r="AVD54" s="26"/>
      <c r="AVE54" s="26"/>
      <c r="AVF54" s="26"/>
      <c r="AVG54" s="26"/>
      <c r="AVH54" s="26"/>
      <c r="AVI54" s="26"/>
      <c r="AVJ54" s="26"/>
      <c r="AVK54" s="26"/>
      <c r="AVL54" s="26"/>
      <c r="AVM54" s="26"/>
      <c r="AVN54" s="26"/>
      <c r="AVO54" s="26"/>
      <c r="AVP54" s="26"/>
      <c r="AVQ54" s="26"/>
      <c r="AVR54" s="26"/>
      <c r="AVS54" s="26"/>
      <c r="AVT54" s="26"/>
      <c r="AVU54" s="26"/>
      <c r="AVV54" s="26"/>
      <c r="AVW54" s="26"/>
      <c r="AVX54" s="26"/>
      <c r="AVY54" s="26"/>
      <c r="AVZ54" s="26"/>
      <c r="AWA54" s="26"/>
      <c r="AWB54" s="26"/>
      <c r="AWC54" s="26"/>
      <c r="AWD54" s="26"/>
      <c r="AWE54" s="26"/>
      <c r="AWF54" s="26"/>
      <c r="AWG54" s="26"/>
      <c r="AWH54" s="26"/>
      <c r="AWI54" s="26"/>
      <c r="AWJ54" s="26"/>
      <c r="AWK54" s="26"/>
      <c r="AWL54" s="26"/>
      <c r="AWM54" s="26"/>
      <c r="AWN54" s="26"/>
      <c r="AWO54" s="26"/>
      <c r="AWP54" s="26"/>
      <c r="AWQ54" s="26"/>
      <c r="AWR54" s="26"/>
      <c r="AWS54" s="26"/>
      <c r="AWT54" s="26"/>
      <c r="AWU54" s="26"/>
      <c r="AWV54" s="26"/>
      <c r="AWW54" s="26"/>
      <c r="AWX54" s="26"/>
      <c r="AWY54" s="26"/>
      <c r="AWZ54" s="26"/>
      <c r="AXA54" s="26"/>
      <c r="AXB54" s="26"/>
      <c r="AXC54" s="26"/>
      <c r="AXD54" s="26"/>
      <c r="AXE54" s="26"/>
      <c r="AXF54" s="26"/>
      <c r="AXG54" s="26"/>
      <c r="AXH54" s="26"/>
      <c r="AXI54" s="26"/>
      <c r="AXJ54" s="26"/>
      <c r="AXK54" s="26"/>
      <c r="AXL54" s="26"/>
      <c r="AXM54" s="26"/>
      <c r="AXN54" s="26"/>
      <c r="AXO54" s="26"/>
      <c r="AXP54" s="26"/>
      <c r="AXQ54" s="26"/>
      <c r="AXR54" s="26"/>
      <c r="AXS54" s="26"/>
      <c r="AXT54" s="26"/>
      <c r="AXU54" s="26"/>
      <c r="AXV54" s="26"/>
      <c r="AXW54" s="26"/>
      <c r="AXX54" s="26"/>
      <c r="AXY54" s="26"/>
      <c r="AXZ54" s="26"/>
      <c r="AYA54" s="26"/>
      <c r="AYB54" s="26"/>
      <c r="AYC54" s="26"/>
      <c r="AYD54" s="26"/>
      <c r="AYE54" s="26"/>
      <c r="AYF54" s="26"/>
      <c r="AYG54" s="26"/>
      <c r="AYH54" s="26"/>
      <c r="AYI54" s="26"/>
      <c r="AYJ54" s="26"/>
      <c r="AYK54" s="26"/>
      <c r="AYL54" s="26"/>
      <c r="AYM54" s="26"/>
      <c r="AYN54" s="26"/>
      <c r="AYO54" s="26"/>
      <c r="AYP54" s="26"/>
      <c r="AYQ54" s="26"/>
      <c r="AYR54" s="26"/>
      <c r="AYS54" s="26"/>
      <c r="AYT54" s="26"/>
      <c r="AYU54" s="26"/>
      <c r="AYV54" s="26"/>
      <c r="AYW54" s="26"/>
      <c r="AYX54" s="26"/>
      <c r="AYY54" s="26"/>
      <c r="AYZ54" s="26"/>
      <c r="AZA54" s="26"/>
      <c r="AZB54" s="26"/>
      <c r="AZC54" s="26"/>
      <c r="AZD54" s="26"/>
      <c r="AZE54" s="26"/>
      <c r="AZF54" s="26"/>
      <c r="AZG54" s="26"/>
      <c r="AZH54" s="26"/>
      <c r="AZI54" s="26"/>
      <c r="AZJ54" s="26"/>
      <c r="AZK54" s="26"/>
      <c r="AZL54" s="26"/>
      <c r="AZM54" s="26"/>
      <c r="AZN54" s="26"/>
      <c r="AZO54" s="26"/>
      <c r="AZP54" s="26"/>
      <c r="AZQ54" s="26"/>
      <c r="AZR54" s="26"/>
      <c r="AZS54" s="26"/>
      <c r="AZT54" s="26"/>
      <c r="AZU54" s="26"/>
      <c r="AZV54" s="26"/>
      <c r="AZW54" s="26"/>
      <c r="AZX54" s="26"/>
      <c r="AZY54" s="26"/>
      <c r="AZZ54" s="26"/>
      <c r="BAA54" s="26"/>
      <c r="BAB54" s="26"/>
      <c r="BAC54" s="26"/>
      <c r="BAD54" s="26"/>
      <c r="BAE54" s="26"/>
      <c r="BAF54" s="26"/>
      <c r="BAG54" s="26"/>
      <c r="BAH54" s="26"/>
      <c r="BAI54" s="26"/>
      <c r="BAJ54" s="26"/>
      <c r="BAK54" s="26"/>
      <c r="BAL54" s="26"/>
      <c r="BAM54" s="26"/>
      <c r="BAN54" s="26"/>
      <c r="BAO54" s="26"/>
      <c r="BAP54" s="26"/>
      <c r="BAQ54" s="26"/>
      <c r="BAR54" s="26"/>
      <c r="BAS54" s="26"/>
      <c r="BAT54" s="26"/>
      <c r="BAU54" s="26"/>
      <c r="BAV54" s="26"/>
      <c r="BAW54" s="26"/>
      <c r="BAX54" s="26"/>
      <c r="BAY54" s="26"/>
      <c r="BAZ54" s="26"/>
      <c r="BBA54" s="26"/>
      <c r="BBB54" s="26"/>
      <c r="BBC54" s="26"/>
      <c r="BBD54" s="26"/>
      <c r="BBE54" s="26"/>
      <c r="BBF54" s="26"/>
      <c r="BBG54" s="26"/>
      <c r="BBH54" s="26"/>
      <c r="BBI54" s="26"/>
      <c r="BBJ54" s="26"/>
      <c r="BBK54" s="26"/>
      <c r="BBL54" s="26"/>
      <c r="BBM54" s="26"/>
      <c r="BBN54" s="26"/>
      <c r="BBO54" s="26"/>
      <c r="BBP54" s="26"/>
      <c r="BBQ54" s="26"/>
      <c r="BBR54" s="26"/>
      <c r="BBS54" s="26"/>
      <c r="BBT54" s="26"/>
      <c r="BBU54" s="26"/>
      <c r="BBV54" s="26"/>
      <c r="BBW54" s="26"/>
      <c r="BBX54" s="26"/>
      <c r="BBY54" s="26"/>
      <c r="BBZ54" s="26"/>
      <c r="BCA54" s="26"/>
      <c r="BCB54" s="26"/>
      <c r="BCC54" s="26"/>
      <c r="BCD54" s="26"/>
      <c r="BCE54" s="26"/>
      <c r="BCF54" s="26"/>
      <c r="BCG54" s="26"/>
      <c r="BCH54" s="26"/>
      <c r="BCI54" s="26"/>
      <c r="BCJ54" s="26"/>
      <c r="BCK54" s="26"/>
      <c r="BCL54" s="26"/>
      <c r="BCM54" s="26"/>
      <c r="BCN54" s="26"/>
      <c r="BCO54" s="26"/>
      <c r="BCP54" s="26"/>
      <c r="BCQ54" s="26"/>
      <c r="BCR54" s="26"/>
      <c r="BCS54" s="26"/>
      <c r="BCT54" s="26"/>
      <c r="BCU54" s="26"/>
      <c r="BCV54" s="26"/>
      <c r="BCW54" s="26"/>
      <c r="BCX54" s="26"/>
      <c r="BCY54" s="26"/>
      <c r="BCZ54" s="26"/>
      <c r="BDA54" s="26"/>
      <c r="BDB54" s="26"/>
      <c r="BDC54" s="26"/>
      <c r="BDD54" s="26"/>
      <c r="BDE54" s="26"/>
      <c r="BDF54" s="26"/>
      <c r="BDG54" s="26"/>
      <c r="BDH54" s="26"/>
      <c r="BDI54" s="26"/>
      <c r="BDJ54" s="26"/>
      <c r="BDK54" s="26"/>
      <c r="BDL54" s="26"/>
      <c r="BDM54" s="26"/>
      <c r="BDN54" s="26"/>
      <c r="BDO54" s="26"/>
      <c r="BDP54" s="26"/>
      <c r="BDQ54" s="26"/>
      <c r="BDR54" s="26"/>
      <c r="BDS54" s="26"/>
      <c r="BDT54" s="26"/>
      <c r="BDU54" s="26"/>
      <c r="BDV54" s="26"/>
      <c r="BDW54" s="26"/>
      <c r="BDX54" s="26"/>
      <c r="BDY54" s="26"/>
      <c r="BDZ54" s="26"/>
      <c r="BEA54" s="26"/>
      <c r="BEB54" s="26"/>
      <c r="BEC54" s="26"/>
      <c r="BED54" s="26"/>
      <c r="BEE54" s="26"/>
      <c r="BEF54" s="26"/>
      <c r="BEG54" s="26"/>
      <c r="BEH54" s="26"/>
      <c r="BEI54" s="26"/>
      <c r="BEJ54" s="26"/>
      <c r="BEK54" s="26"/>
      <c r="BEL54" s="26"/>
      <c r="BEM54" s="26"/>
      <c r="BEN54" s="26"/>
      <c r="BEO54" s="26"/>
      <c r="BEP54" s="26"/>
      <c r="BEQ54" s="26"/>
      <c r="BER54" s="26"/>
      <c r="BES54" s="26"/>
      <c r="BET54" s="26"/>
      <c r="BEU54" s="26"/>
      <c r="BEV54" s="26"/>
      <c r="BEW54" s="26"/>
      <c r="BEX54" s="26"/>
      <c r="BEY54" s="26"/>
      <c r="BEZ54" s="26"/>
      <c r="BFA54" s="26"/>
      <c r="BFB54" s="26"/>
      <c r="BFC54" s="26"/>
      <c r="BFD54" s="26"/>
      <c r="BFE54" s="26"/>
      <c r="BFF54" s="26"/>
      <c r="BFG54" s="26"/>
      <c r="BFH54" s="26"/>
      <c r="BFI54" s="26"/>
      <c r="BFJ54" s="26"/>
      <c r="BFK54" s="26"/>
      <c r="BFL54" s="26"/>
      <c r="BFM54" s="26"/>
      <c r="BFN54" s="26"/>
      <c r="BFO54" s="26"/>
      <c r="BFP54" s="26"/>
      <c r="BFQ54" s="26"/>
      <c r="BFR54" s="26"/>
      <c r="BFS54" s="26"/>
      <c r="BFT54" s="26"/>
      <c r="BFU54" s="26"/>
      <c r="BFV54" s="26"/>
      <c r="BFW54" s="26"/>
      <c r="BFX54" s="26"/>
      <c r="BFY54" s="26"/>
      <c r="BFZ54" s="26"/>
      <c r="BGA54" s="26"/>
      <c r="BGB54" s="26"/>
      <c r="BGC54" s="26"/>
      <c r="BGD54" s="26"/>
      <c r="BGE54" s="26"/>
      <c r="BGF54" s="26"/>
      <c r="BGG54" s="26"/>
      <c r="BGH54" s="26"/>
      <c r="BGI54" s="26"/>
      <c r="BGJ54" s="26"/>
      <c r="BGK54" s="26"/>
      <c r="BGL54" s="26"/>
      <c r="BGM54" s="26"/>
      <c r="BGN54" s="26"/>
      <c r="BGO54" s="26"/>
      <c r="BGP54" s="26"/>
      <c r="BGQ54" s="26"/>
      <c r="BGR54" s="26"/>
      <c r="BGS54" s="26"/>
      <c r="BGT54" s="26"/>
      <c r="BGU54" s="26"/>
      <c r="BGV54" s="26"/>
      <c r="BGW54" s="26"/>
      <c r="BGX54" s="26"/>
      <c r="BGY54" s="26"/>
      <c r="BGZ54" s="26"/>
      <c r="BHA54" s="26"/>
      <c r="BHB54" s="26"/>
      <c r="BHC54" s="26"/>
      <c r="BHD54" s="26"/>
      <c r="BHE54" s="26"/>
      <c r="BHF54" s="26"/>
      <c r="BHG54" s="26"/>
      <c r="BHH54" s="26"/>
      <c r="BHI54" s="26"/>
      <c r="BHJ54" s="26"/>
      <c r="BHK54" s="26"/>
      <c r="BHL54" s="26"/>
      <c r="BHM54" s="26"/>
      <c r="BHN54" s="26"/>
      <c r="BHO54" s="26"/>
      <c r="BHP54" s="26"/>
      <c r="BHQ54" s="26"/>
      <c r="BHR54" s="26"/>
      <c r="BHS54" s="26"/>
      <c r="BHT54" s="26"/>
      <c r="BHU54" s="26"/>
      <c r="BHV54" s="26"/>
      <c r="BHW54" s="26"/>
      <c r="BHX54" s="26"/>
      <c r="BHY54" s="26"/>
      <c r="BHZ54" s="26"/>
      <c r="BIA54" s="26"/>
      <c r="BIB54" s="26"/>
      <c r="BIC54" s="26"/>
      <c r="BID54" s="26"/>
      <c r="BIE54" s="26"/>
      <c r="BIF54" s="26"/>
      <c r="BIG54" s="26"/>
      <c r="BIH54" s="26"/>
      <c r="BII54" s="26"/>
      <c r="BIJ54" s="26"/>
      <c r="BIK54" s="26"/>
      <c r="BIL54" s="26"/>
      <c r="BIM54" s="26"/>
      <c r="BIN54" s="26"/>
      <c r="BIO54" s="26"/>
      <c r="BIP54" s="26"/>
      <c r="BIQ54" s="26"/>
      <c r="BIR54" s="26"/>
      <c r="BIS54" s="26"/>
      <c r="BIT54" s="26"/>
      <c r="BIU54" s="26"/>
      <c r="BIV54" s="26"/>
      <c r="BIW54" s="26"/>
      <c r="BIX54" s="26"/>
      <c r="BIY54" s="26"/>
      <c r="BIZ54" s="26"/>
      <c r="BJA54" s="26"/>
      <c r="BJB54" s="26"/>
      <c r="BJC54" s="26"/>
      <c r="BJD54" s="26"/>
      <c r="BJE54" s="26"/>
      <c r="BJF54" s="26"/>
      <c r="BJG54" s="26"/>
      <c r="BJH54" s="26"/>
      <c r="BJI54" s="26"/>
      <c r="BJJ54" s="26"/>
      <c r="BJK54" s="26"/>
      <c r="BJL54" s="26"/>
      <c r="BJM54" s="26"/>
      <c r="BJN54" s="26"/>
      <c r="BJO54" s="26"/>
      <c r="BJP54" s="26"/>
      <c r="BJQ54" s="26"/>
      <c r="BJR54" s="26"/>
      <c r="BJS54" s="26"/>
      <c r="BJT54" s="26"/>
      <c r="BJU54" s="26"/>
      <c r="BJV54" s="26"/>
      <c r="BJW54" s="26"/>
      <c r="BJX54" s="26"/>
      <c r="BJY54" s="26"/>
      <c r="BJZ54" s="26"/>
      <c r="BKA54" s="26"/>
      <c r="BKB54" s="26"/>
      <c r="BKC54" s="26"/>
      <c r="BKD54" s="26"/>
      <c r="BKE54" s="26"/>
      <c r="BKF54" s="26"/>
      <c r="BKG54" s="26"/>
      <c r="BKH54" s="26"/>
      <c r="BKI54" s="26"/>
      <c r="BKJ54" s="26"/>
      <c r="BKK54" s="26"/>
      <c r="BKL54" s="26"/>
      <c r="BKM54" s="26"/>
      <c r="BKN54" s="26"/>
      <c r="BKO54" s="26"/>
      <c r="BKP54" s="26"/>
      <c r="BKQ54" s="26"/>
      <c r="BKR54" s="26"/>
      <c r="BKS54" s="26"/>
      <c r="BKT54" s="26"/>
      <c r="BKU54" s="26"/>
      <c r="BKV54" s="26"/>
      <c r="BKW54" s="26"/>
      <c r="BKX54" s="26"/>
      <c r="BKY54" s="26"/>
      <c r="BKZ54" s="26"/>
      <c r="BLA54" s="26"/>
      <c r="BLB54" s="26"/>
      <c r="BLC54" s="26"/>
      <c r="BLD54" s="26"/>
      <c r="BLE54" s="26"/>
      <c r="BLF54" s="26"/>
      <c r="BLG54" s="26"/>
      <c r="BLH54" s="26"/>
      <c r="BLI54" s="26"/>
      <c r="BLJ54" s="26"/>
      <c r="BLK54" s="26"/>
      <c r="BLL54" s="26"/>
      <c r="BLM54" s="26"/>
      <c r="BLN54" s="26"/>
      <c r="BLO54" s="26"/>
      <c r="BLP54" s="26"/>
      <c r="BLQ54" s="26"/>
      <c r="BLR54" s="26"/>
      <c r="BLS54" s="26"/>
      <c r="BLT54" s="26"/>
      <c r="BLU54" s="26"/>
      <c r="BLV54" s="26"/>
      <c r="BLW54" s="26"/>
      <c r="BLX54" s="26"/>
      <c r="BLY54" s="26"/>
      <c r="BLZ54" s="26"/>
      <c r="BMA54" s="26"/>
      <c r="BMB54" s="26"/>
      <c r="BMC54" s="26"/>
      <c r="BMD54" s="26"/>
      <c r="BME54" s="26"/>
      <c r="BMF54" s="26"/>
      <c r="BMG54" s="26"/>
      <c r="BMH54" s="26"/>
      <c r="BMI54" s="26"/>
      <c r="BMJ54" s="26"/>
      <c r="BMK54" s="26"/>
      <c r="BML54" s="26"/>
      <c r="BMM54" s="26"/>
      <c r="BMN54" s="26"/>
      <c r="BMO54" s="26"/>
      <c r="BMP54" s="26"/>
      <c r="BMQ54" s="26"/>
      <c r="BMR54" s="26"/>
      <c r="BMS54" s="26"/>
      <c r="BMT54" s="26"/>
      <c r="BMU54" s="26"/>
      <c r="BMV54" s="26"/>
      <c r="BMW54" s="26"/>
      <c r="BMX54" s="26"/>
      <c r="BMY54" s="26"/>
      <c r="BMZ54" s="26"/>
      <c r="BNA54" s="26"/>
      <c r="BNB54" s="26"/>
      <c r="BNC54" s="26"/>
      <c r="BND54" s="26"/>
      <c r="BNE54" s="26"/>
      <c r="BNF54" s="26"/>
      <c r="BNG54" s="26"/>
      <c r="BNH54" s="26"/>
      <c r="BNI54" s="26"/>
      <c r="BNJ54" s="26"/>
      <c r="BNK54" s="26"/>
      <c r="BNL54" s="26"/>
      <c r="BNM54" s="26"/>
      <c r="BNN54" s="26"/>
      <c r="BNO54" s="26"/>
      <c r="BNP54" s="26"/>
      <c r="BNQ54" s="26"/>
      <c r="BNR54" s="26"/>
      <c r="BNS54" s="26"/>
      <c r="BNT54" s="26"/>
      <c r="BNU54" s="26"/>
      <c r="BNV54" s="26"/>
      <c r="BNW54" s="26"/>
      <c r="BNX54" s="26"/>
      <c r="BNY54" s="26"/>
      <c r="BNZ54" s="26"/>
      <c r="BOA54" s="26"/>
      <c r="BOB54" s="26"/>
      <c r="BOC54" s="26"/>
      <c r="BOD54" s="26"/>
      <c r="BOE54" s="26"/>
      <c r="BOF54" s="26"/>
      <c r="BOG54" s="26"/>
      <c r="BOH54" s="26"/>
      <c r="BOI54" s="26"/>
      <c r="BOJ54" s="26"/>
      <c r="BOK54" s="26"/>
      <c r="BOL54" s="26"/>
      <c r="BOM54" s="26"/>
      <c r="BON54" s="26"/>
      <c r="BOO54" s="26"/>
      <c r="BOP54" s="26"/>
      <c r="BOQ54" s="26"/>
      <c r="BOR54" s="26"/>
      <c r="BOS54" s="26"/>
      <c r="BOT54" s="26"/>
      <c r="BOU54" s="26"/>
      <c r="BOV54" s="26"/>
      <c r="BOW54" s="26"/>
      <c r="BOX54" s="26"/>
      <c r="BOY54" s="26"/>
      <c r="BOZ54" s="26"/>
      <c r="BPA54" s="26"/>
      <c r="BPB54" s="26"/>
      <c r="BPC54" s="26"/>
      <c r="BPD54" s="26"/>
      <c r="BPE54" s="26"/>
      <c r="BPF54" s="26"/>
      <c r="BPG54" s="26"/>
      <c r="BPH54" s="26"/>
      <c r="BPI54" s="26"/>
      <c r="BPJ54" s="26"/>
      <c r="BPK54" s="26"/>
      <c r="BPL54" s="26"/>
      <c r="BPM54" s="26"/>
      <c r="BPN54" s="26"/>
      <c r="BPO54" s="26"/>
      <c r="BPP54" s="26"/>
      <c r="BPQ54" s="26"/>
      <c r="BPR54" s="26"/>
      <c r="BPS54" s="26"/>
      <c r="BPT54" s="26"/>
      <c r="BPU54" s="26"/>
      <c r="BPV54" s="26"/>
      <c r="BPW54" s="26"/>
      <c r="BPX54" s="26"/>
      <c r="BPY54" s="26"/>
      <c r="BPZ54" s="26"/>
      <c r="BQA54" s="26"/>
      <c r="BQB54" s="26"/>
      <c r="BQC54" s="26"/>
      <c r="BQD54" s="26"/>
      <c r="BQE54" s="26"/>
      <c r="BQF54" s="26"/>
      <c r="BQG54" s="26"/>
      <c r="BQH54" s="26"/>
      <c r="BQI54" s="26"/>
      <c r="BQJ54" s="26"/>
      <c r="BQK54" s="26"/>
      <c r="BQL54" s="26"/>
      <c r="BQM54" s="26"/>
      <c r="BQN54" s="26"/>
      <c r="BQO54" s="26"/>
      <c r="BQP54" s="26"/>
      <c r="BQQ54" s="26"/>
      <c r="BQR54" s="26"/>
      <c r="BQS54" s="26"/>
      <c r="BQT54" s="26"/>
      <c r="BQU54" s="26"/>
      <c r="BQV54" s="26"/>
      <c r="BQW54" s="26"/>
      <c r="BQX54" s="26"/>
      <c r="BQY54" s="26"/>
      <c r="BQZ54" s="26"/>
      <c r="BRA54" s="26"/>
      <c r="BRB54" s="26"/>
      <c r="BRC54" s="26"/>
      <c r="BRD54" s="26"/>
      <c r="BRE54" s="26"/>
      <c r="BRF54" s="26"/>
      <c r="BRG54" s="26"/>
      <c r="BRH54" s="26"/>
      <c r="BRI54" s="26"/>
      <c r="BRJ54" s="26"/>
      <c r="BRK54" s="26"/>
      <c r="BRL54" s="26"/>
      <c r="BRM54" s="26"/>
      <c r="BRN54" s="26"/>
      <c r="BRO54" s="26"/>
      <c r="BRP54" s="26"/>
      <c r="BRQ54" s="26"/>
      <c r="BRR54" s="26"/>
      <c r="BRS54" s="26"/>
      <c r="BRT54" s="26"/>
      <c r="BRU54" s="26"/>
      <c r="BRV54" s="26"/>
      <c r="BRW54" s="26"/>
      <c r="BRX54" s="26"/>
      <c r="BRY54" s="26"/>
      <c r="BRZ54" s="26"/>
      <c r="BSA54" s="26"/>
      <c r="BSB54" s="26"/>
      <c r="BSC54" s="26"/>
      <c r="BSD54" s="26"/>
      <c r="BSE54" s="26"/>
      <c r="BSF54" s="26"/>
      <c r="BSG54" s="26"/>
      <c r="BSH54" s="26"/>
      <c r="BSI54" s="26"/>
      <c r="BSJ54" s="26"/>
      <c r="BSK54" s="26"/>
      <c r="BSL54" s="26"/>
      <c r="BSM54" s="26"/>
      <c r="BSN54" s="26"/>
      <c r="BSO54" s="26"/>
      <c r="BSP54" s="26"/>
      <c r="BSQ54" s="26"/>
      <c r="BSR54" s="26"/>
      <c r="BSS54" s="26"/>
      <c r="BST54" s="26"/>
      <c r="BSU54" s="26"/>
      <c r="BSV54" s="26"/>
      <c r="BSW54" s="26"/>
      <c r="BSX54" s="26"/>
      <c r="BSY54" s="26"/>
      <c r="BSZ54" s="26"/>
      <c r="BTA54" s="26"/>
      <c r="BTB54" s="26"/>
      <c r="BTC54" s="26"/>
      <c r="BTD54" s="26"/>
      <c r="BTE54" s="26"/>
      <c r="BTF54" s="26"/>
      <c r="BTG54" s="26"/>
      <c r="BTH54" s="26"/>
      <c r="BTI54" s="26"/>
      <c r="BTJ54" s="26"/>
      <c r="BTK54" s="26"/>
      <c r="BTL54" s="26"/>
      <c r="BTM54" s="26"/>
      <c r="BTN54" s="26"/>
      <c r="BTO54" s="26"/>
      <c r="BTP54" s="26"/>
      <c r="BTQ54" s="26"/>
      <c r="BTR54" s="26"/>
      <c r="BTS54" s="26"/>
      <c r="BTT54" s="26"/>
      <c r="BTU54" s="26"/>
      <c r="BTV54" s="26"/>
      <c r="BTW54" s="26"/>
      <c r="BTX54" s="26"/>
      <c r="BTY54" s="26"/>
      <c r="BTZ54" s="26"/>
      <c r="BUA54" s="26"/>
      <c r="BUB54" s="26"/>
      <c r="BUC54" s="26"/>
      <c r="BUD54" s="26"/>
      <c r="BUE54" s="26"/>
      <c r="BUF54" s="26"/>
      <c r="BUG54" s="26"/>
      <c r="BUH54" s="26"/>
      <c r="BUI54" s="26"/>
      <c r="BUJ54" s="26"/>
      <c r="BUK54" s="26"/>
      <c r="BUL54" s="26"/>
      <c r="BUM54" s="26"/>
      <c r="BUN54" s="26"/>
      <c r="BUO54" s="26"/>
      <c r="BUP54" s="26"/>
      <c r="BUQ54" s="26"/>
      <c r="BUR54" s="26"/>
      <c r="BUS54" s="26"/>
      <c r="BUT54" s="26"/>
      <c r="BUU54" s="26"/>
      <c r="BUV54" s="26"/>
      <c r="BUW54" s="26"/>
      <c r="BUX54" s="26"/>
      <c r="BUY54" s="26"/>
      <c r="BUZ54" s="26"/>
      <c r="BVA54" s="26"/>
      <c r="BVB54" s="26"/>
      <c r="BVC54" s="26"/>
      <c r="BVD54" s="26"/>
      <c r="BVE54" s="26"/>
      <c r="BVF54" s="26"/>
      <c r="BVG54" s="26"/>
      <c r="BVH54" s="26"/>
      <c r="BVI54" s="26"/>
      <c r="BVJ54" s="26"/>
      <c r="BVK54" s="26"/>
      <c r="BVL54" s="26"/>
      <c r="BVM54" s="26"/>
      <c r="BVN54" s="26"/>
      <c r="BVO54" s="26"/>
      <c r="BVP54" s="26"/>
      <c r="BVQ54" s="26"/>
      <c r="BVR54" s="26"/>
      <c r="BVS54" s="26"/>
      <c r="BVT54" s="26"/>
      <c r="BVU54" s="26"/>
      <c r="BVV54" s="26"/>
      <c r="BVW54" s="26"/>
      <c r="BVX54" s="26"/>
      <c r="BVY54" s="26"/>
      <c r="BVZ54" s="26"/>
      <c r="BWA54" s="26"/>
      <c r="BWB54" s="26"/>
      <c r="BWC54" s="26"/>
      <c r="BWD54" s="26"/>
      <c r="BWE54" s="26"/>
      <c r="BWF54" s="26"/>
      <c r="BWG54" s="26"/>
      <c r="BWH54" s="26"/>
      <c r="BWI54" s="26"/>
      <c r="BWJ54" s="26"/>
      <c r="BWK54" s="26"/>
      <c r="BWL54" s="26"/>
      <c r="BWM54" s="26"/>
      <c r="BWN54" s="26"/>
      <c r="BWO54" s="26"/>
      <c r="BWP54" s="26"/>
      <c r="BWQ54" s="26"/>
      <c r="BWR54" s="26"/>
      <c r="BWS54" s="26"/>
      <c r="BWT54" s="26"/>
      <c r="BWU54" s="26"/>
      <c r="BWV54" s="26"/>
      <c r="BWW54" s="26"/>
      <c r="BWX54" s="26"/>
      <c r="BWY54" s="26"/>
      <c r="BWZ54" s="26"/>
      <c r="BXA54" s="26"/>
      <c r="BXB54" s="26"/>
      <c r="BXC54" s="26"/>
      <c r="BXD54" s="26"/>
      <c r="BXE54" s="26"/>
      <c r="BXF54" s="26"/>
      <c r="BXG54" s="26"/>
      <c r="BXH54" s="26"/>
      <c r="BXI54" s="26"/>
      <c r="BXJ54" s="26"/>
      <c r="BXK54" s="26"/>
      <c r="BXL54" s="26"/>
      <c r="BXM54" s="26"/>
      <c r="BXN54" s="26"/>
      <c r="BXO54" s="26"/>
      <c r="BXP54" s="26"/>
      <c r="BXQ54" s="26"/>
      <c r="BXR54" s="26"/>
      <c r="BXS54" s="26"/>
      <c r="BXT54" s="26"/>
      <c r="BXU54" s="26"/>
      <c r="BXV54" s="26"/>
      <c r="BXW54" s="26"/>
      <c r="BXX54" s="26"/>
      <c r="BXY54" s="26"/>
      <c r="BXZ54" s="26"/>
      <c r="BYA54" s="26"/>
      <c r="BYB54" s="26"/>
      <c r="BYC54" s="26"/>
      <c r="BYD54" s="26"/>
      <c r="BYE54" s="26"/>
      <c r="BYF54" s="26"/>
      <c r="BYG54" s="26"/>
      <c r="BYH54" s="26"/>
      <c r="BYI54" s="26"/>
      <c r="BYJ54" s="26"/>
      <c r="BYK54" s="26"/>
      <c r="BYL54" s="26"/>
      <c r="BYM54" s="26"/>
      <c r="BYN54" s="26"/>
      <c r="BYO54" s="26"/>
      <c r="BYP54" s="26"/>
      <c r="BYQ54" s="26"/>
      <c r="BYR54" s="26"/>
      <c r="BYS54" s="26"/>
      <c r="BYT54" s="26"/>
      <c r="BYU54" s="26"/>
      <c r="BYV54" s="26"/>
      <c r="BYW54" s="26"/>
      <c r="BYX54" s="26"/>
      <c r="BYY54" s="26"/>
      <c r="BYZ54" s="26"/>
      <c r="BZA54" s="26"/>
      <c r="BZB54" s="26"/>
      <c r="BZC54" s="26"/>
      <c r="BZD54" s="26"/>
      <c r="BZE54" s="26"/>
      <c r="BZF54" s="26"/>
      <c r="BZG54" s="26"/>
      <c r="BZH54" s="26"/>
      <c r="BZI54" s="26"/>
      <c r="BZJ54" s="26"/>
      <c r="BZK54" s="26"/>
      <c r="BZL54" s="26"/>
      <c r="BZM54" s="26"/>
      <c r="BZN54" s="26"/>
      <c r="BZO54" s="26"/>
      <c r="BZP54" s="26"/>
      <c r="BZQ54" s="26"/>
      <c r="BZR54" s="26"/>
      <c r="BZS54" s="26"/>
      <c r="BZT54" s="26"/>
      <c r="BZU54" s="26"/>
      <c r="BZV54" s="26"/>
      <c r="BZW54" s="26"/>
      <c r="BZX54" s="26"/>
      <c r="BZY54" s="26"/>
      <c r="BZZ54" s="26"/>
      <c r="CAA54" s="26"/>
      <c r="CAB54" s="26"/>
      <c r="CAC54" s="26"/>
      <c r="CAD54" s="26"/>
      <c r="CAE54" s="26"/>
      <c r="CAF54" s="26"/>
      <c r="CAG54" s="26"/>
      <c r="CAH54" s="26"/>
      <c r="CAI54" s="26"/>
      <c r="CAJ54" s="26"/>
      <c r="CAK54" s="26"/>
      <c r="CAL54" s="26"/>
      <c r="CAM54" s="26"/>
      <c r="CAN54" s="26"/>
      <c r="CAO54" s="26"/>
      <c r="CAP54" s="26"/>
      <c r="CAQ54" s="26"/>
      <c r="CAR54" s="26"/>
      <c r="CAS54" s="26"/>
      <c r="CAT54" s="26"/>
      <c r="CAU54" s="26"/>
      <c r="CAV54" s="26"/>
      <c r="CAW54" s="26"/>
      <c r="CAX54" s="26"/>
      <c r="CAY54" s="26"/>
      <c r="CAZ54" s="26"/>
      <c r="CBA54" s="26"/>
      <c r="CBB54" s="26"/>
      <c r="CBC54" s="26"/>
      <c r="CBD54" s="26"/>
      <c r="CBE54" s="26"/>
      <c r="CBF54" s="26"/>
      <c r="CBG54" s="26"/>
      <c r="CBH54" s="26"/>
      <c r="CBI54" s="26"/>
    </row>
    <row r="55" spans="1:2089" ht="14" customHeight="1">
      <c r="A55" s="27">
        <f t="shared" si="0"/>
        <v>54</v>
      </c>
      <c r="B55" s="27" t="s">
        <v>304</v>
      </c>
      <c r="C55" s="27">
        <v>2013</v>
      </c>
      <c r="D55" s="26" t="s">
        <v>243</v>
      </c>
      <c r="E55" s="26" t="s">
        <v>563</v>
      </c>
      <c r="F55" s="77" t="s">
        <v>175</v>
      </c>
      <c r="G55" s="2" t="s">
        <v>105</v>
      </c>
      <c r="H55" s="2" t="s">
        <v>30</v>
      </c>
      <c r="I55" s="2" t="s">
        <v>548</v>
      </c>
      <c r="J55" s="2" t="s">
        <v>604</v>
      </c>
      <c r="K55" s="2" t="s">
        <v>175</v>
      </c>
      <c r="L55" s="2" t="s">
        <v>175</v>
      </c>
      <c r="M55" s="2" t="s">
        <v>175</v>
      </c>
      <c r="N55" s="2" t="s">
        <v>62</v>
      </c>
      <c r="O55" s="2" t="s">
        <v>43</v>
      </c>
      <c r="P55" s="2" t="s">
        <v>62</v>
      </c>
      <c r="Q55" s="26" t="s">
        <v>606</v>
      </c>
      <c r="R55" s="102" t="s">
        <v>614</v>
      </c>
      <c r="S55" s="2">
        <v>0</v>
      </c>
      <c r="T55" s="26">
        <v>63</v>
      </c>
      <c r="U55" s="77">
        <v>1</v>
      </c>
      <c r="V55" s="26">
        <v>1</v>
      </c>
      <c r="W55" s="26">
        <v>1</v>
      </c>
      <c r="X55" s="26">
        <v>1</v>
      </c>
      <c r="Y55" s="26">
        <v>1</v>
      </c>
      <c r="Z55" s="26">
        <v>1</v>
      </c>
      <c r="AA55" s="26">
        <v>0</v>
      </c>
      <c r="AB55" s="26">
        <v>0</v>
      </c>
      <c r="AC55" s="26" t="s">
        <v>70</v>
      </c>
      <c r="AD55" s="26" t="s">
        <v>70</v>
      </c>
      <c r="AE55" s="26" t="s">
        <v>70</v>
      </c>
      <c r="AF55" s="26" t="s">
        <v>70</v>
      </c>
      <c r="AG55" s="33" t="s">
        <v>70</v>
      </c>
      <c r="AH55" s="33" t="s">
        <v>70</v>
      </c>
      <c r="AI55" s="33" t="s">
        <v>70</v>
      </c>
      <c r="AJ55" s="26" t="s">
        <v>70</v>
      </c>
      <c r="AK55" s="33" t="s">
        <v>70</v>
      </c>
      <c r="AL55" s="33" t="s">
        <v>70</v>
      </c>
      <c r="AM55" s="35" t="s">
        <v>175</v>
      </c>
      <c r="AN55" s="26" t="s">
        <v>615</v>
      </c>
      <c r="AO55" s="35" t="s">
        <v>548</v>
      </c>
      <c r="AP55" s="35" t="s">
        <v>548</v>
      </c>
      <c r="AQ55" s="35" t="s">
        <v>548</v>
      </c>
      <c r="AR55" s="35" t="s">
        <v>548</v>
      </c>
      <c r="AS55" s="26" t="s">
        <v>175</v>
      </c>
      <c r="AT55" s="26" t="s">
        <v>70</v>
      </c>
      <c r="AU55" s="26" t="s">
        <v>70</v>
      </c>
      <c r="AV55" s="26">
        <v>11</v>
      </c>
    </row>
    <row r="56" spans="1:2089" ht="14" customHeight="1">
      <c r="A56" s="27">
        <f t="shared" si="0"/>
        <v>55</v>
      </c>
      <c r="B56" s="27" t="s">
        <v>304</v>
      </c>
      <c r="C56" s="27">
        <v>2013</v>
      </c>
      <c r="D56" s="26" t="s">
        <v>243</v>
      </c>
      <c r="E56" s="26" t="s">
        <v>563</v>
      </c>
      <c r="F56" s="77" t="s">
        <v>175</v>
      </c>
      <c r="G56" s="2" t="s">
        <v>105</v>
      </c>
      <c r="H56" s="2" t="s">
        <v>30</v>
      </c>
      <c r="I56" s="2" t="s">
        <v>548</v>
      </c>
      <c r="J56" s="2" t="s">
        <v>605</v>
      </c>
      <c r="K56" s="2" t="s">
        <v>175</v>
      </c>
      <c r="L56" s="2" t="s">
        <v>175</v>
      </c>
      <c r="M56" s="2" t="s">
        <v>175</v>
      </c>
      <c r="N56" s="2" t="s">
        <v>62</v>
      </c>
      <c r="O56" s="2" t="s">
        <v>43</v>
      </c>
      <c r="P56" s="2" t="s">
        <v>621</v>
      </c>
      <c r="Q56" s="2" t="s">
        <v>42</v>
      </c>
      <c r="R56" s="102" t="s">
        <v>614</v>
      </c>
      <c r="S56" s="2">
        <f>4/T56</f>
        <v>8.3333333333333329E-2</v>
      </c>
      <c r="T56" s="26">
        <v>48</v>
      </c>
      <c r="U56" s="77">
        <v>1</v>
      </c>
      <c r="V56" s="26">
        <v>1</v>
      </c>
      <c r="W56" s="26">
        <v>1</v>
      </c>
      <c r="X56" s="26">
        <v>1</v>
      </c>
      <c r="Y56" s="26">
        <v>1</v>
      </c>
      <c r="Z56" s="26">
        <v>1</v>
      </c>
      <c r="AA56" s="26">
        <v>0</v>
      </c>
      <c r="AB56" s="26">
        <v>0</v>
      </c>
      <c r="AC56" s="26" t="s">
        <v>70</v>
      </c>
      <c r="AD56" s="26" t="s">
        <v>70</v>
      </c>
      <c r="AE56" s="26" t="s">
        <v>70</v>
      </c>
      <c r="AF56" s="26" t="s">
        <v>70</v>
      </c>
      <c r="AG56" s="26" t="s">
        <v>70</v>
      </c>
      <c r="AH56" s="26" t="s">
        <v>70</v>
      </c>
      <c r="AI56" s="26" t="s">
        <v>70</v>
      </c>
      <c r="AJ56" s="26" t="s">
        <v>244</v>
      </c>
      <c r="AK56" s="26" t="s">
        <v>70</v>
      </c>
      <c r="AL56" s="26" t="s">
        <v>70</v>
      </c>
      <c r="AM56" s="35" t="s">
        <v>175</v>
      </c>
      <c r="AN56" s="26" t="s">
        <v>615</v>
      </c>
      <c r="AO56" s="35" t="s">
        <v>548</v>
      </c>
      <c r="AP56" s="35" t="s">
        <v>548</v>
      </c>
      <c r="AQ56" s="35" t="s">
        <v>548</v>
      </c>
      <c r="AR56" s="35" t="s">
        <v>548</v>
      </c>
      <c r="AS56" s="26" t="s">
        <v>175</v>
      </c>
      <c r="AT56" s="26" t="s">
        <v>70</v>
      </c>
      <c r="AU56" s="26" t="s">
        <v>70</v>
      </c>
      <c r="AV56" s="26">
        <v>11</v>
      </c>
    </row>
    <row r="57" spans="1:2089" ht="14" customHeight="1">
      <c r="A57" s="27">
        <f t="shared" si="0"/>
        <v>56</v>
      </c>
      <c r="B57" s="27" t="s">
        <v>305</v>
      </c>
      <c r="C57" s="27">
        <v>2009</v>
      </c>
      <c r="D57" s="26" t="s">
        <v>69</v>
      </c>
      <c r="E57" s="26" t="s">
        <v>565</v>
      </c>
      <c r="F57" s="77" t="s">
        <v>175</v>
      </c>
      <c r="G57" s="2" t="s">
        <v>106</v>
      </c>
      <c r="H57" s="2" t="s">
        <v>30</v>
      </c>
      <c r="I57" s="2" t="s">
        <v>548</v>
      </c>
      <c r="J57" s="2" t="s">
        <v>604</v>
      </c>
      <c r="K57" s="2" t="s">
        <v>548</v>
      </c>
      <c r="L57" s="2" t="s">
        <v>548</v>
      </c>
      <c r="M57" s="2" t="s">
        <v>175</v>
      </c>
      <c r="N57" s="2" t="s">
        <v>62</v>
      </c>
      <c r="O57" s="2" t="s">
        <v>43</v>
      </c>
      <c r="P57" s="2" t="s">
        <v>62</v>
      </c>
      <c r="Q57" s="26" t="s">
        <v>606</v>
      </c>
      <c r="R57" s="102" t="s">
        <v>614</v>
      </c>
      <c r="S57" s="2">
        <v>0</v>
      </c>
      <c r="T57" s="26">
        <v>20</v>
      </c>
      <c r="U57" s="77">
        <v>1</v>
      </c>
      <c r="V57" s="26">
        <v>0</v>
      </c>
      <c r="W57" s="26">
        <v>1</v>
      </c>
      <c r="X57" s="26">
        <v>1</v>
      </c>
      <c r="Y57" s="26">
        <v>1</v>
      </c>
      <c r="Z57" s="26">
        <v>0</v>
      </c>
      <c r="AA57" s="26">
        <v>1</v>
      </c>
      <c r="AB57" s="26">
        <v>1</v>
      </c>
      <c r="AC57" s="26" t="s">
        <v>70</v>
      </c>
      <c r="AD57" s="26" t="s">
        <v>70</v>
      </c>
      <c r="AE57" s="26" t="s">
        <v>70</v>
      </c>
      <c r="AF57" s="26" t="s">
        <v>70</v>
      </c>
      <c r="AG57" s="26" t="s">
        <v>70</v>
      </c>
      <c r="AH57" s="26" t="s">
        <v>70</v>
      </c>
      <c r="AI57" s="26" t="s">
        <v>70</v>
      </c>
      <c r="AJ57" s="26" t="s">
        <v>70</v>
      </c>
      <c r="AK57" s="26" t="s">
        <v>70</v>
      </c>
      <c r="AL57" s="26" t="s">
        <v>70</v>
      </c>
      <c r="AM57" s="35" t="s">
        <v>175</v>
      </c>
      <c r="AN57" s="26" t="s">
        <v>274</v>
      </c>
      <c r="AO57" s="35" t="s">
        <v>548</v>
      </c>
      <c r="AP57" s="35" t="s">
        <v>548</v>
      </c>
      <c r="AQ57" s="35" t="s">
        <v>548</v>
      </c>
      <c r="AR57" s="35" t="s">
        <v>548</v>
      </c>
      <c r="AS57" s="26" t="s">
        <v>175</v>
      </c>
      <c r="AT57" s="26" t="s">
        <v>70</v>
      </c>
      <c r="AU57" s="26" t="s">
        <v>70</v>
      </c>
      <c r="AV57" s="26">
        <v>9</v>
      </c>
    </row>
    <row r="58" spans="1:2089" ht="14" customHeight="1">
      <c r="A58" s="27">
        <f t="shared" si="0"/>
        <v>57</v>
      </c>
      <c r="B58" s="27" t="s">
        <v>306</v>
      </c>
      <c r="C58" s="27">
        <v>2012</v>
      </c>
      <c r="D58" s="26" t="s">
        <v>57</v>
      </c>
      <c r="E58" s="26" t="s">
        <v>566</v>
      </c>
      <c r="F58" s="77" t="s">
        <v>175</v>
      </c>
      <c r="G58" s="2" t="s">
        <v>84</v>
      </c>
      <c r="H58" s="2" t="s">
        <v>24</v>
      </c>
      <c r="I58" s="2" t="s">
        <v>548</v>
      </c>
      <c r="J58" s="2" t="s">
        <v>604</v>
      </c>
      <c r="K58" s="2" t="s">
        <v>548</v>
      </c>
      <c r="L58" s="2" t="s">
        <v>548</v>
      </c>
      <c r="M58" s="2" t="s">
        <v>548</v>
      </c>
      <c r="N58" s="2" t="s">
        <v>609</v>
      </c>
      <c r="O58" s="2" t="s">
        <v>60</v>
      </c>
      <c r="P58" s="2" t="s">
        <v>609</v>
      </c>
      <c r="Q58" s="2" t="s">
        <v>42</v>
      </c>
      <c r="R58" s="79" t="s">
        <v>613</v>
      </c>
      <c r="S58" s="88">
        <v>0.95599999999999996</v>
      </c>
      <c r="T58" s="26">
        <v>127</v>
      </c>
      <c r="U58" s="77">
        <v>1</v>
      </c>
      <c r="V58" s="26">
        <v>1</v>
      </c>
      <c r="W58" s="26">
        <v>1</v>
      </c>
      <c r="X58" s="26">
        <v>1</v>
      </c>
      <c r="Y58" s="26">
        <v>1</v>
      </c>
      <c r="Z58" s="26">
        <v>1</v>
      </c>
      <c r="AA58" s="26">
        <v>0</v>
      </c>
      <c r="AB58" s="26">
        <v>0</v>
      </c>
      <c r="AC58" s="33">
        <v>0.01</v>
      </c>
      <c r="AD58" s="33">
        <v>0.28699999999999998</v>
      </c>
      <c r="AE58" s="33">
        <v>0.42570000000000002</v>
      </c>
      <c r="AF58" s="33">
        <v>0.27700000000000002</v>
      </c>
      <c r="AG58" s="33" t="s">
        <v>70</v>
      </c>
      <c r="AH58" s="33" t="s">
        <v>70</v>
      </c>
      <c r="AI58" s="33" t="s">
        <v>70</v>
      </c>
      <c r="AJ58" s="26" t="s">
        <v>70</v>
      </c>
      <c r="AK58" s="33" t="s">
        <v>70</v>
      </c>
      <c r="AL58" s="33" t="s">
        <v>70</v>
      </c>
      <c r="AM58" s="35" t="s">
        <v>175</v>
      </c>
      <c r="AN58" s="26" t="s">
        <v>274</v>
      </c>
      <c r="AO58" s="35" t="s">
        <v>548</v>
      </c>
      <c r="AP58" s="35" t="s">
        <v>175</v>
      </c>
      <c r="AQ58" s="35" t="s">
        <v>175</v>
      </c>
      <c r="AR58" s="35" t="s">
        <v>548</v>
      </c>
      <c r="AS58" s="26" t="s">
        <v>175</v>
      </c>
      <c r="AT58" s="26" t="s">
        <v>548</v>
      </c>
      <c r="AU58" s="40" t="s">
        <v>548</v>
      </c>
      <c r="AV58" s="26">
        <v>8</v>
      </c>
    </row>
    <row r="59" spans="1:2089" ht="14" customHeight="1">
      <c r="A59" s="27">
        <f t="shared" si="0"/>
        <v>58</v>
      </c>
      <c r="B59" s="27" t="s">
        <v>306</v>
      </c>
      <c r="C59" s="27">
        <v>2012</v>
      </c>
      <c r="D59" s="26" t="s">
        <v>74</v>
      </c>
      <c r="E59" s="26" t="s">
        <v>565</v>
      </c>
      <c r="F59" s="77" t="s">
        <v>175</v>
      </c>
      <c r="G59" s="2" t="s">
        <v>84</v>
      </c>
      <c r="H59" s="2" t="s">
        <v>24</v>
      </c>
      <c r="I59" s="2" t="s">
        <v>548</v>
      </c>
      <c r="J59" s="2" t="s">
        <v>604</v>
      </c>
      <c r="K59" s="2" t="s">
        <v>175</v>
      </c>
      <c r="L59" s="2" t="s">
        <v>548</v>
      </c>
      <c r="M59" s="2" t="s">
        <v>175</v>
      </c>
      <c r="N59" s="2" t="s">
        <v>609</v>
      </c>
      <c r="O59" s="2" t="s">
        <v>60</v>
      </c>
      <c r="P59" s="2" t="s">
        <v>609</v>
      </c>
      <c r="Q59" s="2" t="s">
        <v>42</v>
      </c>
      <c r="R59" s="79" t="s">
        <v>613</v>
      </c>
      <c r="S59" s="88">
        <v>1</v>
      </c>
      <c r="T59" s="26">
        <v>88</v>
      </c>
      <c r="U59" s="77">
        <v>1</v>
      </c>
      <c r="V59" s="26">
        <v>1</v>
      </c>
      <c r="W59" s="26">
        <v>1</v>
      </c>
      <c r="X59" s="26">
        <v>1</v>
      </c>
      <c r="Y59" s="26">
        <v>1</v>
      </c>
      <c r="Z59" s="26">
        <v>1</v>
      </c>
      <c r="AA59" s="26">
        <v>0</v>
      </c>
      <c r="AB59" s="26">
        <v>0</v>
      </c>
      <c r="AC59" s="33">
        <v>6.4000000000000001E-2</v>
      </c>
      <c r="AD59" s="33">
        <v>0.156</v>
      </c>
      <c r="AE59" s="33">
        <v>0.22500000000000001</v>
      </c>
      <c r="AF59" s="33">
        <f>0.358 + 0.197</f>
        <v>0.55499999999999994</v>
      </c>
      <c r="AG59" s="33" t="s">
        <v>70</v>
      </c>
      <c r="AH59" s="33" t="s">
        <v>70</v>
      </c>
      <c r="AI59" s="33" t="s">
        <v>70</v>
      </c>
      <c r="AJ59" s="26" t="s">
        <v>70</v>
      </c>
      <c r="AK59" s="33" t="s">
        <v>70</v>
      </c>
      <c r="AL59" s="33" t="s">
        <v>70</v>
      </c>
      <c r="AM59" s="35" t="s">
        <v>175</v>
      </c>
      <c r="AN59" s="26" t="s">
        <v>274</v>
      </c>
      <c r="AO59" s="35" t="s">
        <v>548</v>
      </c>
      <c r="AP59" s="35" t="s">
        <v>175</v>
      </c>
      <c r="AQ59" s="35" t="s">
        <v>175</v>
      </c>
      <c r="AR59" s="35" t="s">
        <v>548</v>
      </c>
      <c r="AS59" s="26" t="s">
        <v>175</v>
      </c>
      <c r="AT59" s="26" t="s">
        <v>548</v>
      </c>
      <c r="AU59" s="40" t="s">
        <v>548</v>
      </c>
      <c r="AV59" s="26">
        <v>10</v>
      </c>
    </row>
    <row r="60" spans="1:2089" s="42" customFormat="1" ht="14" customHeight="1">
      <c r="A60" s="27">
        <f t="shared" si="0"/>
        <v>59</v>
      </c>
      <c r="B60" s="27" t="s">
        <v>307</v>
      </c>
      <c r="C60" s="26">
        <v>1996</v>
      </c>
      <c r="D60" s="26" t="s">
        <v>63</v>
      </c>
      <c r="E60" s="26" t="s">
        <v>565</v>
      </c>
      <c r="F60" s="77" t="s">
        <v>175</v>
      </c>
      <c r="G60" s="2" t="s">
        <v>106</v>
      </c>
      <c r="H60" s="2" t="s">
        <v>24</v>
      </c>
      <c r="I60" s="2" t="s">
        <v>548</v>
      </c>
      <c r="J60" s="2" t="s">
        <v>604</v>
      </c>
      <c r="K60" s="2" t="s">
        <v>548</v>
      </c>
      <c r="L60" s="2" t="s">
        <v>548</v>
      </c>
      <c r="M60" s="2" t="s">
        <v>175</v>
      </c>
      <c r="N60" s="2" t="s">
        <v>62</v>
      </c>
      <c r="O60" s="2" t="s">
        <v>43</v>
      </c>
      <c r="P60" s="2" t="s">
        <v>62</v>
      </c>
      <c r="Q60" s="26" t="s">
        <v>607</v>
      </c>
      <c r="R60" s="79" t="s">
        <v>613</v>
      </c>
      <c r="S60" s="88">
        <v>0.77</v>
      </c>
      <c r="T60" s="61">
        <v>273</v>
      </c>
      <c r="U60" s="77">
        <v>1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0.23</v>
      </c>
      <c r="AD60" s="26">
        <v>0.43</v>
      </c>
      <c r="AE60" s="26" t="s">
        <v>70</v>
      </c>
      <c r="AF60" s="26" t="s">
        <v>70</v>
      </c>
      <c r="AG60" s="33" t="s">
        <v>70</v>
      </c>
      <c r="AH60" s="33" t="s">
        <v>70</v>
      </c>
      <c r="AI60" s="33" t="s">
        <v>70</v>
      </c>
      <c r="AJ60" s="33" t="s">
        <v>70</v>
      </c>
      <c r="AK60" s="33" t="s">
        <v>70</v>
      </c>
      <c r="AL60" s="33" t="s">
        <v>70</v>
      </c>
      <c r="AM60" s="61" t="s">
        <v>548</v>
      </c>
      <c r="AN60" s="26" t="s">
        <v>274</v>
      </c>
      <c r="AO60" s="35" t="s">
        <v>548</v>
      </c>
      <c r="AP60" s="35" t="s">
        <v>548</v>
      </c>
      <c r="AQ60" s="35" t="s">
        <v>548</v>
      </c>
      <c r="AR60" s="35" t="s">
        <v>548</v>
      </c>
      <c r="AS60" s="26" t="s">
        <v>175</v>
      </c>
      <c r="AT60" s="26" t="s">
        <v>70</v>
      </c>
      <c r="AU60" s="26" t="s">
        <v>70</v>
      </c>
      <c r="AV60" s="26">
        <v>3</v>
      </c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</row>
    <row r="61" spans="1:2089" ht="14" customHeight="1">
      <c r="A61" s="27">
        <f t="shared" si="0"/>
        <v>60</v>
      </c>
      <c r="B61" s="27" t="s">
        <v>307</v>
      </c>
      <c r="C61" s="26">
        <v>1996</v>
      </c>
      <c r="D61" s="26" t="s">
        <v>63</v>
      </c>
      <c r="E61" s="26" t="s">
        <v>565</v>
      </c>
      <c r="F61" s="77" t="s">
        <v>175</v>
      </c>
      <c r="G61" s="2" t="s">
        <v>106</v>
      </c>
      <c r="H61" s="2" t="s">
        <v>24</v>
      </c>
      <c r="I61" s="2" t="s">
        <v>548</v>
      </c>
      <c r="J61" s="2" t="s">
        <v>604</v>
      </c>
      <c r="K61" s="2" t="s">
        <v>548</v>
      </c>
      <c r="L61" s="2" t="s">
        <v>548</v>
      </c>
      <c r="M61" s="2" t="s">
        <v>175</v>
      </c>
      <c r="N61" s="2" t="s">
        <v>62</v>
      </c>
      <c r="O61" s="2" t="s">
        <v>43</v>
      </c>
      <c r="P61" s="2" t="s">
        <v>62</v>
      </c>
      <c r="Q61" s="26" t="s">
        <v>606</v>
      </c>
      <c r="R61" s="79" t="s">
        <v>613</v>
      </c>
      <c r="S61" s="88">
        <v>0.96</v>
      </c>
      <c r="T61" s="61">
        <v>25</v>
      </c>
      <c r="U61" s="77">
        <v>1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0.04</v>
      </c>
      <c r="AD61" s="26">
        <v>0.08</v>
      </c>
      <c r="AE61" s="26" t="s">
        <v>70</v>
      </c>
      <c r="AF61" s="26" t="s">
        <v>70</v>
      </c>
      <c r="AG61" s="33" t="s">
        <v>70</v>
      </c>
      <c r="AH61" s="33" t="s">
        <v>70</v>
      </c>
      <c r="AI61" s="33" t="s">
        <v>70</v>
      </c>
      <c r="AJ61" s="33" t="s">
        <v>70</v>
      </c>
      <c r="AK61" s="33" t="s">
        <v>70</v>
      </c>
      <c r="AL61" s="33" t="s">
        <v>70</v>
      </c>
      <c r="AM61" s="61" t="s">
        <v>548</v>
      </c>
      <c r="AN61" s="26" t="s">
        <v>274</v>
      </c>
      <c r="AO61" s="35" t="s">
        <v>548</v>
      </c>
      <c r="AP61" s="35" t="s">
        <v>548</v>
      </c>
      <c r="AQ61" s="35" t="s">
        <v>548</v>
      </c>
      <c r="AR61" s="35" t="s">
        <v>548</v>
      </c>
      <c r="AS61" s="26" t="s">
        <v>175</v>
      </c>
      <c r="AT61" s="26" t="s">
        <v>70</v>
      </c>
      <c r="AU61" s="26" t="s">
        <v>70</v>
      </c>
      <c r="AV61" s="42">
        <v>3</v>
      </c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</row>
    <row r="62" spans="1:2089" ht="14" customHeight="1">
      <c r="A62" s="27">
        <f t="shared" si="0"/>
        <v>61</v>
      </c>
      <c r="B62" s="27" t="s">
        <v>307</v>
      </c>
      <c r="C62" s="26">
        <v>1996</v>
      </c>
      <c r="D62" s="26" t="s">
        <v>63</v>
      </c>
      <c r="E62" s="26" t="s">
        <v>565</v>
      </c>
      <c r="F62" s="77" t="s">
        <v>175</v>
      </c>
      <c r="G62" s="2" t="s">
        <v>106</v>
      </c>
      <c r="H62" s="2" t="s">
        <v>24</v>
      </c>
      <c r="I62" s="2" t="s">
        <v>548</v>
      </c>
      <c r="J62" s="2" t="s">
        <v>604</v>
      </c>
      <c r="K62" s="2" t="s">
        <v>548</v>
      </c>
      <c r="L62" s="2" t="s">
        <v>548</v>
      </c>
      <c r="M62" s="2" t="s">
        <v>175</v>
      </c>
      <c r="N62" s="2" t="s">
        <v>609</v>
      </c>
      <c r="O62" s="2" t="s">
        <v>60</v>
      </c>
      <c r="P62" s="2" t="s">
        <v>609</v>
      </c>
      <c r="Q62" s="2" t="s">
        <v>42</v>
      </c>
      <c r="R62" s="79" t="s">
        <v>613</v>
      </c>
      <c r="S62" s="88">
        <v>0.64</v>
      </c>
      <c r="T62" s="61">
        <v>30</v>
      </c>
      <c r="U62" s="77">
        <v>1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0.36</v>
      </c>
      <c r="AD62" s="26">
        <v>0.17</v>
      </c>
      <c r="AE62" s="26" t="s">
        <v>70</v>
      </c>
      <c r="AF62" s="26" t="s">
        <v>70</v>
      </c>
      <c r="AG62" s="33" t="s">
        <v>70</v>
      </c>
      <c r="AH62" s="33" t="s">
        <v>70</v>
      </c>
      <c r="AI62" s="33" t="s">
        <v>70</v>
      </c>
      <c r="AJ62" s="26" t="s">
        <v>70</v>
      </c>
      <c r="AK62" s="33" t="s">
        <v>70</v>
      </c>
      <c r="AL62" s="33" t="s">
        <v>70</v>
      </c>
      <c r="AM62" s="61" t="s">
        <v>548</v>
      </c>
      <c r="AN62" s="26" t="s">
        <v>274</v>
      </c>
      <c r="AO62" s="35" t="s">
        <v>548</v>
      </c>
      <c r="AP62" s="35" t="s">
        <v>548</v>
      </c>
      <c r="AQ62" s="35" t="s">
        <v>548</v>
      </c>
      <c r="AR62" s="35" t="s">
        <v>548</v>
      </c>
      <c r="AS62" s="26" t="s">
        <v>175</v>
      </c>
      <c r="AT62" s="26" t="s">
        <v>70</v>
      </c>
      <c r="AU62" s="26" t="s">
        <v>70</v>
      </c>
      <c r="AV62" s="26">
        <v>3</v>
      </c>
    </row>
    <row r="63" spans="1:2089" ht="14" customHeight="1">
      <c r="A63" s="27">
        <f t="shared" si="0"/>
        <v>62</v>
      </c>
      <c r="B63" s="27" t="s">
        <v>307</v>
      </c>
      <c r="C63" s="26">
        <v>1996</v>
      </c>
      <c r="D63" s="26" t="s">
        <v>127</v>
      </c>
      <c r="E63" s="26" t="s">
        <v>563</v>
      </c>
      <c r="F63" s="77" t="s">
        <v>548</v>
      </c>
      <c r="G63" s="2" t="s">
        <v>84</v>
      </c>
      <c r="H63" s="2" t="s">
        <v>24</v>
      </c>
      <c r="I63" s="2" t="s">
        <v>548</v>
      </c>
      <c r="J63" s="2" t="s">
        <v>604</v>
      </c>
      <c r="K63" s="2" t="s">
        <v>548</v>
      </c>
      <c r="L63" s="2" t="s">
        <v>548</v>
      </c>
      <c r="M63" s="2" t="s">
        <v>175</v>
      </c>
      <c r="N63" s="2" t="s">
        <v>62</v>
      </c>
      <c r="O63" s="2" t="s">
        <v>43</v>
      </c>
      <c r="P63" s="2" t="s">
        <v>62</v>
      </c>
      <c r="Q63" s="26" t="s">
        <v>247</v>
      </c>
      <c r="R63" s="79" t="s">
        <v>613</v>
      </c>
      <c r="S63" s="88" t="s">
        <v>70</v>
      </c>
      <c r="T63" s="61">
        <v>30</v>
      </c>
      <c r="U63" s="77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33" t="s">
        <v>70</v>
      </c>
      <c r="AD63" s="33" t="s">
        <v>70</v>
      </c>
      <c r="AE63" s="33" t="s">
        <v>70</v>
      </c>
      <c r="AF63" s="33" t="s">
        <v>70</v>
      </c>
      <c r="AG63" s="33">
        <v>4.0999999999999996</v>
      </c>
      <c r="AH63" s="33" t="s">
        <v>70</v>
      </c>
      <c r="AI63" s="33" t="s">
        <v>70</v>
      </c>
      <c r="AJ63" s="33" t="s">
        <v>70</v>
      </c>
      <c r="AK63" s="33" t="s">
        <v>70</v>
      </c>
      <c r="AL63" s="33" t="s">
        <v>70</v>
      </c>
      <c r="AM63" s="61" t="s">
        <v>548</v>
      </c>
      <c r="AN63" s="26" t="s">
        <v>274</v>
      </c>
      <c r="AO63" s="35" t="s">
        <v>548</v>
      </c>
      <c r="AP63" s="35" t="s">
        <v>548</v>
      </c>
      <c r="AQ63" s="35" t="s">
        <v>548</v>
      </c>
      <c r="AR63" s="35" t="s">
        <v>548</v>
      </c>
      <c r="AS63" s="26" t="s">
        <v>175</v>
      </c>
      <c r="AT63" s="26" t="s">
        <v>70</v>
      </c>
      <c r="AU63" s="26" t="s">
        <v>70</v>
      </c>
      <c r="AV63" s="26">
        <v>2</v>
      </c>
    </row>
    <row r="64" spans="1:2089" ht="14" customHeight="1">
      <c r="A64" s="27">
        <f t="shared" si="0"/>
        <v>63</v>
      </c>
      <c r="B64" s="27" t="s">
        <v>307</v>
      </c>
      <c r="C64" s="26">
        <v>1996</v>
      </c>
      <c r="D64" s="26" t="s">
        <v>127</v>
      </c>
      <c r="E64" s="26" t="s">
        <v>563</v>
      </c>
      <c r="F64" s="77" t="s">
        <v>548</v>
      </c>
      <c r="G64" s="2" t="s">
        <v>84</v>
      </c>
      <c r="H64" s="2" t="s">
        <v>24</v>
      </c>
      <c r="I64" s="2" t="s">
        <v>548</v>
      </c>
      <c r="J64" s="2" t="s">
        <v>604</v>
      </c>
      <c r="K64" s="2" t="s">
        <v>548</v>
      </c>
      <c r="L64" s="2" t="s">
        <v>548</v>
      </c>
      <c r="M64" s="2" t="s">
        <v>175</v>
      </c>
      <c r="N64" s="2" t="s">
        <v>139</v>
      </c>
      <c r="O64" s="2" t="s">
        <v>60</v>
      </c>
      <c r="P64" s="2" t="s">
        <v>139</v>
      </c>
      <c r="Q64" s="2" t="s">
        <v>42</v>
      </c>
      <c r="R64" s="79" t="s">
        <v>613</v>
      </c>
      <c r="S64" s="2" t="s">
        <v>70</v>
      </c>
      <c r="T64" s="26">
        <v>12</v>
      </c>
      <c r="U64" s="77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33" t="s">
        <v>70</v>
      </c>
      <c r="AD64" s="33" t="s">
        <v>70</v>
      </c>
      <c r="AE64" s="33" t="s">
        <v>70</v>
      </c>
      <c r="AF64" s="33" t="s">
        <v>70</v>
      </c>
      <c r="AG64" s="33">
        <v>12.5</v>
      </c>
      <c r="AH64" s="33" t="s">
        <v>70</v>
      </c>
      <c r="AI64" s="33" t="s">
        <v>70</v>
      </c>
      <c r="AJ64" s="33" t="s">
        <v>70</v>
      </c>
      <c r="AK64" s="33" t="s">
        <v>70</v>
      </c>
      <c r="AL64" s="33" t="s">
        <v>70</v>
      </c>
      <c r="AM64" s="61" t="s">
        <v>548</v>
      </c>
      <c r="AN64" s="26" t="s">
        <v>274</v>
      </c>
      <c r="AO64" s="35" t="s">
        <v>548</v>
      </c>
      <c r="AP64" s="35" t="s">
        <v>548</v>
      </c>
      <c r="AQ64" s="35" t="s">
        <v>548</v>
      </c>
      <c r="AR64" s="35" t="s">
        <v>548</v>
      </c>
      <c r="AS64" s="26" t="s">
        <v>175</v>
      </c>
      <c r="AT64" s="26" t="s">
        <v>70</v>
      </c>
      <c r="AU64" s="26" t="s">
        <v>70</v>
      </c>
      <c r="AV64" s="26">
        <v>2</v>
      </c>
    </row>
    <row r="65" spans="1:2089" ht="14" customHeight="1">
      <c r="A65" s="27">
        <f t="shared" si="0"/>
        <v>64</v>
      </c>
      <c r="B65" s="27" t="s">
        <v>308</v>
      </c>
      <c r="C65" s="27">
        <v>2004</v>
      </c>
      <c r="D65" s="26" t="s">
        <v>18</v>
      </c>
      <c r="E65" s="26" t="s">
        <v>566</v>
      </c>
      <c r="F65" s="77" t="s">
        <v>175</v>
      </c>
      <c r="G65" s="2" t="s">
        <v>84</v>
      </c>
      <c r="H65" s="2" t="s">
        <v>275</v>
      </c>
      <c r="I65" s="2" t="s">
        <v>548</v>
      </c>
      <c r="J65" s="2" t="s">
        <v>604</v>
      </c>
      <c r="K65" s="2" t="s">
        <v>548</v>
      </c>
      <c r="L65" s="2" t="s">
        <v>548</v>
      </c>
      <c r="M65" s="2" t="s">
        <v>548</v>
      </c>
      <c r="N65" s="2" t="s">
        <v>210</v>
      </c>
      <c r="O65" s="2" t="s">
        <v>43</v>
      </c>
      <c r="P65" s="2" t="s">
        <v>210</v>
      </c>
      <c r="Q65" s="2" t="s">
        <v>42</v>
      </c>
      <c r="R65" s="102" t="s">
        <v>614</v>
      </c>
      <c r="S65" s="2">
        <f>0/T65</f>
        <v>0</v>
      </c>
      <c r="T65" s="26">
        <v>72</v>
      </c>
      <c r="U65" s="77">
        <v>1</v>
      </c>
      <c r="V65" s="26">
        <v>0</v>
      </c>
      <c r="W65" s="26">
        <v>1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 t="s">
        <v>70</v>
      </c>
      <c r="AD65" s="26" t="s">
        <v>70</v>
      </c>
      <c r="AE65" s="26" t="s">
        <v>70</v>
      </c>
      <c r="AF65" s="26" t="s">
        <v>70</v>
      </c>
      <c r="AG65" s="26" t="s">
        <v>70</v>
      </c>
      <c r="AH65" s="26" t="s">
        <v>70</v>
      </c>
      <c r="AI65" s="26" t="s">
        <v>70</v>
      </c>
      <c r="AJ65" s="26" t="s">
        <v>70</v>
      </c>
      <c r="AK65" s="26" t="s">
        <v>70</v>
      </c>
      <c r="AL65" s="26" t="s">
        <v>70</v>
      </c>
      <c r="AM65" s="35" t="s">
        <v>548</v>
      </c>
      <c r="AN65" s="26" t="s">
        <v>274</v>
      </c>
      <c r="AO65" s="35" t="s">
        <v>548</v>
      </c>
      <c r="AP65" s="35" t="s">
        <v>548</v>
      </c>
      <c r="AQ65" s="35" t="s">
        <v>548</v>
      </c>
      <c r="AR65" s="35" t="s">
        <v>548</v>
      </c>
      <c r="AS65" s="26" t="s">
        <v>175</v>
      </c>
      <c r="AT65" s="26" t="s">
        <v>70</v>
      </c>
      <c r="AU65" s="26" t="s">
        <v>70</v>
      </c>
      <c r="AV65" s="26">
        <v>3</v>
      </c>
    </row>
    <row r="66" spans="1:2089" ht="14" customHeight="1">
      <c r="A66" s="27">
        <f t="shared" si="0"/>
        <v>65</v>
      </c>
      <c r="B66" s="27" t="s">
        <v>308</v>
      </c>
      <c r="C66" s="27">
        <v>2004</v>
      </c>
      <c r="D66" s="26" t="s">
        <v>18</v>
      </c>
      <c r="E66" s="26" t="s">
        <v>566</v>
      </c>
      <c r="F66" s="77" t="s">
        <v>175</v>
      </c>
      <c r="G66" s="2" t="s">
        <v>84</v>
      </c>
      <c r="H66" s="2" t="s">
        <v>275</v>
      </c>
      <c r="I66" s="2" t="s">
        <v>548</v>
      </c>
      <c r="J66" s="2" t="s">
        <v>604</v>
      </c>
      <c r="K66" s="2" t="s">
        <v>548</v>
      </c>
      <c r="L66" s="2" t="s">
        <v>548</v>
      </c>
      <c r="M66" s="2" t="s">
        <v>548</v>
      </c>
      <c r="N66" s="2" t="s">
        <v>70</v>
      </c>
      <c r="O66" s="2" t="s">
        <v>209</v>
      </c>
      <c r="P66" s="2" t="s">
        <v>612</v>
      </c>
      <c r="Q66" s="2" t="s">
        <v>42</v>
      </c>
      <c r="R66" s="102" t="s">
        <v>614</v>
      </c>
      <c r="S66" s="2">
        <f>31/T66</f>
        <v>0.86111111111111116</v>
      </c>
      <c r="T66" s="26">
        <v>36</v>
      </c>
      <c r="U66" s="77">
        <v>1</v>
      </c>
      <c r="V66" s="26">
        <v>0</v>
      </c>
      <c r="W66" s="26">
        <v>1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 t="s">
        <v>70</v>
      </c>
      <c r="AD66" s="26" t="s">
        <v>70</v>
      </c>
      <c r="AE66" s="26" t="s">
        <v>70</v>
      </c>
      <c r="AF66" s="26" t="s">
        <v>70</v>
      </c>
      <c r="AG66" s="26" t="s">
        <v>70</v>
      </c>
      <c r="AH66" s="26" t="s">
        <v>70</v>
      </c>
      <c r="AI66" s="26" t="s">
        <v>70</v>
      </c>
      <c r="AJ66" s="26" t="s">
        <v>70</v>
      </c>
      <c r="AK66" s="26" t="s">
        <v>70</v>
      </c>
      <c r="AL66" s="26" t="s">
        <v>70</v>
      </c>
      <c r="AM66" s="35" t="s">
        <v>548</v>
      </c>
      <c r="AN66" s="32" t="s">
        <v>274</v>
      </c>
      <c r="AO66" s="35" t="s">
        <v>548</v>
      </c>
      <c r="AP66" s="35" t="s">
        <v>548</v>
      </c>
      <c r="AQ66" s="35" t="s">
        <v>548</v>
      </c>
      <c r="AR66" s="35" t="s">
        <v>548</v>
      </c>
      <c r="AS66" s="26" t="s">
        <v>175</v>
      </c>
      <c r="AT66" s="26" t="s">
        <v>70</v>
      </c>
      <c r="AU66" s="26" t="s">
        <v>70</v>
      </c>
      <c r="AV66" s="26">
        <v>3</v>
      </c>
    </row>
    <row r="67" spans="1:2089" ht="14" customHeight="1">
      <c r="A67" s="27">
        <f t="shared" ref="A67:A118" si="1">A66+1</f>
        <v>66</v>
      </c>
      <c r="B67" s="27" t="s">
        <v>308</v>
      </c>
      <c r="C67" s="27">
        <v>2004</v>
      </c>
      <c r="D67" s="26" t="s">
        <v>18</v>
      </c>
      <c r="E67" s="26" t="s">
        <v>566</v>
      </c>
      <c r="F67" s="77" t="s">
        <v>175</v>
      </c>
      <c r="G67" s="2" t="s">
        <v>84</v>
      </c>
      <c r="H67" s="2" t="s">
        <v>275</v>
      </c>
      <c r="I67" s="2" t="s">
        <v>548</v>
      </c>
      <c r="J67" s="2" t="s">
        <v>604</v>
      </c>
      <c r="K67" s="2" t="s">
        <v>548</v>
      </c>
      <c r="L67" s="2" t="s">
        <v>548</v>
      </c>
      <c r="M67" s="2" t="s">
        <v>548</v>
      </c>
      <c r="N67" s="2" t="s">
        <v>62</v>
      </c>
      <c r="O67" s="2" t="s">
        <v>43</v>
      </c>
      <c r="P67" s="2" t="s">
        <v>62</v>
      </c>
      <c r="Q67" s="38" t="s">
        <v>247</v>
      </c>
      <c r="R67" s="102" t="s">
        <v>614</v>
      </c>
      <c r="S67" s="2">
        <f>2/T67</f>
        <v>5.5555555555555552E-2</v>
      </c>
      <c r="T67" s="26">
        <v>36</v>
      </c>
      <c r="U67" s="77">
        <v>1</v>
      </c>
      <c r="V67" s="26">
        <v>0</v>
      </c>
      <c r="W67" s="26">
        <v>1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 t="s">
        <v>70</v>
      </c>
      <c r="AD67" s="26" t="s">
        <v>70</v>
      </c>
      <c r="AE67" s="26" t="s">
        <v>70</v>
      </c>
      <c r="AF67" s="26" t="s">
        <v>70</v>
      </c>
      <c r="AG67" s="26" t="s">
        <v>70</v>
      </c>
      <c r="AH67" s="26" t="s">
        <v>70</v>
      </c>
      <c r="AI67" s="26" t="s">
        <v>70</v>
      </c>
      <c r="AJ67" s="26" t="s">
        <v>70</v>
      </c>
      <c r="AK67" s="26" t="s">
        <v>70</v>
      </c>
      <c r="AL67" s="26" t="s">
        <v>70</v>
      </c>
      <c r="AM67" s="35" t="s">
        <v>548</v>
      </c>
      <c r="AN67" s="26" t="s">
        <v>274</v>
      </c>
      <c r="AO67" s="35" t="s">
        <v>548</v>
      </c>
      <c r="AP67" s="35" t="s">
        <v>548</v>
      </c>
      <c r="AQ67" s="35" t="s">
        <v>548</v>
      </c>
      <c r="AR67" s="35" t="s">
        <v>548</v>
      </c>
      <c r="AS67" s="26" t="s">
        <v>175</v>
      </c>
      <c r="AT67" s="26" t="s">
        <v>70</v>
      </c>
      <c r="AU67" s="26" t="s">
        <v>70</v>
      </c>
      <c r="AV67" s="26">
        <v>3</v>
      </c>
    </row>
    <row r="68" spans="1:2089" ht="14" customHeight="1">
      <c r="A68" s="27">
        <f t="shared" si="1"/>
        <v>67</v>
      </c>
      <c r="B68" s="27" t="s">
        <v>309</v>
      </c>
      <c r="C68" s="27">
        <v>1995</v>
      </c>
      <c r="D68" s="26" t="s">
        <v>63</v>
      </c>
      <c r="E68" s="26" t="s">
        <v>565</v>
      </c>
      <c r="F68" s="77" t="s">
        <v>175</v>
      </c>
      <c r="G68" s="2" t="s">
        <v>106</v>
      </c>
      <c r="H68" s="2" t="s">
        <v>30</v>
      </c>
      <c r="I68" s="2" t="s">
        <v>175</v>
      </c>
      <c r="J68" s="2" t="s">
        <v>604</v>
      </c>
      <c r="K68" s="2" t="s">
        <v>175</v>
      </c>
      <c r="L68" s="2" t="s">
        <v>175</v>
      </c>
      <c r="M68" s="2" t="s">
        <v>175</v>
      </c>
      <c r="N68" s="2" t="s">
        <v>62</v>
      </c>
      <c r="O68" s="2" t="s">
        <v>43</v>
      </c>
      <c r="P68" s="2" t="s">
        <v>62</v>
      </c>
      <c r="Q68" s="26" t="s">
        <v>606</v>
      </c>
      <c r="R68" s="79" t="s">
        <v>613</v>
      </c>
      <c r="S68" s="2">
        <v>0</v>
      </c>
      <c r="T68" s="26">
        <v>30</v>
      </c>
      <c r="U68" s="77">
        <v>1</v>
      </c>
      <c r="V68" s="26">
        <v>0</v>
      </c>
      <c r="W68" s="26">
        <v>1</v>
      </c>
      <c r="X68" s="26">
        <v>1</v>
      </c>
      <c r="Y68" s="26">
        <v>1</v>
      </c>
      <c r="Z68" s="26">
        <v>1</v>
      </c>
      <c r="AA68" s="26">
        <v>0</v>
      </c>
      <c r="AB68" s="26">
        <v>0</v>
      </c>
      <c r="AC68" s="26" t="s">
        <v>70</v>
      </c>
      <c r="AD68" s="26" t="s">
        <v>70</v>
      </c>
      <c r="AE68" s="26" t="s">
        <v>70</v>
      </c>
      <c r="AF68" s="26" t="s">
        <v>70</v>
      </c>
      <c r="AG68" s="26" t="s">
        <v>70</v>
      </c>
      <c r="AH68" s="26" t="s">
        <v>70</v>
      </c>
      <c r="AI68" s="26" t="s">
        <v>70</v>
      </c>
      <c r="AJ68" s="26" t="s">
        <v>70</v>
      </c>
      <c r="AK68" s="26" t="s">
        <v>70</v>
      </c>
      <c r="AL68" s="26" t="s">
        <v>70</v>
      </c>
      <c r="AM68" s="35" t="s">
        <v>175</v>
      </c>
      <c r="AN68" s="26" t="s">
        <v>274</v>
      </c>
      <c r="AO68" s="35" t="s">
        <v>548</v>
      </c>
      <c r="AP68" s="35" t="s">
        <v>548</v>
      </c>
      <c r="AQ68" s="35" t="s">
        <v>548</v>
      </c>
      <c r="AR68" s="35" t="s">
        <v>548</v>
      </c>
      <c r="AS68" s="26" t="s">
        <v>175</v>
      </c>
      <c r="AT68" s="26" t="s">
        <v>70</v>
      </c>
      <c r="AU68" s="26" t="s">
        <v>70</v>
      </c>
      <c r="AV68" s="26">
        <v>11</v>
      </c>
    </row>
    <row r="69" spans="1:2089" ht="14" customHeight="1">
      <c r="A69" s="27">
        <f t="shared" si="1"/>
        <v>68</v>
      </c>
      <c r="B69" s="27" t="s">
        <v>310</v>
      </c>
      <c r="C69" s="28">
        <v>2003</v>
      </c>
      <c r="D69" s="26" t="s">
        <v>152</v>
      </c>
      <c r="E69" s="26" t="s">
        <v>564</v>
      </c>
      <c r="F69" s="2" t="s">
        <v>175</v>
      </c>
      <c r="G69" s="2" t="s">
        <v>106</v>
      </c>
      <c r="H69" s="2" t="s">
        <v>275</v>
      </c>
      <c r="I69" s="2" t="s">
        <v>175</v>
      </c>
      <c r="J69" s="2" t="s">
        <v>604</v>
      </c>
      <c r="K69" s="2" t="s">
        <v>175</v>
      </c>
      <c r="L69" s="2" t="s">
        <v>175</v>
      </c>
      <c r="M69" s="2" t="s">
        <v>175</v>
      </c>
      <c r="N69" s="2" t="s">
        <v>48</v>
      </c>
      <c r="O69" s="2" t="s">
        <v>209</v>
      </c>
      <c r="P69" s="2" t="s">
        <v>48</v>
      </c>
      <c r="Q69" s="2" t="s">
        <v>42</v>
      </c>
      <c r="R69" s="79" t="s">
        <v>613</v>
      </c>
      <c r="S69" s="88">
        <v>0</v>
      </c>
      <c r="T69" s="61">
        <v>344</v>
      </c>
      <c r="U69" s="2">
        <v>1</v>
      </c>
      <c r="V69" s="26">
        <v>0</v>
      </c>
      <c r="W69" s="26">
        <v>1</v>
      </c>
      <c r="X69" s="26">
        <v>0</v>
      </c>
      <c r="Y69" s="26">
        <v>0</v>
      </c>
      <c r="Z69" s="26">
        <v>0</v>
      </c>
      <c r="AA69" s="26">
        <v>1</v>
      </c>
      <c r="AB69" s="26">
        <v>1</v>
      </c>
      <c r="AC69" s="26" t="s">
        <v>70</v>
      </c>
      <c r="AD69" s="26" t="s">
        <v>70</v>
      </c>
      <c r="AE69" s="26" t="s">
        <v>70</v>
      </c>
      <c r="AF69" s="26" t="s">
        <v>70</v>
      </c>
      <c r="AG69" s="33" t="s">
        <v>70</v>
      </c>
      <c r="AH69" s="26" t="s">
        <v>70</v>
      </c>
      <c r="AI69" s="26" t="s">
        <v>70</v>
      </c>
      <c r="AJ69" s="26" t="s">
        <v>70</v>
      </c>
      <c r="AK69" s="26" t="s">
        <v>70</v>
      </c>
      <c r="AL69" s="26" t="s">
        <v>70</v>
      </c>
      <c r="AM69" s="61" t="s">
        <v>548</v>
      </c>
      <c r="AN69" s="26" t="s">
        <v>274</v>
      </c>
      <c r="AO69" s="26" t="s">
        <v>548</v>
      </c>
      <c r="AP69" s="26" t="s">
        <v>548</v>
      </c>
      <c r="AQ69" s="26" t="s">
        <v>548</v>
      </c>
      <c r="AR69" s="26" t="s">
        <v>548</v>
      </c>
      <c r="AS69" s="26" t="s">
        <v>175</v>
      </c>
      <c r="AT69" s="26" t="s">
        <v>70</v>
      </c>
      <c r="AU69" s="26" t="s">
        <v>70</v>
      </c>
      <c r="AV69" s="26">
        <v>9</v>
      </c>
    </row>
    <row r="70" spans="1:2089" ht="14" customHeight="1">
      <c r="A70" s="27">
        <f t="shared" si="1"/>
        <v>69</v>
      </c>
      <c r="B70" s="27" t="s">
        <v>311</v>
      </c>
      <c r="C70" s="27">
        <v>2007</v>
      </c>
      <c r="D70" s="26" t="s">
        <v>136</v>
      </c>
      <c r="E70" s="26" t="s">
        <v>563</v>
      </c>
      <c r="F70" s="77" t="s">
        <v>175</v>
      </c>
      <c r="G70" s="2" t="s">
        <v>105</v>
      </c>
      <c r="H70" s="2" t="s">
        <v>275</v>
      </c>
      <c r="I70" s="2" t="s">
        <v>548</v>
      </c>
      <c r="J70" s="2" t="s">
        <v>604</v>
      </c>
      <c r="K70" s="2" t="s">
        <v>548</v>
      </c>
      <c r="L70" s="2" t="s">
        <v>548</v>
      </c>
      <c r="M70" s="2" t="s">
        <v>175</v>
      </c>
      <c r="N70" s="2" t="s">
        <v>70</v>
      </c>
      <c r="O70" s="2" t="s">
        <v>209</v>
      </c>
      <c r="P70" s="2" t="s">
        <v>612</v>
      </c>
      <c r="Q70" s="2" t="s">
        <v>42</v>
      </c>
      <c r="R70" s="79" t="s">
        <v>613</v>
      </c>
      <c r="S70" s="88">
        <f>22/T70</f>
        <v>0.7857142857142857</v>
      </c>
      <c r="T70" s="26">
        <v>28</v>
      </c>
      <c r="U70" s="77">
        <v>1</v>
      </c>
      <c r="V70" s="26">
        <v>0</v>
      </c>
      <c r="W70" s="26">
        <v>1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 t="s">
        <v>70</v>
      </c>
      <c r="AD70" s="26" t="s">
        <v>70</v>
      </c>
      <c r="AE70" s="26" t="s">
        <v>70</v>
      </c>
      <c r="AF70" s="26" t="s">
        <v>70</v>
      </c>
      <c r="AG70" s="33">
        <v>410</v>
      </c>
      <c r="AH70" s="33" t="s">
        <v>70</v>
      </c>
      <c r="AI70" s="33">
        <v>35</v>
      </c>
      <c r="AJ70" s="26" t="s">
        <v>137</v>
      </c>
      <c r="AK70" s="33" t="s">
        <v>70</v>
      </c>
      <c r="AL70" s="33" t="s">
        <v>70</v>
      </c>
      <c r="AM70" s="35" t="s">
        <v>175</v>
      </c>
      <c r="AN70" s="26" t="s">
        <v>617</v>
      </c>
      <c r="AO70" s="35" t="s">
        <v>548</v>
      </c>
      <c r="AP70" s="35" t="s">
        <v>548</v>
      </c>
      <c r="AQ70" s="35" t="s">
        <v>548</v>
      </c>
      <c r="AR70" s="35" t="s">
        <v>548</v>
      </c>
      <c r="AS70" s="26" t="s">
        <v>175</v>
      </c>
      <c r="AT70" s="26" t="s">
        <v>70</v>
      </c>
      <c r="AU70" s="26" t="s">
        <v>70</v>
      </c>
      <c r="AV70" s="26">
        <v>5</v>
      </c>
    </row>
    <row r="71" spans="1:2089" ht="14" customHeight="1">
      <c r="A71" s="27">
        <f t="shared" si="1"/>
        <v>70</v>
      </c>
      <c r="B71" s="27" t="s">
        <v>312</v>
      </c>
      <c r="C71" s="27">
        <v>2008</v>
      </c>
      <c r="D71" s="26" t="s">
        <v>223</v>
      </c>
      <c r="E71" s="26" t="s">
        <v>565</v>
      </c>
      <c r="F71" s="77" t="s">
        <v>175</v>
      </c>
      <c r="G71" s="2" t="s">
        <v>106</v>
      </c>
      <c r="H71" s="2" t="s">
        <v>30</v>
      </c>
      <c r="I71" s="2" t="s">
        <v>548</v>
      </c>
      <c r="J71" s="2" t="s">
        <v>604</v>
      </c>
      <c r="K71" s="2" t="s">
        <v>548</v>
      </c>
      <c r="L71" s="2" t="s">
        <v>548</v>
      </c>
      <c r="M71" s="2" t="s">
        <v>175</v>
      </c>
      <c r="N71" s="2" t="s">
        <v>62</v>
      </c>
      <c r="O71" s="2" t="s">
        <v>43</v>
      </c>
      <c r="P71" s="2" t="s">
        <v>62</v>
      </c>
      <c r="Q71" s="26" t="s">
        <v>606</v>
      </c>
      <c r="R71" s="79" t="s">
        <v>613</v>
      </c>
      <c r="S71" s="2">
        <v>0.25600000000000001</v>
      </c>
      <c r="T71" s="26">
        <v>82</v>
      </c>
      <c r="U71" s="77">
        <v>1</v>
      </c>
      <c r="V71" s="26">
        <v>0</v>
      </c>
      <c r="W71" s="26">
        <v>1</v>
      </c>
      <c r="X71" s="26">
        <v>1</v>
      </c>
      <c r="Y71" s="26">
        <v>1</v>
      </c>
      <c r="Z71" s="26">
        <v>0</v>
      </c>
      <c r="AA71" s="26">
        <v>0</v>
      </c>
      <c r="AB71" s="26">
        <v>0</v>
      </c>
      <c r="AC71" s="33" t="s">
        <v>70</v>
      </c>
      <c r="AD71" s="33" t="s">
        <v>70</v>
      </c>
      <c r="AE71" s="33" t="s">
        <v>70</v>
      </c>
      <c r="AF71" s="33" t="s">
        <v>70</v>
      </c>
      <c r="AG71" s="33" t="s">
        <v>70</v>
      </c>
      <c r="AH71" s="33">
        <v>14.2</v>
      </c>
      <c r="AI71" s="33" t="s">
        <v>70</v>
      </c>
      <c r="AJ71" s="47" t="str">
        <f>"1-1946"</f>
        <v>1-1946</v>
      </c>
      <c r="AK71" s="33" t="s">
        <v>70</v>
      </c>
      <c r="AL71" s="33" t="s">
        <v>70</v>
      </c>
      <c r="AM71" s="35" t="s">
        <v>175</v>
      </c>
      <c r="AN71" s="32" t="s">
        <v>9</v>
      </c>
      <c r="AO71" s="35" t="s">
        <v>548</v>
      </c>
      <c r="AP71" s="26" t="s">
        <v>548</v>
      </c>
      <c r="AQ71" s="26" t="s">
        <v>548</v>
      </c>
      <c r="AR71" s="26" t="s">
        <v>548</v>
      </c>
      <c r="AS71" s="26" t="s">
        <v>175</v>
      </c>
      <c r="AT71" s="26" t="s">
        <v>70</v>
      </c>
      <c r="AU71" s="26" t="s">
        <v>70</v>
      </c>
      <c r="AV71" s="26">
        <v>7</v>
      </c>
    </row>
    <row r="72" spans="1:2089" s="65" customFormat="1" ht="14" customHeight="1">
      <c r="A72" s="27">
        <f t="shared" si="1"/>
        <v>71</v>
      </c>
      <c r="B72" s="27" t="s">
        <v>533</v>
      </c>
      <c r="C72" s="27">
        <v>2005</v>
      </c>
      <c r="D72" s="26" t="s">
        <v>268</v>
      </c>
      <c r="E72" s="26" t="s">
        <v>563</v>
      </c>
      <c r="F72" s="77"/>
      <c r="G72" s="2" t="s">
        <v>84</v>
      </c>
      <c r="H72" s="2" t="s">
        <v>275</v>
      </c>
      <c r="I72" s="2" t="s">
        <v>175</v>
      </c>
      <c r="J72" s="2" t="s">
        <v>604</v>
      </c>
      <c r="K72" s="2" t="s">
        <v>548</v>
      </c>
      <c r="L72" s="2" t="s">
        <v>548</v>
      </c>
      <c r="M72" s="2" t="s">
        <v>175</v>
      </c>
      <c r="N72" s="2" t="s">
        <v>70</v>
      </c>
      <c r="O72" s="2" t="s">
        <v>209</v>
      </c>
      <c r="P72" s="2" t="s">
        <v>612</v>
      </c>
      <c r="Q72" s="2" t="s">
        <v>42</v>
      </c>
      <c r="R72" s="102" t="s">
        <v>614</v>
      </c>
      <c r="S72" s="88">
        <f>24/T72</f>
        <v>0.22222222222222221</v>
      </c>
      <c r="T72" s="61">
        <v>108</v>
      </c>
      <c r="U72" s="77"/>
      <c r="V72" s="26">
        <v>0</v>
      </c>
      <c r="W72" s="26">
        <v>1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33">
        <f>1-S72</f>
        <v>0.77777777777777779</v>
      </c>
      <c r="AD72" s="33">
        <f>1-AC72-AE72-AF72</f>
        <v>0.16666666666666663</v>
      </c>
      <c r="AE72" s="26">
        <f>3/108</f>
        <v>2.7777777777777776E-2</v>
      </c>
      <c r="AF72" s="26">
        <f>3/108</f>
        <v>2.7777777777777776E-2</v>
      </c>
      <c r="AG72" s="33" t="s">
        <v>70</v>
      </c>
      <c r="AH72" s="33" t="s">
        <v>70</v>
      </c>
      <c r="AI72" s="33" t="s">
        <v>70</v>
      </c>
      <c r="AJ72" s="26" t="s">
        <v>534</v>
      </c>
      <c r="AK72" s="33" t="s">
        <v>70</v>
      </c>
      <c r="AL72" s="33" t="s">
        <v>70</v>
      </c>
      <c r="AM72" s="61" t="s">
        <v>548</v>
      </c>
      <c r="AN72" s="32" t="s">
        <v>274</v>
      </c>
      <c r="AO72" s="35" t="s">
        <v>548</v>
      </c>
      <c r="AP72" s="35" t="s">
        <v>548</v>
      </c>
      <c r="AQ72" s="35" t="s">
        <v>548</v>
      </c>
      <c r="AR72" s="35" t="s">
        <v>548</v>
      </c>
      <c r="AS72" s="26" t="s">
        <v>548</v>
      </c>
      <c r="AT72" s="26" t="s">
        <v>70</v>
      </c>
      <c r="AU72" s="26" t="s">
        <v>70</v>
      </c>
      <c r="AV72" s="26">
        <v>3</v>
      </c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6"/>
      <c r="MT72" s="26"/>
      <c r="MU72" s="26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  <c r="PS72" s="26"/>
      <c r="PT72" s="26"/>
      <c r="PU72" s="26"/>
      <c r="PV72" s="26"/>
      <c r="PW72" s="26"/>
      <c r="PX72" s="26"/>
      <c r="PY72" s="26"/>
      <c r="PZ72" s="26"/>
      <c r="QA72" s="26"/>
      <c r="QB72" s="26"/>
      <c r="QC72" s="26"/>
      <c r="QD72" s="26"/>
      <c r="QE72" s="26"/>
      <c r="QF72" s="26"/>
      <c r="QG72" s="26"/>
      <c r="QH72" s="26"/>
      <c r="QI72" s="26"/>
      <c r="QJ72" s="26"/>
      <c r="QK72" s="26"/>
      <c r="QL72" s="26"/>
      <c r="QM72" s="26"/>
      <c r="QN72" s="26"/>
      <c r="QO72" s="26"/>
      <c r="QP72" s="26"/>
      <c r="QQ72" s="26"/>
      <c r="QR72" s="26"/>
      <c r="QS72" s="26"/>
      <c r="QT72" s="26"/>
      <c r="QU72" s="26"/>
      <c r="QV72" s="26"/>
      <c r="QW72" s="26"/>
      <c r="QX72" s="26"/>
      <c r="QY72" s="26"/>
      <c r="QZ72" s="26"/>
      <c r="RA72" s="26"/>
      <c r="RB72" s="26"/>
      <c r="RC72" s="26"/>
      <c r="RD72" s="26"/>
      <c r="RE72" s="26"/>
      <c r="RF72" s="26"/>
      <c r="RG72" s="26"/>
      <c r="RH72" s="26"/>
      <c r="RI72" s="26"/>
      <c r="RJ72" s="26"/>
      <c r="RK72" s="26"/>
      <c r="RL72" s="26"/>
      <c r="RM72" s="26"/>
      <c r="RN72" s="26"/>
      <c r="RO72" s="26"/>
      <c r="RP72" s="26"/>
      <c r="RQ72" s="26"/>
      <c r="RR72" s="26"/>
      <c r="RS72" s="26"/>
      <c r="RT72" s="26"/>
      <c r="RU72" s="26"/>
      <c r="RV72" s="26"/>
      <c r="RW72" s="26"/>
      <c r="RX72" s="26"/>
      <c r="RY72" s="26"/>
      <c r="RZ72" s="26"/>
      <c r="SA72" s="26"/>
      <c r="SB72" s="26"/>
      <c r="SC72" s="26"/>
      <c r="SD72" s="26"/>
      <c r="SE72" s="26"/>
      <c r="SF72" s="26"/>
      <c r="SG72" s="26"/>
      <c r="SH72" s="26"/>
      <c r="SI72" s="26"/>
      <c r="SJ72" s="26"/>
      <c r="SK72" s="26"/>
      <c r="SL72" s="26"/>
      <c r="SM72" s="26"/>
      <c r="SN72" s="26"/>
      <c r="SO72" s="26"/>
      <c r="SP72" s="26"/>
      <c r="SQ72" s="26"/>
      <c r="SR72" s="26"/>
      <c r="SS72" s="26"/>
      <c r="ST72" s="26"/>
      <c r="SU72" s="26"/>
      <c r="SV72" s="26"/>
      <c r="SW72" s="26"/>
      <c r="SX72" s="26"/>
      <c r="SY72" s="26"/>
      <c r="SZ72" s="26"/>
      <c r="TA72" s="26"/>
      <c r="TB72" s="26"/>
      <c r="TC72" s="26"/>
      <c r="TD72" s="26"/>
      <c r="TE72" s="26"/>
      <c r="TF72" s="26"/>
      <c r="TG72" s="26"/>
      <c r="TH72" s="26"/>
      <c r="TI72" s="26"/>
      <c r="TJ72" s="26"/>
      <c r="TK72" s="26"/>
      <c r="TL72" s="26"/>
      <c r="TM72" s="26"/>
      <c r="TN72" s="26"/>
      <c r="TO72" s="26"/>
      <c r="TP72" s="26"/>
      <c r="TQ72" s="26"/>
      <c r="TR72" s="26"/>
      <c r="TS72" s="26"/>
      <c r="TT72" s="26"/>
      <c r="TU72" s="26"/>
      <c r="TV72" s="26"/>
      <c r="TW72" s="26"/>
      <c r="TX72" s="26"/>
      <c r="TY72" s="26"/>
      <c r="TZ72" s="26"/>
      <c r="UA72" s="26"/>
      <c r="UB72" s="26"/>
      <c r="UC72" s="26"/>
      <c r="UD72" s="26"/>
      <c r="UE72" s="26"/>
      <c r="UF72" s="26"/>
      <c r="UG72" s="26"/>
      <c r="UH72" s="26"/>
      <c r="UI72" s="26"/>
      <c r="UJ72" s="26"/>
      <c r="UK72" s="26"/>
      <c r="UL72" s="26"/>
      <c r="UM72" s="26"/>
      <c r="UN72" s="26"/>
      <c r="UO72" s="26"/>
      <c r="UP72" s="26"/>
      <c r="UQ72" s="26"/>
      <c r="UR72" s="26"/>
      <c r="US72" s="26"/>
      <c r="UT72" s="26"/>
      <c r="UU72" s="26"/>
      <c r="UV72" s="26"/>
      <c r="UW72" s="26"/>
      <c r="UX72" s="26"/>
      <c r="UY72" s="26"/>
      <c r="UZ72" s="26"/>
      <c r="VA72" s="26"/>
      <c r="VB72" s="26"/>
      <c r="VC72" s="26"/>
      <c r="VD72" s="26"/>
      <c r="VE72" s="26"/>
      <c r="VF72" s="26"/>
      <c r="VG72" s="26"/>
      <c r="VH72" s="26"/>
      <c r="VI72" s="26"/>
      <c r="VJ72" s="26"/>
      <c r="VK72" s="26"/>
      <c r="VL72" s="26"/>
      <c r="VM72" s="26"/>
      <c r="VN72" s="26"/>
      <c r="VO72" s="26"/>
      <c r="VP72" s="26"/>
      <c r="VQ72" s="26"/>
      <c r="VR72" s="26"/>
      <c r="VS72" s="26"/>
      <c r="VT72" s="26"/>
      <c r="VU72" s="26"/>
      <c r="VV72" s="26"/>
      <c r="VW72" s="26"/>
      <c r="VX72" s="26"/>
      <c r="VY72" s="26"/>
      <c r="VZ72" s="26"/>
      <c r="WA72" s="26"/>
      <c r="WB72" s="26"/>
      <c r="WC72" s="26"/>
      <c r="WD72" s="26"/>
      <c r="WE72" s="26"/>
      <c r="WF72" s="26"/>
      <c r="WG72" s="26"/>
      <c r="WH72" s="26"/>
      <c r="WI72" s="26"/>
      <c r="WJ72" s="26"/>
      <c r="WK72" s="26"/>
      <c r="WL72" s="26"/>
      <c r="WM72" s="26"/>
      <c r="WN72" s="26"/>
      <c r="WO72" s="26"/>
      <c r="WP72" s="26"/>
      <c r="WQ72" s="26"/>
      <c r="WR72" s="26"/>
      <c r="WS72" s="26"/>
      <c r="WT72" s="26"/>
      <c r="WU72" s="26"/>
      <c r="WV72" s="26"/>
      <c r="WW72" s="26"/>
      <c r="WX72" s="26"/>
      <c r="WY72" s="26"/>
      <c r="WZ72" s="26"/>
      <c r="XA72" s="26"/>
      <c r="XB72" s="26"/>
      <c r="XC72" s="26"/>
      <c r="XD72" s="26"/>
      <c r="XE72" s="26"/>
      <c r="XF72" s="26"/>
      <c r="XG72" s="26"/>
      <c r="XH72" s="26"/>
      <c r="XI72" s="26"/>
      <c r="XJ72" s="26"/>
      <c r="XK72" s="26"/>
      <c r="XL72" s="26"/>
      <c r="XM72" s="26"/>
      <c r="XN72" s="26"/>
      <c r="XO72" s="26"/>
      <c r="XP72" s="26"/>
      <c r="XQ72" s="26"/>
      <c r="XR72" s="26"/>
      <c r="XS72" s="26"/>
      <c r="XT72" s="26"/>
      <c r="XU72" s="26"/>
      <c r="XV72" s="26"/>
      <c r="XW72" s="26"/>
      <c r="XX72" s="26"/>
      <c r="XY72" s="26"/>
      <c r="XZ72" s="26"/>
      <c r="YA72" s="26"/>
      <c r="YB72" s="26"/>
      <c r="YC72" s="26"/>
      <c r="YD72" s="26"/>
      <c r="YE72" s="26"/>
      <c r="YF72" s="26"/>
      <c r="YG72" s="26"/>
      <c r="YH72" s="26"/>
      <c r="YI72" s="26"/>
      <c r="YJ72" s="26"/>
      <c r="YK72" s="26"/>
      <c r="YL72" s="26"/>
      <c r="YM72" s="26"/>
      <c r="YN72" s="26"/>
      <c r="YO72" s="26"/>
      <c r="YP72" s="26"/>
      <c r="YQ72" s="26"/>
      <c r="YR72" s="26"/>
      <c r="YS72" s="26"/>
      <c r="YT72" s="26"/>
      <c r="YU72" s="26"/>
      <c r="YV72" s="26"/>
      <c r="YW72" s="26"/>
      <c r="YX72" s="26"/>
      <c r="YY72" s="26"/>
      <c r="YZ72" s="26"/>
      <c r="ZA72" s="26"/>
      <c r="ZB72" s="26"/>
      <c r="ZC72" s="26"/>
      <c r="ZD72" s="26"/>
      <c r="ZE72" s="26"/>
      <c r="ZF72" s="26"/>
      <c r="ZG72" s="26"/>
      <c r="ZH72" s="26"/>
      <c r="ZI72" s="26"/>
      <c r="ZJ72" s="26"/>
      <c r="ZK72" s="26"/>
      <c r="ZL72" s="26"/>
      <c r="ZM72" s="26"/>
      <c r="ZN72" s="26"/>
      <c r="ZO72" s="26"/>
      <c r="ZP72" s="26"/>
      <c r="ZQ72" s="26"/>
      <c r="ZR72" s="26"/>
      <c r="ZS72" s="26"/>
      <c r="ZT72" s="26"/>
      <c r="ZU72" s="26"/>
      <c r="ZV72" s="26"/>
      <c r="ZW72" s="26"/>
      <c r="ZX72" s="26"/>
      <c r="ZY72" s="26"/>
      <c r="ZZ72" s="26"/>
      <c r="AAA72" s="26"/>
      <c r="AAB72" s="26"/>
      <c r="AAC72" s="26"/>
      <c r="AAD72" s="26"/>
      <c r="AAE72" s="26"/>
      <c r="AAF72" s="26"/>
      <c r="AAG72" s="26"/>
      <c r="AAH72" s="26"/>
      <c r="AAI72" s="26"/>
      <c r="AAJ72" s="26"/>
      <c r="AAK72" s="26"/>
      <c r="AAL72" s="26"/>
      <c r="AAM72" s="26"/>
      <c r="AAN72" s="26"/>
      <c r="AAO72" s="26"/>
      <c r="AAP72" s="26"/>
      <c r="AAQ72" s="26"/>
      <c r="AAR72" s="26"/>
      <c r="AAS72" s="26"/>
      <c r="AAT72" s="26"/>
      <c r="AAU72" s="26"/>
      <c r="AAV72" s="26"/>
      <c r="AAW72" s="26"/>
      <c r="AAX72" s="26"/>
      <c r="AAY72" s="26"/>
      <c r="AAZ72" s="26"/>
      <c r="ABA72" s="26"/>
      <c r="ABB72" s="26"/>
      <c r="ABC72" s="26"/>
      <c r="ABD72" s="26"/>
      <c r="ABE72" s="26"/>
      <c r="ABF72" s="26"/>
      <c r="ABG72" s="26"/>
      <c r="ABH72" s="26"/>
      <c r="ABI72" s="26"/>
      <c r="ABJ72" s="26"/>
      <c r="ABK72" s="26"/>
      <c r="ABL72" s="26"/>
      <c r="ABM72" s="26"/>
      <c r="ABN72" s="26"/>
      <c r="ABO72" s="26"/>
      <c r="ABP72" s="26"/>
      <c r="ABQ72" s="26"/>
      <c r="ABR72" s="26"/>
      <c r="ABS72" s="26"/>
      <c r="ABT72" s="26"/>
      <c r="ABU72" s="26"/>
      <c r="ABV72" s="26"/>
      <c r="ABW72" s="26"/>
      <c r="ABX72" s="26"/>
      <c r="ABY72" s="26"/>
      <c r="ABZ72" s="26"/>
      <c r="ACA72" s="26"/>
      <c r="ACB72" s="26"/>
      <c r="ACC72" s="26"/>
      <c r="ACD72" s="26"/>
      <c r="ACE72" s="26"/>
      <c r="ACF72" s="26"/>
      <c r="ACG72" s="26"/>
      <c r="ACH72" s="26"/>
      <c r="ACI72" s="26"/>
      <c r="ACJ72" s="26"/>
      <c r="ACK72" s="26"/>
      <c r="ACL72" s="26"/>
      <c r="ACM72" s="26"/>
      <c r="ACN72" s="26"/>
      <c r="ACO72" s="26"/>
      <c r="ACP72" s="26"/>
      <c r="ACQ72" s="26"/>
      <c r="ACR72" s="26"/>
      <c r="ACS72" s="26"/>
      <c r="ACT72" s="26"/>
      <c r="ACU72" s="26"/>
      <c r="ACV72" s="26"/>
      <c r="ACW72" s="26"/>
      <c r="ACX72" s="26"/>
      <c r="ACY72" s="26"/>
      <c r="ACZ72" s="26"/>
      <c r="ADA72" s="26"/>
      <c r="ADB72" s="26"/>
      <c r="ADC72" s="26"/>
      <c r="ADD72" s="26"/>
      <c r="ADE72" s="26"/>
      <c r="ADF72" s="26"/>
      <c r="ADG72" s="26"/>
      <c r="ADH72" s="26"/>
      <c r="ADI72" s="26"/>
      <c r="ADJ72" s="26"/>
      <c r="ADK72" s="26"/>
      <c r="ADL72" s="26"/>
      <c r="ADM72" s="26"/>
      <c r="ADN72" s="26"/>
      <c r="ADO72" s="26"/>
      <c r="ADP72" s="26"/>
      <c r="ADQ72" s="26"/>
      <c r="ADR72" s="26"/>
      <c r="ADS72" s="26"/>
      <c r="ADT72" s="26"/>
      <c r="ADU72" s="26"/>
      <c r="ADV72" s="26"/>
      <c r="ADW72" s="26"/>
      <c r="ADX72" s="26"/>
      <c r="ADY72" s="26"/>
      <c r="ADZ72" s="26"/>
      <c r="AEA72" s="26"/>
      <c r="AEB72" s="26"/>
      <c r="AEC72" s="26"/>
      <c r="AED72" s="26"/>
      <c r="AEE72" s="26"/>
      <c r="AEF72" s="26"/>
      <c r="AEG72" s="26"/>
      <c r="AEH72" s="26"/>
      <c r="AEI72" s="26"/>
      <c r="AEJ72" s="26"/>
      <c r="AEK72" s="26"/>
      <c r="AEL72" s="26"/>
      <c r="AEM72" s="26"/>
      <c r="AEN72" s="26"/>
      <c r="AEO72" s="26"/>
      <c r="AEP72" s="26"/>
      <c r="AEQ72" s="26"/>
      <c r="AER72" s="26"/>
      <c r="AES72" s="26"/>
      <c r="AET72" s="26"/>
      <c r="AEU72" s="26"/>
      <c r="AEV72" s="26"/>
      <c r="AEW72" s="26"/>
      <c r="AEX72" s="26"/>
      <c r="AEY72" s="26"/>
      <c r="AEZ72" s="26"/>
      <c r="AFA72" s="26"/>
      <c r="AFB72" s="26"/>
      <c r="AFC72" s="26"/>
      <c r="AFD72" s="26"/>
      <c r="AFE72" s="26"/>
      <c r="AFF72" s="26"/>
      <c r="AFG72" s="26"/>
      <c r="AFH72" s="26"/>
      <c r="AFI72" s="26"/>
      <c r="AFJ72" s="26"/>
      <c r="AFK72" s="26"/>
      <c r="AFL72" s="26"/>
      <c r="AFM72" s="26"/>
      <c r="AFN72" s="26"/>
      <c r="AFO72" s="26"/>
      <c r="AFP72" s="26"/>
      <c r="AFQ72" s="26"/>
      <c r="AFR72" s="26"/>
      <c r="AFS72" s="26"/>
      <c r="AFT72" s="26"/>
      <c r="AFU72" s="26"/>
      <c r="AFV72" s="26"/>
      <c r="AFW72" s="26"/>
      <c r="AFX72" s="26"/>
      <c r="AFY72" s="26"/>
      <c r="AFZ72" s="26"/>
      <c r="AGA72" s="26"/>
      <c r="AGB72" s="26"/>
      <c r="AGC72" s="26"/>
      <c r="AGD72" s="26"/>
      <c r="AGE72" s="26"/>
      <c r="AGF72" s="26"/>
      <c r="AGG72" s="26"/>
      <c r="AGH72" s="26"/>
      <c r="AGI72" s="26"/>
      <c r="AGJ72" s="26"/>
      <c r="AGK72" s="26"/>
      <c r="AGL72" s="26"/>
      <c r="AGM72" s="26"/>
      <c r="AGN72" s="26"/>
      <c r="AGO72" s="26"/>
      <c r="AGP72" s="26"/>
      <c r="AGQ72" s="26"/>
      <c r="AGR72" s="26"/>
      <c r="AGS72" s="26"/>
      <c r="AGT72" s="26"/>
      <c r="AGU72" s="26"/>
      <c r="AGV72" s="26"/>
      <c r="AGW72" s="26"/>
      <c r="AGX72" s="26"/>
      <c r="AGY72" s="26"/>
      <c r="AGZ72" s="26"/>
      <c r="AHA72" s="26"/>
      <c r="AHB72" s="26"/>
      <c r="AHC72" s="26"/>
      <c r="AHD72" s="26"/>
      <c r="AHE72" s="26"/>
      <c r="AHF72" s="26"/>
      <c r="AHG72" s="26"/>
      <c r="AHH72" s="26"/>
      <c r="AHI72" s="26"/>
      <c r="AHJ72" s="26"/>
      <c r="AHK72" s="26"/>
      <c r="AHL72" s="26"/>
      <c r="AHM72" s="26"/>
      <c r="AHN72" s="26"/>
      <c r="AHO72" s="26"/>
      <c r="AHP72" s="26"/>
      <c r="AHQ72" s="26"/>
      <c r="AHR72" s="26"/>
      <c r="AHS72" s="26"/>
      <c r="AHT72" s="26"/>
      <c r="AHU72" s="26"/>
      <c r="AHV72" s="26"/>
      <c r="AHW72" s="26"/>
      <c r="AHX72" s="26"/>
      <c r="AHY72" s="26"/>
      <c r="AHZ72" s="26"/>
      <c r="AIA72" s="26"/>
      <c r="AIB72" s="26"/>
      <c r="AIC72" s="26"/>
      <c r="AID72" s="26"/>
      <c r="AIE72" s="26"/>
      <c r="AIF72" s="26"/>
      <c r="AIG72" s="26"/>
      <c r="AIH72" s="26"/>
      <c r="AII72" s="26"/>
      <c r="AIJ72" s="26"/>
      <c r="AIK72" s="26"/>
      <c r="AIL72" s="26"/>
      <c r="AIM72" s="26"/>
      <c r="AIN72" s="26"/>
      <c r="AIO72" s="26"/>
      <c r="AIP72" s="26"/>
      <c r="AIQ72" s="26"/>
      <c r="AIR72" s="26"/>
      <c r="AIS72" s="26"/>
      <c r="AIT72" s="26"/>
      <c r="AIU72" s="26"/>
      <c r="AIV72" s="26"/>
      <c r="AIW72" s="26"/>
      <c r="AIX72" s="26"/>
      <c r="AIY72" s="26"/>
      <c r="AIZ72" s="26"/>
      <c r="AJA72" s="26"/>
      <c r="AJB72" s="26"/>
      <c r="AJC72" s="26"/>
      <c r="AJD72" s="26"/>
      <c r="AJE72" s="26"/>
      <c r="AJF72" s="26"/>
      <c r="AJG72" s="26"/>
      <c r="AJH72" s="26"/>
      <c r="AJI72" s="26"/>
      <c r="AJJ72" s="26"/>
      <c r="AJK72" s="26"/>
      <c r="AJL72" s="26"/>
      <c r="AJM72" s="26"/>
      <c r="AJN72" s="26"/>
      <c r="AJO72" s="26"/>
      <c r="AJP72" s="26"/>
      <c r="AJQ72" s="26"/>
      <c r="AJR72" s="26"/>
      <c r="AJS72" s="26"/>
      <c r="AJT72" s="26"/>
      <c r="AJU72" s="26"/>
      <c r="AJV72" s="26"/>
      <c r="AJW72" s="26"/>
      <c r="AJX72" s="26"/>
      <c r="AJY72" s="26"/>
      <c r="AJZ72" s="26"/>
      <c r="AKA72" s="26"/>
      <c r="AKB72" s="26"/>
      <c r="AKC72" s="26"/>
      <c r="AKD72" s="26"/>
      <c r="AKE72" s="26"/>
      <c r="AKF72" s="26"/>
      <c r="AKG72" s="26"/>
      <c r="AKH72" s="26"/>
      <c r="AKI72" s="26"/>
      <c r="AKJ72" s="26"/>
      <c r="AKK72" s="26"/>
      <c r="AKL72" s="26"/>
      <c r="AKM72" s="26"/>
      <c r="AKN72" s="26"/>
      <c r="AKO72" s="26"/>
      <c r="AKP72" s="26"/>
      <c r="AKQ72" s="26"/>
      <c r="AKR72" s="26"/>
      <c r="AKS72" s="26"/>
      <c r="AKT72" s="26"/>
      <c r="AKU72" s="26"/>
      <c r="AKV72" s="26"/>
      <c r="AKW72" s="26"/>
      <c r="AKX72" s="26"/>
      <c r="AKY72" s="26"/>
      <c r="AKZ72" s="26"/>
      <c r="ALA72" s="26"/>
      <c r="ALB72" s="26"/>
      <c r="ALC72" s="26"/>
      <c r="ALD72" s="26"/>
      <c r="ALE72" s="26"/>
      <c r="ALF72" s="26"/>
      <c r="ALG72" s="26"/>
      <c r="ALH72" s="26"/>
      <c r="ALI72" s="26"/>
      <c r="ALJ72" s="26"/>
      <c r="ALK72" s="26"/>
      <c r="ALL72" s="26"/>
      <c r="ALM72" s="26"/>
      <c r="ALN72" s="26"/>
      <c r="ALO72" s="26"/>
      <c r="ALP72" s="26"/>
      <c r="ALQ72" s="26"/>
      <c r="ALR72" s="26"/>
      <c r="ALS72" s="26"/>
      <c r="ALT72" s="26"/>
      <c r="ALU72" s="26"/>
      <c r="ALV72" s="26"/>
      <c r="ALW72" s="26"/>
      <c r="ALX72" s="26"/>
      <c r="ALY72" s="26"/>
      <c r="ALZ72" s="26"/>
      <c r="AMA72" s="26"/>
      <c r="AMB72" s="26"/>
      <c r="AMC72" s="26"/>
      <c r="AMD72" s="26"/>
      <c r="AME72" s="26"/>
      <c r="AMF72" s="26"/>
      <c r="AMG72" s="26"/>
      <c r="AMH72" s="26"/>
      <c r="AMI72" s="26"/>
      <c r="AMJ72" s="26"/>
      <c r="AMK72" s="26"/>
      <c r="AML72" s="26"/>
      <c r="AMM72" s="26"/>
      <c r="AMN72" s="26"/>
      <c r="AMO72" s="26"/>
      <c r="AMP72" s="26"/>
      <c r="AMQ72" s="26"/>
      <c r="AMR72" s="26"/>
      <c r="AMS72" s="26"/>
      <c r="AMT72" s="26"/>
      <c r="AMU72" s="26"/>
      <c r="AMV72" s="26"/>
      <c r="AMW72" s="26"/>
      <c r="AMX72" s="26"/>
      <c r="AMY72" s="26"/>
      <c r="AMZ72" s="26"/>
      <c r="ANA72" s="26"/>
      <c r="ANB72" s="26"/>
      <c r="ANC72" s="26"/>
      <c r="AND72" s="26"/>
      <c r="ANE72" s="26"/>
      <c r="ANF72" s="26"/>
      <c r="ANG72" s="26"/>
      <c r="ANH72" s="26"/>
      <c r="ANI72" s="26"/>
      <c r="ANJ72" s="26"/>
      <c r="ANK72" s="26"/>
      <c r="ANL72" s="26"/>
      <c r="ANM72" s="26"/>
      <c r="ANN72" s="26"/>
      <c r="ANO72" s="26"/>
      <c r="ANP72" s="26"/>
      <c r="ANQ72" s="26"/>
      <c r="ANR72" s="26"/>
      <c r="ANS72" s="26"/>
      <c r="ANT72" s="26"/>
      <c r="ANU72" s="26"/>
      <c r="ANV72" s="26"/>
      <c r="ANW72" s="26"/>
      <c r="ANX72" s="26"/>
      <c r="ANY72" s="26"/>
      <c r="ANZ72" s="26"/>
      <c r="AOA72" s="26"/>
      <c r="AOB72" s="26"/>
      <c r="AOC72" s="26"/>
      <c r="AOD72" s="26"/>
      <c r="AOE72" s="26"/>
      <c r="AOF72" s="26"/>
      <c r="AOG72" s="26"/>
      <c r="AOH72" s="26"/>
      <c r="AOI72" s="26"/>
      <c r="AOJ72" s="26"/>
      <c r="AOK72" s="26"/>
      <c r="AOL72" s="26"/>
      <c r="AOM72" s="26"/>
      <c r="AON72" s="26"/>
      <c r="AOO72" s="26"/>
      <c r="AOP72" s="26"/>
      <c r="AOQ72" s="26"/>
      <c r="AOR72" s="26"/>
      <c r="AOS72" s="26"/>
      <c r="AOT72" s="26"/>
      <c r="AOU72" s="26"/>
      <c r="AOV72" s="26"/>
      <c r="AOW72" s="26"/>
      <c r="AOX72" s="26"/>
      <c r="AOY72" s="26"/>
      <c r="AOZ72" s="26"/>
      <c r="APA72" s="26"/>
      <c r="APB72" s="26"/>
      <c r="APC72" s="26"/>
      <c r="APD72" s="26"/>
      <c r="APE72" s="26"/>
      <c r="APF72" s="26"/>
      <c r="APG72" s="26"/>
      <c r="APH72" s="26"/>
      <c r="API72" s="26"/>
      <c r="APJ72" s="26"/>
      <c r="APK72" s="26"/>
      <c r="APL72" s="26"/>
      <c r="APM72" s="26"/>
      <c r="APN72" s="26"/>
      <c r="APO72" s="26"/>
      <c r="APP72" s="26"/>
      <c r="APQ72" s="26"/>
      <c r="APR72" s="26"/>
      <c r="APS72" s="26"/>
      <c r="APT72" s="26"/>
      <c r="APU72" s="26"/>
      <c r="APV72" s="26"/>
      <c r="APW72" s="26"/>
      <c r="APX72" s="26"/>
      <c r="APY72" s="26"/>
      <c r="APZ72" s="26"/>
      <c r="AQA72" s="26"/>
      <c r="AQB72" s="26"/>
      <c r="AQC72" s="26"/>
      <c r="AQD72" s="26"/>
      <c r="AQE72" s="26"/>
      <c r="AQF72" s="26"/>
      <c r="AQG72" s="26"/>
      <c r="AQH72" s="26"/>
      <c r="AQI72" s="26"/>
      <c r="AQJ72" s="26"/>
      <c r="AQK72" s="26"/>
      <c r="AQL72" s="26"/>
      <c r="AQM72" s="26"/>
      <c r="AQN72" s="26"/>
      <c r="AQO72" s="26"/>
      <c r="AQP72" s="26"/>
      <c r="AQQ72" s="26"/>
      <c r="AQR72" s="26"/>
      <c r="AQS72" s="26"/>
      <c r="AQT72" s="26"/>
      <c r="AQU72" s="26"/>
      <c r="AQV72" s="26"/>
      <c r="AQW72" s="26"/>
      <c r="AQX72" s="26"/>
      <c r="AQY72" s="26"/>
      <c r="AQZ72" s="26"/>
      <c r="ARA72" s="26"/>
      <c r="ARB72" s="26"/>
      <c r="ARC72" s="26"/>
      <c r="ARD72" s="26"/>
      <c r="ARE72" s="26"/>
      <c r="ARF72" s="26"/>
      <c r="ARG72" s="26"/>
      <c r="ARH72" s="26"/>
      <c r="ARI72" s="26"/>
      <c r="ARJ72" s="26"/>
      <c r="ARK72" s="26"/>
      <c r="ARL72" s="26"/>
      <c r="ARM72" s="26"/>
      <c r="ARN72" s="26"/>
      <c r="ARO72" s="26"/>
      <c r="ARP72" s="26"/>
      <c r="ARQ72" s="26"/>
      <c r="ARR72" s="26"/>
      <c r="ARS72" s="26"/>
      <c r="ART72" s="26"/>
      <c r="ARU72" s="26"/>
      <c r="ARV72" s="26"/>
      <c r="ARW72" s="26"/>
      <c r="ARX72" s="26"/>
      <c r="ARY72" s="26"/>
      <c r="ARZ72" s="26"/>
      <c r="ASA72" s="26"/>
      <c r="ASB72" s="26"/>
      <c r="ASC72" s="26"/>
      <c r="ASD72" s="26"/>
      <c r="ASE72" s="26"/>
      <c r="ASF72" s="26"/>
      <c r="ASG72" s="26"/>
      <c r="ASH72" s="26"/>
      <c r="ASI72" s="26"/>
      <c r="ASJ72" s="26"/>
      <c r="ASK72" s="26"/>
      <c r="ASL72" s="26"/>
      <c r="ASM72" s="26"/>
      <c r="ASN72" s="26"/>
      <c r="ASO72" s="26"/>
      <c r="ASP72" s="26"/>
      <c r="ASQ72" s="26"/>
      <c r="ASR72" s="26"/>
      <c r="ASS72" s="26"/>
      <c r="AST72" s="26"/>
      <c r="ASU72" s="26"/>
      <c r="ASV72" s="26"/>
      <c r="ASW72" s="26"/>
      <c r="ASX72" s="26"/>
      <c r="ASY72" s="26"/>
      <c r="ASZ72" s="26"/>
      <c r="ATA72" s="26"/>
      <c r="ATB72" s="26"/>
      <c r="ATC72" s="26"/>
      <c r="ATD72" s="26"/>
      <c r="ATE72" s="26"/>
      <c r="ATF72" s="26"/>
      <c r="ATG72" s="26"/>
      <c r="ATH72" s="26"/>
      <c r="ATI72" s="26"/>
      <c r="ATJ72" s="26"/>
      <c r="ATK72" s="26"/>
      <c r="ATL72" s="26"/>
      <c r="ATM72" s="26"/>
      <c r="ATN72" s="26"/>
      <c r="ATO72" s="26"/>
      <c r="ATP72" s="26"/>
      <c r="ATQ72" s="26"/>
      <c r="ATR72" s="26"/>
      <c r="ATS72" s="26"/>
      <c r="ATT72" s="26"/>
      <c r="ATU72" s="26"/>
      <c r="ATV72" s="26"/>
      <c r="ATW72" s="26"/>
      <c r="ATX72" s="26"/>
      <c r="ATY72" s="26"/>
      <c r="ATZ72" s="26"/>
      <c r="AUA72" s="26"/>
      <c r="AUB72" s="26"/>
      <c r="AUC72" s="26"/>
      <c r="AUD72" s="26"/>
      <c r="AUE72" s="26"/>
      <c r="AUF72" s="26"/>
      <c r="AUG72" s="26"/>
      <c r="AUH72" s="26"/>
      <c r="AUI72" s="26"/>
      <c r="AUJ72" s="26"/>
      <c r="AUK72" s="26"/>
      <c r="AUL72" s="26"/>
      <c r="AUM72" s="26"/>
      <c r="AUN72" s="26"/>
      <c r="AUO72" s="26"/>
      <c r="AUP72" s="26"/>
      <c r="AUQ72" s="26"/>
      <c r="AUR72" s="26"/>
      <c r="AUS72" s="26"/>
      <c r="AUT72" s="26"/>
      <c r="AUU72" s="26"/>
      <c r="AUV72" s="26"/>
      <c r="AUW72" s="26"/>
      <c r="AUX72" s="26"/>
      <c r="AUY72" s="26"/>
      <c r="AUZ72" s="26"/>
      <c r="AVA72" s="26"/>
      <c r="AVB72" s="26"/>
      <c r="AVC72" s="26"/>
      <c r="AVD72" s="26"/>
      <c r="AVE72" s="26"/>
      <c r="AVF72" s="26"/>
      <c r="AVG72" s="26"/>
      <c r="AVH72" s="26"/>
      <c r="AVI72" s="26"/>
      <c r="AVJ72" s="26"/>
      <c r="AVK72" s="26"/>
      <c r="AVL72" s="26"/>
      <c r="AVM72" s="26"/>
      <c r="AVN72" s="26"/>
      <c r="AVO72" s="26"/>
      <c r="AVP72" s="26"/>
      <c r="AVQ72" s="26"/>
      <c r="AVR72" s="26"/>
      <c r="AVS72" s="26"/>
      <c r="AVT72" s="26"/>
      <c r="AVU72" s="26"/>
      <c r="AVV72" s="26"/>
      <c r="AVW72" s="26"/>
      <c r="AVX72" s="26"/>
      <c r="AVY72" s="26"/>
      <c r="AVZ72" s="26"/>
      <c r="AWA72" s="26"/>
      <c r="AWB72" s="26"/>
      <c r="AWC72" s="26"/>
      <c r="AWD72" s="26"/>
      <c r="AWE72" s="26"/>
      <c r="AWF72" s="26"/>
      <c r="AWG72" s="26"/>
      <c r="AWH72" s="26"/>
      <c r="AWI72" s="26"/>
      <c r="AWJ72" s="26"/>
      <c r="AWK72" s="26"/>
      <c r="AWL72" s="26"/>
      <c r="AWM72" s="26"/>
      <c r="AWN72" s="26"/>
      <c r="AWO72" s="26"/>
      <c r="AWP72" s="26"/>
      <c r="AWQ72" s="26"/>
      <c r="AWR72" s="26"/>
      <c r="AWS72" s="26"/>
      <c r="AWT72" s="26"/>
      <c r="AWU72" s="26"/>
      <c r="AWV72" s="26"/>
      <c r="AWW72" s="26"/>
      <c r="AWX72" s="26"/>
      <c r="AWY72" s="26"/>
      <c r="AWZ72" s="26"/>
      <c r="AXA72" s="26"/>
      <c r="AXB72" s="26"/>
      <c r="AXC72" s="26"/>
      <c r="AXD72" s="26"/>
      <c r="AXE72" s="26"/>
      <c r="AXF72" s="26"/>
      <c r="AXG72" s="26"/>
      <c r="AXH72" s="26"/>
      <c r="AXI72" s="26"/>
      <c r="AXJ72" s="26"/>
      <c r="AXK72" s="26"/>
      <c r="AXL72" s="26"/>
      <c r="AXM72" s="26"/>
      <c r="AXN72" s="26"/>
      <c r="AXO72" s="26"/>
      <c r="AXP72" s="26"/>
      <c r="AXQ72" s="26"/>
      <c r="AXR72" s="26"/>
      <c r="AXS72" s="26"/>
      <c r="AXT72" s="26"/>
      <c r="AXU72" s="26"/>
      <c r="AXV72" s="26"/>
      <c r="AXW72" s="26"/>
      <c r="AXX72" s="26"/>
      <c r="AXY72" s="26"/>
      <c r="AXZ72" s="26"/>
      <c r="AYA72" s="26"/>
      <c r="AYB72" s="26"/>
      <c r="AYC72" s="26"/>
      <c r="AYD72" s="26"/>
      <c r="AYE72" s="26"/>
      <c r="AYF72" s="26"/>
      <c r="AYG72" s="26"/>
      <c r="AYH72" s="26"/>
      <c r="AYI72" s="26"/>
      <c r="AYJ72" s="26"/>
      <c r="AYK72" s="26"/>
      <c r="AYL72" s="26"/>
      <c r="AYM72" s="26"/>
      <c r="AYN72" s="26"/>
      <c r="AYO72" s="26"/>
      <c r="AYP72" s="26"/>
      <c r="AYQ72" s="26"/>
      <c r="AYR72" s="26"/>
      <c r="AYS72" s="26"/>
      <c r="AYT72" s="26"/>
      <c r="AYU72" s="26"/>
      <c r="AYV72" s="26"/>
      <c r="AYW72" s="26"/>
      <c r="AYX72" s="26"/>
      <c r="AYY72" s="26"/>
      <c r="AYZ72" s="26"/>
      <c r="AZA72" s="26"/>
      <c r="AZB72" s="26"/>
      <c r="AZC72" s="26"/>
      <c r="AZD72" s="26"/>
      <c r="AZE72" s="26"/>
      <c r="AZF72" s="26"/>
      <c r="AZG72" s="26"/>
      <c r="AZH72" s="26"/>
      <c r="AZI72" s="26"/>
      <c r="AZJ72" s="26"/>
      <c r="AZK72" s="26"/>
      <c r="AZL72" s="26"/>
      <c r="AZM72" s="26"/>
      <c r="AZN72" s="26"/>
      <c r="AZO72" s="26"/>
      <c r="AZP72" s="26"/>
      <c r="AZQ72" s="26"/>
      <c r="AZR72" s="26"/>
      <c r="AZS72" s="26"/>
      <c r="AZT72" s="26"/>
      <c r="AZU72" s="26"/>
      <c r="AZV72" s="26"/>
      <c r="AZW72" s="26"/>
      <c r="AZX72" s="26"/>
      <c r="AZY72" s="26"/>
      <c r="AZZ72" s="26"/>
      <c r="BAA72" s="26"/>
      <c r="BAB72" s="26"/>
      <c r="BAC72" s="26"/>
      <c r="BAD72" s="26"/>
      <c r="BAE72" s="26"/>
      <c r="BAF72" s="26"/>
      <c r="BAG72" s="26"/>
      <c r="BAH72" s="26"/>
      <c r="BAI72" s="26"/>
      <c r="BAJ72" s="26"/>
      <c r="BAK72" s="26"/>
      <c r="BAL72" s="26"/>
      <c r="BAM72" s="26"/>
      <c r="BAN72" s="26"/>
      <c r="BAO72" s="26"/>
      <c r="BAP72" s="26"/>
      <c r="BAQ72" s="26"/>
      <c r="BAR72" s="26"/>
      <c r="BAS72" s="26"/>
      <c r="BAT72" s="26"/>
      <c r="BAU72" s="26"/>
      <c r="BAV72" s="26"/>
      <c r="BAW72" s="26"/>
      <c r="BAX72" s="26"/>
      <c r="BAY72" s="26"/>
      <c r="BAZ72" s="26"/>
      <c r="BBA72" s="26"/>
      <c r="BBB72" s="26"/>
      <c r="BBC72" s="26"/>
      <c r="BBD72" s="26"/>
      <c r="BBE72" s="26"/>
      <c r="BBF72" s="26"/>
      <c r="BBG72" s="26"/>
      <c r="BBH72" s="26"/>
      <c r="BBI72" s="26"/>
      <c r="BBJ72" s="26"/>
      <c r="BBK72" s="26"/>
      <c r="BBL72" s="26"/>
      <c r="BBM72" s="26"/>
      <c r="BBN72" s="26"/>
      <c r="BBO72" s="26"/>
      <c r="BBP72" s="26"/>
      <c r="BBQ72" s="26"/>
      <c r="BBR72" s="26"/>
      <c r="BBS72" s="26"/>
      <c r="BBT72" s="26"/>
      <c r="BBU72" s="26"/>
      <c r="BBV72" s="26"/>
      <c r="BBW72" s="26"/>
      <c r="BBX72" s="26"/>
      <c r="BBY72" s="26"/>
      <c r="BBZ72" s="26"/>
      <c r="BCA72" s="26"/>
      <c r="BCB72" s="26"/>
      <c r="BCC72" s="26"/>
      <c r="BCD72" s="26"/>
      <c r="BCE72" s="26"/>
      <c r="BCF72" s="26"/>
      <c r="BCG72" s="26"/>
      <c r="BCH72" s="26"/>
      <c r="BCI72" s="26"/>
      <c r="BCJ72" s="26"/>
      <c r="BCK72" s="26"/>
      <c r="BCL72" s="26"/>
      <c r="BCM72" s="26"/>
      <c r="BCN72" s="26"/>
      <c r="BCO72" s="26"/>
      <c r="BCP72" s="26"/>
      <c r="BCQ72" s="26"/>
      <c r="BCR72" s="26"/>
      <c r="BCS72" s="26"/>
      <c r="BCT72" s="26"/>
      <c r="BCU72" s="26"/>
      <c r="BCV72" s="26"/>
      <c r="BCW72" s="26"/>
      <c r="BCX72" s="26"/>
      <c r="BCY72" s="26"/>
      <c r="BCZ72" s="26"/>
      <c r="BDA72" s="26"/>
      <c r="BDB72" s="26"/>
      <c r="BDC72" s="26"/>
      <c r="BDD72" s="26"/>
      <c r="BDE72" s="26"/>
      <c r="BDF72" s="26"/>
      <c r="BDG72" s="26"/>
      <c r="BDH72" s="26"/>
      <c r="BDI72" s="26"/>
      <c r="BDJ72" s="26"/>
      <c r="BDK72" s="26"/>
      <c r="BDL72" s="26"/>
      <c r="BDM72" s="26"/>
      <c r="BDN72" s="26"/>
      <c r="BDO72" s="26"/>
      <c r="BDP72" s="26"/>
      <c r="BDQ72" s="26"/>
      <c r="BDR72" s="26"/>
      <c r="BDS72" s="26"/>
      <c r="BDT72" s="26"/>
      <c r="BDU72" s="26"/>
      <c r="BDV72" s="26"/>
      <c r="BDW72" s="26"/>
      <c r="BDX72" s="26"/>
      <c r="BDY72" s="26"/>
      <c r="BDZ72" s="26"/>
      <c r="BEA72" s="26"/>
      <c r="BEB72" s="26"/>
      <c r="BEC72" s="26"/>
      <c r="BED72" s="26"/>
      <c r="BEE72" s="26"/>
      <c r="BEF72" s="26"/>
      <c r="BEG72" s="26"/>
      <c r="BEH72" s="26"/>
      <c r="BEI72" s="26"/>
      <c r="BEJ72" s="26"/>
      <c r="BEK72" s="26"/>
      <c r="BEL72" s="26"/>
      <c r="BEM72" s="26"/>
      <c r="BEN72" s="26"/>
      <c r="BEO72" s="26"/>
      <c r="BEP72" s="26"/>
      <c r="BEQ72" s="26"/>
      <c r="BER72" s="26"/>
      <c r="BES72" s="26"/>
      <c r="BET72" s="26"/>
      <c r="BEU72" s="26"/>
      <c r="BEV72" s="26"/>
      <c r="BEW72" s="26"/>
      <c r="BEX72" s="26"/>
      <c r="BEY72" s="26"/>
      <c r="BEZ72" s="26"/>
      <c r="BFA72" s="26"/>
      <c r="BFB72" s="26"/>
      <c r="BFC72" s="26"/>
      <c r="BFD72" s="26"/>
      <c r="BFE72" s="26"/>
      <c r="BFF72" s="26"/>
      <c r="BFG72" s="26"/>
      <c r="BFH72" s="26"/>
      <c r="BFI72" s="26"/>
      <c r="BFJ72" s="26"/>
      <c r="BFK72" s="26"/>
      <c r="BFL72" s="26"/>
      <c r="BFM72" s="26"/>
      <c r="BFN72" s="26"/>
      <c r="BFO72" s="26"/>
      <c r="BFP72" s="26"/>
      <c r="BFQ72" s="26"/>
      <c r="BFR72" s="26"/>
      <c r="BFS72" s="26"/>
      <c r="BFT72" s="26"/>
      <c r="BFU72" s="26"/>
      <c r="BFV72" s="26"/>
      <c r="BFW72" s="26"/>
      <c r="BFX72" s="26"/>
      <c r="BFY72" s="26"/>
      <c r="BFZ72" s="26"/>
      <c r="BGA72" s="26"/>
      <c r="BGB72" s="26"/>
      <c r="BGC72" s="26"/>
      <c r="BGD72" s="26"/>
      <c r="BGE72" s="26"/>
      <c r="BGF72" s="26"/>
      <c r="BGG72" s="26"/>
      <c r="BGH72" s="26"/>
      <c r="BGI72" s="26"/>
      <c r="BGJ72" s="26"/>
      <c r="BGK72" s="26"/>
      <c r="BGL72" s="26"/>
      <c r="BGM72" s="26"/>
      <c r="BGN72" s="26"/>
      <c r="BGO72" s="26"/>
      <c r="BGP72" s="26"/>
      <c r="BGQ72" s="26"/>
      <c r="BGR72" s="26"/>
      <c r="BGS72" s="26"/>
      <c r="BGT72" s="26"/>
      <c r="BGU72" s="26"/>
      <c r="BGV72" s="26"/>
      <c r="BGW72" s="26"/>
      <c r="BGX72" s="26"/>
      <c r="BGY72" s="26"/>
      <c r="BGZ72" s="26"/>
      <c r="BHA72" s="26"/>
      <c r="BHB72" s="26"/>
      <c r="BHC72" s="26"/>
      <c r="BHD72" s="26"/>
      <c r="BHE72" s="26"/>
      <c r="BHF72" s="26"/>
      <c r="BHG72" s="26"/>
      <c r="BHH72" s="26"/>
      <c r="BHI72" s="26"/>
      <c r="BHJ72" s="26"/>
      <c r="BHK72" s="26"/>
      <c r="BHL72" s="26"/>
      <c r="BHM72" s="26"/>
      <c r="BHN72" s="26"/>
      <c r="BHO72" s="26"/>
      <c r="BHP72" s="26"/>
      <c r="BHQ72" s="26"/>
      <c r="BHR72" s="26"/>
      <c r="BHS72" s="26"/>
      <c r="BHT72" s="26"/>
      <c r="BHU72" s="26"/>
      <c r="BHV72" s="26"/>
      <c r="BHW72" s="26"/>
      <c r="BHX72" s="26"/>
      <c r="BHY72" s="26"/>
      <c r="BHZ72" s="26"/>
      <c r="BIA72" s="26"/>
      <c r="BIB72" s="26"/>
      <c r="BIC72" s="26"/>
      <c r="BID72" s="26"/>
      <c r="BIE72" s="26"/>
      <c r="BIF72" s="26"/>
      <c r="BIG72" s="26"/>
      <c r="BIH72" s="26"/>
      <c r="BII72" s="26"/>
      <c r="BIJ72" s="26"/>
      <c r="BIK72" s="26"/>
      <c r="BIL72" s="26"/>
      <c r="BIM72" s="26"/>
      <c r="BIN72" s="26"/>
      <c r="BIO72" s="26"/>
      <c r="BIP72" s="26"/>
      <c r="BIQ72" s="26"/>
      <c r="BIR72" s="26"/>
      <c r="BIS72" s="26"/>
      <c r="BIT72" s="26"/>
      <c r="BIU72" s="26"/>
      <c r="BIV72" s="26"/>
      <c r="BIW72" s="26"/>
      <c r="BIX72" s="26"/>
      <c r="BIY72" s="26"/>
      <c r="BIZ72" s="26"/>
      <c r="BJA72" s="26"/>
      <c r="BJB72" s="26"/>
      <c r="BJC72" s="26"/>
      <c r="BJD72" s="26"/>
      <c r="BJE72" s="26"/>
      <c r="BJF72" s="26"/>
      <c r="BJG72" s="26"/>
      <c r="BJH72" s="26"/>
      <c r="BJI72" s="26"/>
      <c r="BJJ72" s="26"/>
      <c r="BJK72" s="26"/>
      <c r="BJL72" s="26"/>
      <c r="BJM72" s="26"/>
      <c r="BJN72" s="26"/>
      <c r="BJO72" s="26"/>
      <c r="BJP72" s="26"/>
      <c r="BJQ72" s="26"/>
      <c r="BJR72" s="26"/>
      <c r="BJS72" s="26"/>
      <c r="BJT72" s="26"/>
      <c r="BJU72" s="26"/>
      <c r="BJV72" s="26"/>
      <c r="BJW72" s="26"/>
      <c r="BJX72" s="26"/>
      <c r="BJY72" s="26"/>
      <c r="BJZ72" s="26"/>
      <c r="BKA72" s="26"/>
      <c r="BKB72" s="26"/>
      <c r="BKC72" s="26"/>
      <c r="BKD72" s="26"/>
      <c r="BKE72" s="26"/>
      <c r="BKF72" s="26"/>
      <c r="BKG72" s="26"/>
      <c r="BKH72" s="26"/>
      <c r="BKI72" s="26"/>
      <c r="BKJ72" s="26"/>
      <c r="BKK72" s="26"/>
      <c r="BKL72" s="26"/>
      <c r="BKM72" s="26"/>
      <c r="BKN72" s="26"/>
      <c r="BKO72" s="26"/>
      <c r="BKP72" s="26"/>
      <c r="BKQ72" s="26"/>
      <c r="BKR72" s="26"/>
      <c r="BKS72" s="26"/>
      <c r="BKT72" s="26"/>
      <c r="BKU72" s="26"/>
      <c r="BKV72" s="26"/>
      <c r="BKW72" s="26"/>
      <c r="BKX72" s="26"/>
      <c r="BKY72" s="26"/>
      <c r="BKZ72" s="26"/>
      <c r="BLA72" s="26"/>
      <c r="BLB72" s="26"/>
      <c r="BLC72" s="26"/>
      <c r="BLD72" s="26"/>
      <c r="BLE72" s="26"/>
      <c r="BLF72" s="26"/>
      <c r="BLG72" s="26"/>
      <c r="BLH72" s="26"/>
      <c r="BLI72" s="26"/>
      <c r="BLJ72" s="26"/>
      <c r="BLK72" s="26"/>
      <c r="BLL72" s="26"/>
      <c r="BLM72" s="26"/>
      <c r="BLN72" s="26"/>
      <c r="BLO72" s="26"/>
      <c r="BLP72" s="26"/>
      <c r="BLQ72" s="26"/>
      <c r="BLR72" s="26"/>
      <c r="BLS72" s="26"/>
      <c r="BLT72" s="26"/>
      <c r="BLU72" s="26"/>
      <c r="BLV72" s="26"/>
      <c r="BLW72" s="26"/>
      <c r="BLX72" s="26"/>
      <c r="BLY72" s="26"/>
      <c r="BLZ72" s="26"/>
      <c r="BMA72" s="26"/>
      <c r="BMB72" s="26"/>
      <c r="BMC72" s="26"/>
      <c r="BMD72" s="26"/>
      <c r="BME72" s="26"/>
      <c r="BMF72" s="26"/>
      <c r="BMG72" s="26"/>
      <c r="BMH72" s="26"/>
      <c r="BMI72" s="26"/>
      <c r="BMJ72" s="26"/>
      <c r="BMK72" s="26"/>
      <c r="BML72" s="26"/>
      <c r="BMM72" s="26"/>
      <c r="BMN72" s="26"/>
      <c r="BMO72" s="26"/>
      <c r="BMP72" s="26"/>
      <c r="BMQ72" s="26"/>
      <c r="BMR72" s="26"/>
      <c r="BMS72" s="26"/>
      <c r="BMT72" s="26"/>
      <c r="BMU72" s="26"/>
      <c r="BMV72" s="26"/>
      <c r="BMW72" s="26"/>
      <c r="BMX72" s="26"/>
      <c r="BMY72" s="26"/>
      <c r="BMZ72" s="26"/>
      <c r="BNA72" s="26"/>
      <c r="BNB72" s="26"/>
      <c r="BNC72" s="26"/>
      <c r="BND72" s="26"/>
      <c r="BNE72" s="26"/>
      <c r="BNF72" s="26"/>
      <c r="BNG72" s="26"/>
      <c r="BNH72" s="26"/>
      <c r="BNI72" s="26"/>
      <c r="BNJ72" s="26"/>
      <c r="BNK72" s="26"/>
      <c r="BNL72" s="26"/>
      <c r="BNM72" s="26"/>
      <c r="BNN72" s="26"/>
      <c r="BNO72" s="26"/>
      <c r="BNP72" s="26"/>
      <c r="BNQ72" s="26"/>
      <c r="BNR72" s="26"/>
      <c r="BNS72" s="26"/>
      <c r="BNT72" s="26"/>
      <c r="BNU72" s="26"/>
      <c r="BNV72" s="26"/>
      <c r="BNW72" s="26"/>
      <c r="BNX72" s="26"/>
      <c r="BNY72" s="26"/>
      <c r="BNZ72" s="26"/>
      <c r="BOA72" s="26"/>
      <c r="BOB72" s="26"/>
      <c r="BOC72" s="26"/>
      <c r="BOD72" s="26"/>
      <c r="BOE72" s="26"/>
      <c r="BOF72" s="26"/>
      <c r="BOG72" s="26"/>
      <c r="BOH72" s="26"/>
      <c r="BOI72" s="26"/>
      <c r="BOJ72" s="26"/>
      <c r="BOK72" s="26"/>
      <c r="BOL72" s="26"/>
      <c r="BOM72" s="26"/>
      <c r="BON72" s="26"/>
      <c r="BOO72" s="26"/>
      <c r="BOP72" s="26"/>
      <c r="BOQ72" s="26"/>
      <c r="BOR72" s="26"/>
      <c r="BOS72" s="26"/>
      <c r="BOT72" s="26"/>
      <c r="BOU72" s="26"/>
      <c r="BOV72" s="26"/>
      <c r="BOW72" s="26"/>
      <c r="BOX72" s="26"/>
      <c r="BOY72" s="26"/>
      <c r="BOZ72" s="26"/>
      <c r="BPA72" s="26"/>
      <c r="BPB72" s="26"/>
      <c r="BPC72" s="26"/>
      <c r="BPD72" s="26"/>
      <c r="BPE72" s="26"/>
      <c r="BPF72" s="26"/>
      <c r="BPG72" s="26"/>
      <c r="BPH72" s="26"/>
      <c r="BPI72" s="26"/>
      <c r="BPJ72" s="26"/>
      <c r="BPK72" s="26"/>
      <c r="BPL72" s="26"/>
      <c r="BPM72" s="26"/>
      <c r="BPN72" s="26"/>
      <c r="BPO72" s="26"/>
      <c r="BPP72" s="26"/>
      <c r="BPQ72" s="26"/>
      <c r="BPR72" s="26"/>
      <c r="BPS72" s="26"/>
      <c r="BPT72" s="26"/>
      <c r="BPU72" s="26"/>
      <c r="BPV72" s="26"/>
      <c r="BPW72" s="26"/>
      <c r="BPX72" s="26"/>
      <c r="BPY72" s="26"/>
      <c r="BPZ72" s="26"/>
      <c r="BQA72" s="26"/>
      <c r="BQB72" s="26"/>
      <c r="BQC72" s="26"/>
      <c r="BQD72" s="26"/>
      <c r="BQE72" s="26"/>
      <c r="BQF72" s="26"/>
      <c r="BQG72" s="26"/>
      <c r="BQH72" s="26"/>
      <c r="BQI72" s="26"/>
      <c r="BQJ72" s="26"/>
      <c r="BQK72" s="26"/>
      <c r="BQL72" s="26"/>
      <c r="BQM72" s="26"/>
      <c r="BQN72" s="26"/>
      <c r="BQO72" s="26"/>
      <c r="BQP72" s="26"/>
      <c r="BQQ72" s="26"/>
      <c r="BQR72" s="26"/>
      <c r="BQS72" s="26"/>
      <c r="BQT72" s="26"/>
      <c r="BQU72" s="26"/>
      <c r="BQV72" s="26"/>
      <c r="BQW72" s="26"/>
      <c r="BQX72" s="26"/>
      <c r="BQY72" s="26"/>
      <c r="BQZ72" s="26"/>
      <c r="BRA72" s="26"/>
      <c r="BRB72" s="26"/>
      <c r="BRC72" s="26"/>
      <c r="BRD72" s="26"/>
      <c r="BRE72" s="26"/>
      <c r="BRF72" s="26"/>
      <c r="BRG72" s="26"/>
      <c r="BRH72" s="26"/>
      <c r="BRI72" s="26"/>
      <c r="BRJ72" s="26"/>
      <c r="BRK72" s="26"/>
      <c r="BRL72" s="26"/>
      <c r="BRM72" s="26"/>
      <c r="BRN72" s="26"/>
      <c r="BRO72" s="26"/>
      <c r="BRP72" s="26"/>
      <c r="BRQ72" s="26"/>
      <c r="BRR72" s="26"/>
      <c r="BRS72" s="26"/>
      <c r="BRT72" s="26"/>
      <c r="BRU72" s="26"/>
      <c r="BRV72" s="26"/>
      <c r="BRW72" s="26"/>
      <c r="BRX72" s="26"/>
      <c r="BRY72" s="26"/>
      <c r="BRZ72" s="26"/>
      <c r="BSA72" s="26"/>
      <c r="BSB72" s="26"/>
      <c r="BSC72" s="26"/>
      <c r="BSD72" s="26"/>
      <c r="BSE72" s="26"/>
      <c r="BSF72" s="26"/>
      <c r="BSG72" s="26"/>
      <c r="BSH72" s="26"/>
      <c r="BSI72" s="26"/>
      <c r="BSJ72" s="26"/>
      <c r="BSK72" s="26"/>
      <c r="BSL72" s="26"/>
      <c r="BSM72" s="26"/>
      <c r="BSN72" s="26"/>
      <c r="BSO72" s="26"/>
      <c r="BSP72" s="26"/>
      <c r="BSQ72" s="26"/>
      <c r="BSR72" s="26"/>
      <c r="BSS72" s="26"/>
      <c r="BST72" s="26"/>
      <c r="BSU72" s="26"/>
      <c r="BSV72" s="26"/>
      <c r="BSW72" s="26"/>
      <c r="BSX72" s="26"/>
      <c r="BSY72" s="26"/>
      <c r="BSZ72" s="26"/>
      <c r="BTA72" s="26"/>
      <c r="BTB72" s="26"/>
      <c r="BTC72" s="26"/>
      <c r="BTD72" s="26"/>
      <c r="BTE72" s="26"/>
      <c r="BTF72" s="26"/>
      <c r="BTG72" s="26"/>
      <c r="BTH72" s="26"/>
      <c r="BTI72" s="26"/>
      <c r="BTJ72" s="26"/>
      <c r="BTK72" s="26"/>
      <c r="BTL72" s="26"/>
      <c r="BTM72" s="26"/>
      <c r="BTN72" s="26"/>
      <c r="BTO72" s="26"/>
      <c r="BTP72" s="26"/>
      <c r="BTQ72" s="26"/>
      <c r="BTR72" s="26"/>
      <c r="BTS72" s="26"/>
      <c r="BTT72" s="26"/>
      <c r="BTU72" s="26"/>
      <c r="BTV72" s="26"/>
      <c r="BTW72" s="26"/>
      <c r="BTX72" s="26"/>
      <c r="BTY72" s="26"/>
      <c r="BTZ72" s="26"/>
      <c r="BUA72" s="26"/>
      <c r="BUB72" s="26"/>
      <c r="BUC72" s="26"/>
      <c r="BUD72" s="26"/>
      <c r="BUE72" s="26"/>
      <c r="BUF72" s="26"/>
      <c r="BUG72" s="26"/>
      <c r="BUH72" s="26"/>
      <c r="BUI72" s="26"/>
      <c r="BUJ72" s="26"/>
      <c r="BUK72" s="26"/>
      <c r="BUL72" s="26"/>
      <c r="BUM72" s="26"/>
      <c r="BUN72" s="26"/>
      <c r="BUO72" s="26"/>
      <c r="BUP72" s="26"/>
      <c r="BUQ72" s="26"/>
      <c r="BUR72" s="26"/>
      <c r="BUS72" s="26"/>
      <c r="BUT72" s="26"/>
      <c r="BUU72" s="26"/>
      <c r="BUV72" s="26"/>
      <c r="BUW72" s="26"/>
      <c r="BUX72" s="26"/>
      <c r="BUY72" s="26"/>
      <c r="BUZ72" s="26"/>
      <c r="BVA72" s="26"/>
      <c r="BVB72" s="26"/>
      <c r="BVC72" s="26"/>
      <c r="BVD72" s="26"/>
      <c r="BVE72" s="26"/>
      <c r="BVF72" s="26"/>
      <c r="BVG72" s="26"/>
      <c r="BVH72" s="26"/>
      <c r="BVI72" s="26"/>
      <c r="BVJ72" s="26"/>
      <c r="BVK72" s="26"/>
      <c r="BVL72" s="26"/>
      <c r="BVM72" s="26"/>
      <c r="BVN72" s="26"/>
      <c r="BVO72" s="26"/>
      <c r="BVP72" s="26"/>
      <c r="BVQ72" s="26"/>
      <c r="BVR72" s="26"/>
      <c r="BVS72" s="26"/>
      <c r="BVT72" s="26"/>
      <c r="BVU72" s="26"/>
      <c r="BVV72" s="26"/>
      <c r="BVW72" s="26"/>
      <c r="BVX72" s="26"/>
      <c r="BVY72" s="26"/>
      <c r="BVZ72" s="26"/>
      <c r="BWA72" s="26"/>
      <c r="BWB72" s="26"/>
      <c r="BWC72" s="26"/>
      <c r="BWD72" s="26"/>
      <c r="BWE72" s="26"/>
      <c r="BWF72" s="26"/>
      <c r="BWG72" s="26"/>
      <c r="BWH72" s="26"/>
      <c r="BWI72" s="26"/>
      <c r="BWJ72" s="26"/>
      <c r="BWK72" s="26"/>
      <c r="BWL72" s="26"/>
      <c r="BWM72" s="26"/>
      <c r="BWN72" s="26"/>
      <c r="BWO72" s="26"/>
      <c r="BWP72" s="26"/>
      <c r="BWQ72" s="26"/>
      <c r="BWR72" s="26"/>
      <c r="BWS72" s="26"/>
      <c r="BWT72" s="26"/>
      <c r="BWU72" s="26"/>
      <c r="BWV72" s="26"/>
      <c r="BWW72" s="26"/>
      <c r="BWX72" s="26"/>
      <c r="BWY72" s="26"/>
      <c r="BWZ72" s="26"/>
      <c r="BXA72" s="26"/>
      <c r="BXB72" s="26"/>
      <c r="BXC72" s="26"/>
      <c r="BXD72" s="26"/>
      <c r="BXE72" s="26"/>
      <c r="BXF72" s="26"/>
      <c r="BXG72" s="26"/>
      <c r="BXH72" s="26"/>
      <c r="BXI72" s="26"/>
      <c r="BXJ72" s="26"/>
      <c r="BXK72" s="26"/>
      <c r="BXL72" s="26"/>
      <c r="BXM72" s="26"/>
      <c r="BXN72" s="26"/>
      <c r="BXO72" s="26"/>
      <c r="BXP72" s="26"/>
      <c r="BXQ72" s="26"/>
      <c r="BXR72" s="26"/>
      <c r="BXS72" s="26"/>
      <c r="BXT72" s="26"/>
      <c r="BXU72" s="26"/>
      <c r="BXV72" s="26"/>
      <c r="BXW72" s="26"/>
      <c r="BXX72" s="26"/>
      <c r="BXY72" s="26"/>
      <c r="BXZ72" s="26"/>
      <c r="BYA72" s="26"/>
      <c r="BYB72" s="26"/>
      <c r="BYC72" s="26"/>
      <c r="BYD72" s="26"/>
      <c r="BYE72" s="26"/>
      <c r="BYF72" s="26"/>
      <c r="BYG72" s="26"/>
      <c r="BYH72" s="26"/>
      <c r="BYI72" s="26"/>
      <c r="BYJ72" s="26"/>
      <c r="BYK72" s="26"/>
      <c r="BYL72" s="26"/>
      <c r="BYM72" s="26"/>
      <c r="BYN72" s="26"/>
      <c r="BYO72" s="26"/>
      <c r="BYP72" s="26"/>
      <c r="BYQ72" s="26"/>
      <c r="BYR72" s="26"/>
      <c r="BYS72" s="26"/>
      <c r="BYT72" s="26"/>
      <c r="BYU72" s="26"/>
      <c r="BYV72" s="26"/>
      <c r="BYW72" s="26"/>
      <c r="BYX72" s="26"/>
      <c r="BYY72" s="26"/>
      <c r="BYZ72" s="26"/>
      <c r="BZA72" s="26"/>
      <c r="BZB72" s="26"/>
      <c r="BZC72" s="26"/>
      <c r="BZD72" s="26"/>
      <c r="BZE72" s="26"/>
      <c r="BZF72" s="26"/>
      <c r="BZG72" s="26"/>
      <c r="BZH72" s="26"/>
      <c r="BZI72" s="26"/>
      <c r="BZJ72" s="26"/>
      <c r="BZK72" s="26"/>
      <c r="BZL72" s="26"/>
      <c r="BZM72" s="26"/>
      <c r="BZN72" s="26"/>
      <c r="BZO72" s="26"/>
      <c r="BZP72" s="26"/>
      <c r="BZQ72" s="26"/>
      <c r="BZR72" s="26"/>
      <c r="BZS72" s="26"/>
      <c r="BZT72" s="26"/>
      <c r="BZU72" s="26"/>
      <c r="BZV72" s="26"/>
      <c r="BZW72" s="26"/>
      <c r="BZX72" s="26"/>
      <c r="BZY72" s="26"/>
      <c r="BZZ72" s="26"/>
      <c r="CAA72" s="26"/>
      <c r="CAB72" s="26"/>
      <c r="CAC72" s="26"/>
      <c r="CAD72" s="26"/>
      <c r="CAE72" s="26"/>
      <c r="CAF72" s="26"/>
      <c r="CAG72" s="26"/>
      <c r="CAH72" s="26"/>
      <c r="CAI72" s="26"/>
      <c r="CAJ72" s="26"/>
      <c r="CAK72" s="26"/>
      <c r="CAL72" s="26"/>
      <c r="CAM72" s="26"/>
      <c r="CAN72" s="26"/>
      <c r="CAO72" s="26"/>
      <c r="CAP72" s="26"/>
      <c r="CAQ72" s="26"/>
      <c r="CAR72" s="26"/>
      <c r="CAS72" s="26"/>
      <c r="CAT72" s="26"/>
      <c r="CAU72" s="26"/>
      <c r="CAV72" s="26"/>
      <c r="CAW72" s="26"/>
      <c r="CAX72" s="26"/>
      <c r="CAY72" s="26"/>
      <c r="CAZ72" s="26"/>
      <c r="CBA72" s="26"/>
      <c r="CBB72" s="26"/>
      <c r="CBC72" s="26"/>
      <c r="CBD72" s="26"/>
      <c r="CBE72" s="26"/>
      <c r="CBF72" s="26"/>
      <c r="CBG72" s="26"/>
      <c r="CBH72" s="26"/>
      <c r="CBI72" s="26"/>
    </row>
    <row r="73" spans="1:2089" ht="14" customHeight="1">
      <c r="A73" s="27">
        <f t="shared" si="1"/>
        <v>72</v>
      </c>
      <c r="B73" s="27" t="s">
        <v>539</v>
      </c>
      <c r="C73" s="27">
        <v>2011</v>
      </c>
      <c r="D73" s="26" t="s">
        <v>222</v>
      </c>
      <c r="E73" s="26" t="s">
        <v>563</v>
      </c>
      <c r="F73" s="77" t="s">
        <v>175</v>
      </c>
      <c r="G73" s="2" t="s">
        <v>105</v>
      </c>
      <c r="H73" s="2" t="s">
        <v>30</v>
      </c>
      <c r="I73" s="2" t="s">
        <v>175</v>
      </c>
      <c r="J73" s="2" t="s">
        <v>604</v>
      </c>
      <c r="K73" s="2" t="s">
        <v>175</v>
      </c>
      <c r="L73" s="2" t="s">
        <v>175</v>
      </c>
      <c r="M73" s="2" t="s">
        <v>175</v>
      </c>
      <c r="N73" s="2" t="s">
        <v>70</v>
      </c>
      <c r="O73" s="2" t="s">
        <v>209</v>
      </c>
      <c r="P73" s="2" t="s">
        <v>612</v>
      </c>
      <c r="Q73" s="2" t="s">
        <v>42</v>
      </c>
      <c r="R73" s="102" t="s">
        <v>614</v>
      </c>
      <c r="S73" s="88">
        <v>1</v>
      </c>
      <c r="T73" s="61">
        <v>60</v>
      </c>
      <c r="U73" s="77">
        <v>1</v>
      </c>
      <c r="V73" s="26">
        <v>0</v>
      </c>
      <c r="W73" s="26">
        <v>1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f>1-AF73</f>
        <v>0.23728813599999998</v>
      </c>
      <c r="AF73" s="26">
        <v>0.76271186400000002</v>
      </c>
      <c r="AG73" s="26">
        <v>238.59</v>
      </c>
      <c r="AH73" s="26">
        <v>185.18</v>
      </c>
      <c r="AI73" s="26">
        <v>208</v>
      </c>
      <c r="AJ73" s="26" t="s">
        <v>540</v>
      </c>
      <c r="AK73" s="26">
        <v>165.11</v>
      </c>
      <c r="AL73" s="26" t="s">
        <v>70</v>
      </c>
      <c r="AM73" s="61" t="s">
        <v>548</v>
      </c>
      <c r="AN73" s="32" t="s">
        <v>274</v>
      </c>
      <c r="AO73" s="35" t="s">
        <v>548</v>
      </c>
      <c r="AP73" s="35" t="s">
        <v>548</v>
      </c>
      <c r="AQ73" s="35" t="s">
        <v>548</v>
      </c>
      <c r="AR73" s="35" t="s">
        <v>548</v>
      </c>
      <c r="AS73" s="26" t="s">
        <v>175</v>
      </c>
      <c r="AT73" s="26" t="s">
        <v>70</v>
      </c>
      <c r="AU73" s="26" t="s">
        <v>70</v>
      </c>
      <c r="AV73" s="26">
        <v>7</v>
      </c>
    </row>
    <row r="74" spans="1:2089" ht="14" customHeight="1">
      <c r="A74" s="27">
        <f t="shared" si="1"/>
        <v>73</v>
      </c>
      <c r="B74" s="27" t="s">
        <v>546</v>
      </c>
      <c r="C74" s="27">
        <v>2001</v>
      </c>
      <c r="D74" s="26" t="s">
        <v>69</v>
      </c>
      <c r="E74" s="26" t="s">
        <v>565</v>
      </c>
      <c r="F74" s="77" t="s">
        <v>175</v>
      </c>
      <c r="G74" s="2" t="s">
        <v>106</v>
      </c>
      <c r="H74" s="2" t="s">
        <v>30</v>
      </c>
      <c r="I74" s="2" t="s">
        <v>175</v>
      </c>
      <c r="J74" s="2" t="s">
        <v>603</v>
      </c>
      <c r="K74" s="2" t="s">
        <v>548</v>
      </c>
      <c r="L74" s="2" t="s">
        <v>548</v>
      </c>
      <c r="M74" s="2" t="s">
        <v>175</v>
      </c>
      <c r="N74" s="2" t="s">
        <v>62</v>
      </c>
      <c r="O74" s="2" t="s">
        <v>43</v>
      </c>
      <c r="P74" s="2" t="s">
        <v>62</v>
      </c>
      <c r="Q74" s="26" t="s">
        <v>606</v>
      </c>
      <c r="R74" s="102" t="s">
        <v>614</v>
      </c>
      <c r="S74" s="88">
        <f>48/T74</f>
        <v>5.4669703872437359E-2</v>
      </c>
      <c r="T74" s="61">
        <v>878</v>
      </c>
      <c r="U74" s="77">
        <v>1</v>
      </c>
      <c r="V74" s="26">
        <v>1</v>
      </c>
      <c r="W74" s="26">
        <v>1</v>
      </c>
      <c r="X74" s="26">
        <v>1</v>
      </c>
      <c r="Y74" s="26">
        <v>0</v>
      </c>
      <c r="Z74" s="26">
        <v>0</v>
      </c>
      <c r="AA74" s="26">
        <v>1</v>
      </c>
      <c r="AB74" s="26">
        <v>1</v>
      </c>
      <c r="AC74" s="26">
        <v>0.94533029599999996</v>
      </c>
      <c r="AD74" s="26">
        <v>3.7585421000000001E-2</v>
      </c>
      <c r="AE74" s="26">
        <v>6.8337129999999999E-3</v>
      </c>
      <c r="AF74" s="26">
        <v>1.0250568999999999E-2</v>
      </c>
      <c r="AG74" s="33">
        <v>2.1</v>
      </c>
      <c r="AH74" s="33" t="s">
        <v>70</v>
      </c>
      <c r="AI74" s="33">
        <v>0</v>
      </c>
      <c r="AJ74" s="26" t="s">
        <v>70</v>
      </c>
      <c r="AK74" s="33" t="s">
        <v>70</v>
      </c>
      <c r="AL74" s="33" t="s">
        <v>70</v>
      </c>
      <c r="AM74" s="61" t="s">
        <v>175</v>
      </c>
      <c r="AN74" s="32" t="s">
        <v>9</v>
      </c>
      <c r="AO74" s="35" t="s">
        <v>175</v>
      </c>
      <c r="AP74" s="35" t="s">
        <v>548</v>
      </c>
      <c r="AQ74" s="35" t="s">
        <v>548</v>
      </c>
      <c r="AR74" s="35" t="s">
        <v>548</v>
      </c>
      <c r="AS74" s="26" t="s">
        <v>175</v>
      </c>
      <c r="AT74" s="26" t="s">
        <v>70</v>
      </c>
      <c r="AU74" s="26" t="s">
        <v>70</v>
      </c>
      <c r="AV74" s="26">
        <v>10</v>
      </c>
    </row>
    <row r="75" spans="1:2089" ht="14" customHeight="1">
      <c r="A75" s="27">
        <f t="shared" si="1"/>
        <v>74</v>
      </c>
      <c r="B75" s="27" t="s">
        <v>313</v>
      </c>
      <c r="C75" s="26">
        <v>2007</v>
      </c>
      <c r="D75" s="26" t="s">
        <v>67</v>
      </c>
      <c r="E75" s="26" t="s">
        <v>565</v>
      </c>
      <c r="F75" s="77" t="s">
        <v>175</v>
      </c>
      <c r="G75" s="2" t="s">
        <v>106</v>
      </c>
      <c r="H75" s="2" t="s">
        <v>30</v>
      </c>
      <c r="I75" s="2" t="s">
        <v>175</v>
      </c>
      <c r="J75" s="2" t="s">
        <v>604</v>
      </c>
      <c r="K75" s="2" t="s">
        <v>175</v>
      </c>
      <c r="L75" s="2" t="s">
        <v>175</v>
      </c>
      <c r="M75" s="2" t="s">
        <v>175</v>
      </c>
      <c r="N75" s="2" t="s">
        <v>62</v>
      </c>
      <c r="O75" s="2" t="s">
        <v>43</v>
      </c>
      <c r="P75" s="2" t="s">
        <v>62</v>
      </c>
      <c r="Q75" s="38" t="s">
        <v>247</v>
      </c>
      <c r="R75" s="102" t="s">
        <v>614</v>
      </c>
      <c r="S75" s="88">
        <v>0</v>
      </c>
      <c r="T75" s="61">
        <v>83</v>
      </c>
      <c r="U75" s="77">
        <v>1</v>
      </c>
      <c r="V75" s="26">
        <v>0</v>
      </c>
      <c r="W75" s="26">
        <v>1</v>
      </c>
      <c r="X75" s="26">
        <v>1</v>
      </c>
      <c r="Y75" s="26">
        <v>1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33">
        <v>0</v>
      </c>
      <c r="AH75" s="33" t="s">
        <v>70</v>
      </c>
      <c r="AI75" s="33" t="s">
        <v>70</v>
      </c>
      <c r="AJ75" s="26">
        <v>0</v>
      </c>
      <c r="AK75" s="33" t="s">
        <v>70</v>
      </c>
      <c r="AL75" s="33" t="s">
        <v>70</v>
      </c>
      <c r="AM75" s="61" t="s">
        <v>175</v>
      </c>
      <c r="AN75" s="26" t="s">
        <v>274</v>
      </c>
      <c r="AO75" s="35" t="s">
        <v>548</v>
      </c>
      <c r="AP75" s="35" t="s">
        <v>548</v>
      </c>
      <c r="AQ75" s="35" t="s">
        <v>548</v>
      </c>
      <c r="AR75" s="35" t="s">
        <v>548</v>
      </c>
      <c r="AS75" s="26" t="s">
        <v>175</v>
      </c>
      <c r="AT75" s="26" t="s">
        <v>70</v>
      </c>
      <c r="AU75" s="26" t="s">
        <v>70</v>
      </c>
      <c r="AV75" s="26">
        <v>10</v>
      </c>
    </row>
    <row r="76" spans="1:2089" ht="14" customHeight="1">
      <c r="A76" s="27">
        <f t="shared" si="1"/>
        <v>75</v>
      </c>
      <c r="B76" s="27" t="s">
        <v>314</v>
      </c>
      <c r="C76" s="26">
        <v>2012</v>
      </c>
      <c r="D76" s="26" t="s">
        <v>109</v>
      </c>
      <c r="E76" s="26" t="s">
        <v>565</v>
      </c>
      <c r="F76" s="77" t="s">
        <v>175</v>
      </c>
      <c r="G76" s="2" t="s">
        <v>147</v>
      </c>
      <c r="H76" s="2" t="s">
        <v>30</v>
      </c>
      <c r="I76" s="2" t="s">
        <v>548</v>
      </c>
      <c r="J76" s="2" t="s">
        <v>604</v>
      </c>
      <c r="K76" s="2" t="s">
        <v>548</v>
      </c>
      <c r="L76" s="2" t="s">
        <v>548</v>
      </c>
      <c r="M76" s="2" t="s">
        <v>175</v>
      </c>
      <c r="N76" s="2" t="s">
        <v>62</v>
      </c>
      <c r="O76" s="2" t="s">
        <v>43</v>
      </c>
      <c r="P76" s="2" t="s">
        <v>62</v>
      </c>
      <c r="Q76" s="26" t="s">
        <v>606</v>
      </c>
      <c r="R76" s="102" t="s">
        <v>614</v>
      </c>
      <c r="S76" s="88">
        <f>5/30</f>
        <v>0.16666666666666666</v>
      </c>
      <c r="T76" s="61">
        <v>30</v>
      </c>
      <c r="U76" s="77">
        <v>1</v>
      </c>
      <c r="V76" s="26">
        <v>0</v>
      </c>
      <c r="W76" s="26">
        <v>1</v>
      </c>
      <c r="X76" s="26">
        <v>1</v>
      </c>
      <c r="Y76" s="26">
        <v>0</v>
      </c>
      <c r="Z76" s="26">
        <v>0</v>
      </c>
      <c r="AA76" s="26">
        <v>0</v>
      </c>
      <c r="AB76" s="26">
        <v>0</v>
      </c>
      <c r="AC76" s="26">
        <f>25/30</f>
        <v>0.83333333333333337</v>
      </c>
      <c r="AD76" s="26">
        <v>0.1</v>
      </c>
      <c r="AE76" s="26">
        <v>0.03</v>
      </c>
      <c r="AF76" s="26">
        <v>0.03</v>
      </c>
      <c r="AG76" s="33" t="s">
        <v>70</v>
      </c>
      <c r="AH76" s="26" t="s">
        <v>70</v>
      </c>
      <c r="AI76" s="26" t="s">
        <v>70</v>
      </c>
      <c r="AJ76" s="26" t="s">
        <v>551</v>
      </c>
      <c r="AK76" s="26" t="s">
        <v>70</v>
      </c>
      <c r="AL76" s="26" t="s">
        <v>70</v>
      </c>
      <c r="AM76" s="61" t="s">
        <v>175</v>
      </c>
      <c r="AN76" s="26" t="s">
        <v>274</v>
      </c>
      <c r="AO76" s="35" t="s">
        <v>548</v>
      </c>
      <c r="AP76" s="35" t="s">
        <v>548</v>
      </c>
      <c r="AQ76" s="35" t="s">
        <v>548</v>
      </c>
      <c r="AR76" s="35" t="s">
        <v>548</v>
      </c>
      <c r="AS76" s="26" t="s">
        <v>175</v>
      </c>
      <c r="AT76" s="26" t="s">
        <v>70</v>
      </c>
      <c r="AU76" s="26" t="s">
        <v>70</v>
      </c>
      <c r="AV76" s="26">
        <v>6</v>
      </c>
    </row>
    <row r="77" spans="1:2089" ht="14" customHeight="1">
      <c r="A77" s="27">
        <f t="shared" si="1"/>
        <v>76</v>
      </c>
      <c r="B77" s="27" t="s">
        <v>315</v>
      </c>
      <c r="C77" s="37">
        <v>2008</v>
      </c>
      <c r="D77" s="26" t="s">
        <v>67</v>
      </c>
      <c r="E77" s="26" t="s">
        <v>565</v>
      </c>
      <c r="F77" s="77" t="s">
        <v>175</v>
      </c>
      <c r="G77" s="2" t="s">
        <v>106</v>
      </c>
      <c r="H77" s="2" t="s">
        <v>30</v>
      </c>
      <c r="I77" s="2" t="s">
        <v>175</v>
      </c>
      <c r="J77" s="2" t="s">
        <v>603</v>
      </c>
      <c r="K77" s="2" t="s">
        <v>175</v>
      </c>
      <c r="L77" s="2" t="s">
        <v>175</v>
      </c>
      <c r="M77" s="2" t="s">
        <v>175</v>
      </c>
      <c r="N77" s="2" t="s">
        <v>62</v>
      </c>
      <c r="O77" s="2" t="s">
        <v>43</v>
      </c>
      <c r="P77" s="2" t="s">
        <v>62</v>
      </c>
      <c r="Q77" s="26" t="s">
        <v>606</v>
      </c>
      <c r="R77" s="102" t="s">
        <v>614</v>
      </c>
      <c r="S77" s="88">
        <v>0.03</v>
      </c>
      <c r="T77" s="26">
        <v>100</v>
      </c>
      <c r="U77" s="77">
        <v>1</v>
      </c>
      <c r="V77" s="26">
        <v>0</v>
      </c>
      <c r="W77" s="26">
        <v>1</v>
      </c>
      <c r="X77" s="26">
        <v>1</v>
      </c>
      <c r="Y77" s="26">
        <v>0</v>
      </c>
      <c r="Z77" s="26">
        <v>0</v>
      </c>
      <c r="AA77" s="26">
        <v>0</v>
      </c>
      <c r="AB77" s="26">
        <v>0</v>
      </c>
      <c r="AC77" s="26" t="s">
        <v>70</v>
      </c>
      <c r="AD77" s="26" t="s">
        <v>70</v>
      </c>
      <c r="AE77" s="26" t="s">
        <v>70</v>
      </c>
      <c r="AF77" s="26" t="s">
        <v>70</v>
      </c>
      <c r="AG77" s="33" t="s">
        <v>70</v>
      </c>
      <c r="AH77" s="33" t="s">
        <v>70</v>
      </c>
      <c r="AI77" s="33" t="s">
        <v>70</v>
      </c>
      <c r="AJ77" s="26" t="s">
        <v>177</v>
      </c>
      <c r="AK77" s="33" t="s">
        <v>70</v>
      </c>
      <c r="AL77" s="33" t="s">
        <v>70</v>
      </c>
      <c r="AM77" s="35" t="s">
        <v>175</v>
      </c>
      <c r="AN77" s="26" t="s">
        <v>274</v>
      </c>
      <c r="AO77" s="35" t="s">
        <v>548</v>
      </c>
      <c r="AP77" s="35" t="s">
        <v>548</v>
      </c>
      <c r="AQ77" s="35" t="s">
        <v>548</v>
      </c>
      <c r="AR77" s="35" t="s">
        <v>548</v>
      </c>
      <c r="AS77" s="26" t="s">
        <v>175</v>
      </c>
      <c r="AT77" s="26" t="s">
        <v>70</v>
      </c>
      <c r="AU77" s="26" t="s">
        <v>70</v>
      </c>
      <c r="AV77" s="26">
        <v>9</v>
      </c>
    </row>
    <row r="78" spans="1:2089" ht="14" customHeight="1">
      <c r="A78" s="27">
        <f t="shared" si="1"/>
        <v>77</v>
      </c>
      <c r="B78" s="27" t="s">
        <v>316</v>
      </c>
      <c r="C78" s="26">
        <v>2002</v>
      </c>
      <c r="D78" s="26" t="s">
        <v>134</v>
      </c>
      <c r="E78" s="26" t="s">
        <v>563</v>
      </c>
      <c r="F78" s="2" t="s">
        <v>175</v>
      </c>
      <c r="G78" s="2" t="s">
        <v>105</v>
      </c>
      <c r="H78" s="2" t="s">
        <v>30</v>
      </c>
      <c r="I78" s="2" t="s">
        <v>548</v>
      </c>
      <c r="J78" s="2" t="s">
        <v>604</v>
      </c>
      <c r="K78" s="2" t="s">
        <v>548</v>
      </c>
      <c r="L78" s="2" t="s">
        <v>548</v>
      </c>
      <c r="M78" s="2" t="s">
        <v>175</v>
      </c>
      <c r="N78" s="2" t="s">
        <v>62</v>
      </c>
      <c r="O78" s="2" t="s">
        <v>43</v>
      </c>
      <c r="P78" s="2" t="s">
        <v>62</v>
      </c>
      <c r="Q78" s="26" t="s">
        <v>247</v>
      </c>
      <c r="R78" s="79" t="s">
        <v>613</v>
      </c>
      <c r="S78" s="88">
        <v>0.35</v>
      </c>
      <c r="T78" s="61">
        <v>20</v>
      </c>
      <c r="U78" s="2">
        <v>1</v>
      </c>
      <c r="V78" s="26">
        <v>0</v>
      </c>
      <c r="W78" s="26">
        <v>1</v>
      </c>
      <c r="X78" s="26">
        <v>1</v>
      </c>
      <c r="Y78" s="26">
        <v>1</v>
      </c>
      <c r="Z78" s="26">
        <v>1</v>
      </c>
      <c r="AA78" s="26">
        <v>0</v>
      </c>
      <c r="AB78" s="26">
        <v>0</v>
      </c>
      <c r="AC78" s="26" t="s">
        <v>70</v>
      </c>
      <c r="AD78" s="26" t="s">
        <v>70</v>
      </c>
      <c r="AE78" s="26" t="s">
        <v>70</v>
      </c>
      <c r="AF78" s="26" t="s">
        <v>70</v>
      </c>
      <c r="AG78" s="33">
        <v>9.3000000000000007</v>
      </c>
      <c r="AH78" s="26" t="s">
        <v>70</v>
      </c>
      <c r="AI78" s="26" t="s">
        <v>70</v>
      </c>
      <c r="AJ78" s="26" t="s">
        <v>153</v>
      </c>
      <c r="AK78" s="26" t="s">
        <v>70</v>
      </c>
      <c r="AL78" s="26" t="s">
        <v>70</v>
      </c>
      <c r="AM78" s="61" t="s">
        <v>548</v>
      </c>
      <c r="AN78" s="26" t="s">
        <v>274</v>
      </c>
      <c r="AO78" s="26" t="s">
        <v>548</v>
      </c>
      <c r="AP78" s="26" t="s">
        <v>175</v>
      </c>
      <c r="AQ78" s="26" t="s">
        <v>548</v>
      </c>
      <c r="AR78" s="26" t="s">
        <v>548</v>
      </c>
      <c r="AS78" s="26" t="s">
        <v>175</v>
      </c>
      <c r="AT78" s="26" t="s">
        <v>548</v>
      </c>
      <c r="AU78" s="40" t="s">
        <v>548</v>
      </c>
      <c r="AV78" s="26">
        <v>7</v>
      </c>
    </row>
    <row r="79" spans="1:2089" ht="14" customHeight="1">
      <c r="A79" s="27">
        <f t="shared" si="1"/>
        <v>78</v>
      </c>
      <c r="B79" s="27" t="s">
        <v>316</v>
      </c>
      <c r="C79" s="26">
        <v>2002</v>
      </c>
      <c r="D79" s="26" t="s">
        <v>134</v>
      </c>
      <c r="E79" s="26" t="s">
        <v>563</v>
      </c>
      <c r="F79" s="2" t="s">
        <v>175</v>
      </c>
      <c r="G79" s="2" t="s">
        <v>105</v>
      </c>
      <c r="H79" s="2" t="s">
        <v>30</v>
      </c>
      <c r="I79" s="2" t="s">
        <v>548</v>
      </c>
      <c r="J79" s="2" t="s">
        <v>604</v>
      </c>
      <c r="K79" s="2" t="s">
        <v>548</v>
      </c>
      <c r="L79" s="2" t="s">
        <v>548</v>
      </c>
      <c r="M79" s="2" t="s">
        <v>175</v>
      </c>
      <c r="N79" s="2" t="s">
        <v>62</v>
      </c>
      <c r="O79" s="2" t="s">
        <v>43</v>
      </c>
      <c r="P79" s="2" t="s">
        <v>621</v>
      </c>
      <c r="Q79" s="2" t="s">
        <v>42</v>
      </c>
      <c r="R79" s="79" t="s">
        <v>613</v>
      </c>
      <c r="S79" s="88">
        <v>0.95</v>
      </c>
      <c r="T79" s="61">
        <v>60</v>
      </c>
      <c r="U79" s="2">
        <v>1</v>
      </c>
      <c r="V79" s="26">
        <v>0</v>
      </c>
      <c r="W79" s="26">
        <v>1</v>
      </c>
      <c r="X79" s="26">
        <v>1</v>
      </c>
      <c r="Y79" s="26">
        <v>1</v>
      </c>
      <c r="Z79" s="26">
        <v>1</v>
      </c>
      <c r="AA79" s="26">
        <v>0</v>
      </c>
      <c r="AB79" s="26">
        <v>0</v>
      </c>
      <c r="AC79" s="26" t="s">
        <v>70</v>
      </c>
      <c r="AD79" s="26" t="s">
        <v>70</v>
      </c>
      <c r="AE79" s="26" t="s">
        <v>70</v>
      </c>
      <c r="AF79" s="26" t="s">
        <v>70</v>
      </c>
      <c r="AG79" s="33">
        <v>103.88</v>
      </c>
      <c r="AH79" s="26" t="s">
        <v>70</v>
      </c>
      <c r="AI79" s="26" t="s">
        <v>70</v>
      </c>
      <c r="AJ79" s="35" t="s">
        <v>154</v>
      </c>
      <c r="AK79" s="26" t="s">
        <v>70</v>
      </c>
      <c r="AL79" s="26" t="s">
        <v>70</v>
      </c>
      <c r="AM79" s="61" t="s">
        <v>548</v>
      </c>
      <c r="AN79" s="26" t="s">
        <v>274</v>
      </c>
      <c r="AO79" s="26" t="s">
        <v>548</v>
      </c>
      <c r="AP79" s="26" t="s">
        <v>175</v>
      </c>
      <c r="AQ79" s="26" t="s">
        <v>548</v>
      </c>
      <c r="AR79" s="26" t="s">
        <v>548</v>
      </c>
      <c r="AS79" s="26" t="s">
        <v>175</v>
      </c>
      <c r="AT79" s="26" t="s">
        <v>548</v>
      </c>
      <c r="AU79" s="40" t="s">
        <v>548</v>
      </c>
      <c r="AV79" s="26">
        <v>7</v>
      </c>
    </row>
    <row r="80" spans="1:2089" ht="14" customHeight="1">
      <c r="A80" s="27">
        <f t="shared" si="1"/>
        <v>79</v>
      </c>
      <c r="B80" s="27" t="s">
        <v>255</v>
      </c>
      <c r="C80" s="26">
        <v>2011</v>
      </c>
      <c r="D80" s="26" t="s">
        <v>252</v>
      </c>
      <c r="E80" s="26" t="s">
        <v>565</v>
      </c>
      <c r="F80" s="77" t="s">
        <v>175</v>
      </c>
      <c r="G80" s="74" t="s">
        <v>149</v>
      </c>
      <c r="H80" s="2" t="s">
        <v>24</v>
      </c>
      <c r="I80" s="2" t="s">
        <v>548</v>
      </c>
      <c r="J80" s="2" t="s">
        <v>604</v>
      </c>
      <c r="K80" s="2" t="s">
        <v>548</v>
      </c>
      <c r="L80" s="74" t="s">
        <v>548</v>
      </c>
      <c r="M80" s="2" t="s">
        <v>548</v>
      </c>
      <c r="N80" s="2" t="s">
        <v>139</v>
      </c>
      <c r="O80" s="2" t="s">
        <v>60</v>
      </c>
      <c r="P80" s="2" t="s">
        <v>139</v>
      </c>
      <c r="Q80" s="2" t="s">
        <v>42</v>
      </c>
      <c r="R80" s="79" t="s">
        <v>613</v>
      </c>
      <c r="S80" s="2">
        <f>1-0.791</f>
        <v>0.20899999999999996</v>
      </c>
      <c r="T80" s="26">
        <v>43</v>
      </c>
      <c r="U80" s="77">
        <v>1</v>
      </c>
      <c r="V80" s="26">
        <v>1</v>
      </c>
      <c r="W80" s="26">
        <v>1</v>
      </c>
      <c r="X80" s="26">
        <v>1</v>
      </c>
      <c r="Y80" s="26">
        <v>1</v>
      </c>
      <c r="Z80" s="26">
        <v>0</v>
      </c>
      <c r="AA80" s="26">
        <v>1</v>
      </c>
      <c r="AB80" s="26">
        <v>1</v>
      </c>
      <c r="AC80" s="26" t="s">
        <v>70</v>
      </c>
      <c r="AD80" s="26" t="s">
        <v>70</v>
      </c>
      <c r="AE80" s="26" t="s">
        <v>70</v>
      </c>
      <c r="AF80" s="26" t="s">
        <v>70</v>
      </c>
      <c r="AG80" s="26" t="s">
        <v>70</v>
      </c>
      <c r="AH80" s="26" t="s">
        <v>70</v>
      </c>
      <c r="AI80" s="26" t="s">
        <v>70</v>
      </c>
      <c r="AJ80" s="26" t="s">
        <v>70</v>
      </c>
      <c r="AK80" s="26" t="s">
        <v>70</v>
      </c>
      <c r="AL80" s="26" t="s">
        <v>70</v>
      </c>
      <c r="AM80" s="35" t="s">
        <v>548</v>
      </c>
      <c r="AN80" s="26" t="s">
        <v>274</v>
      </c>
      <c r="AO80" s="35" t="s">
        <v>175</v>
      </c>
      <c r="AP80" s="35" t="s">
        <v>548</v>
      </c>
      <c r="AQ80" s="35" t="s">
        <v>548</v>
      </c>
      <c r="AR80" s="35" t="s">
        <v>548</v>
      </c>
      <c r="AS80" s="26" t="s">
        <v>175</v>
      </c>
      <c r="AT80" s="26" t="s">
        <v>70</v>
      </c>
      <c r="AU80" s="26" t="s">
        <v>70</v>
      </c>
      <c r="AV80" s="26">
        <v>8</v>
      </c>
    </row>
    <row r="81" spans="1:92" ht="14" customHeight="1">
      <c r="A81" s="27">
        <f t="shared" si="1"/>
        <v>80</v>
      </c>
      <c r="B81" s="27" t="s">
        <v>255</v>
      </c>
      <c r="C81" s="26">
        <v>2011</v>
      </c>
      <c r="D81" s="26" t="s">
        <v>252</v>
      </c>
      <c r="E81" s="26" t="s">
        <v>565</v>
      </c>
      <c r="F81" s="77" t="s">
        <v>175</v>
      </c>
      <c r="G81" s="74" t="s">
        <v>149</v>
      </c>
      <c r="H81" s="2" t="s">
        <v>24</v>
      </c>
      <c r="I81" s="2" t="s">
        <v>548</v>
      </c>
      <c r="J81" s="2" t="s">
        <v>604</v>
      </c>
      <c r="K81" s="2" t="s">
        <v>548</v>
      </c>
      <c r="L81" s="74" t="s">
        <v>548</v>
      </c>
      <c r="M81" s="2" t="s">
        <v>548</v>
      </c>
      <c r="N81" s="2" t="s">
        <v>609</v>
      </c>
      <c r="O81" s="2" t="s">
        <v>60</v>
      </c>
      <c r="P81" s="2" t="s">
        <v>609</v>
      </c>
      <c r="Q81" s="2" t="s">
        <v>42</v>
      </c>
      <c r="R81" s="79" t="s">
        <v>613</v>
      </c>
      <c r="S81" s="2">
        <f>1-0.95</f>
        <v>5.0000000000000044E-2</v>
      </c>
      <c r="T81" s="26">
        <v>60</v>
      </c>
      <c r="U81" s="77">
        <v>1</v>
      </c>
      <c r="V81" s="26">
        <v>1</v>
      </c>
      <c r="W81" s="26">
        <v>1</v>
      </c>
      <c r="X81" s="26">
        <v>1</v>
      </c>
      <c r="Y81" s="26">
        <v>1</v>
      </c>
      <c r="Z81" s="26">
        <v>0</v>
      </c>
      <c r="AA81" s="26">
        <v>1</v>
      </c>
      <c r="AB81" s="26">
        <v>1</v>
      </c>
      <c r="AC81" s="26" t="s">
        <v>70</v>
      </c>
      <c r="AD81" s="26" t="s">
        <v>70</v>
      </c>
      <c r="AE81" s="26" t="s">
        <v>70</v>
      </c>
      <c r="AF81" s="26" t="s">
        <v>70</v>
      </c>
      <c r="AG81" s="26" t="s">
        <v>70</v>
      </c>
      <c r="AH81" s="26" t="s">
        <v>70</v>
      </c>
      <c r="AI81" s="26" t="s">
        <v>70</v>
      </c>
      <c r="AJ81" s="26" t="s">
        <v>70</v>
      </c>
      <c r="AK81" s="26" t="s">
        <v>70</v>
      </c>
      <c r="AL81" s="26" t="s">
        <v>70</v>
      </c>
      <c r="AM81" s="35" t="s">
        <v>548</v>
      </c>
      <c r="AN81" s="26" t="s">
        <v>274</v>
      </c>
      <c r="AO81" s="35" t="s">
        <v>175</v>
      </c>
      <c r="AP81" s="35" t="s">
        <v>548</v>
      </c>
      <c r="AQ81" s="35" t="s">
        <v>548</v>
      </c>
      <c r="AR81" s="35" t="s">
        <v>548</v>
      </c>
      <c r="AS81" s="26" t="s">
        <v>175</v>
      </c>
      <c r="AT81" s="26" t="s">
        <v>70</v>
      </c>
      <c r="AU81" s="26" t="s">
        <v>70</v>
      </c>
      <c r="AV81" s="26">
        <v>8</v>
      </c>
    </row>
    <row r="82" spans="1:92" ht="14" customHeight="1">
      <c r="A82" s="27">
        <f t="shared" si="1"/>
        <v>81</v>
      </c>
      <c r="B82" s="27" t="s">
        <v>568</v>
      </c>
      <c r="C82" s="27">
        <v>2011</v>
      </c>
      <c r="D82" s="26" t="s">
        <v>10</v>
      </c>
      <c r="E82" s="26" t="s">
        <v>563</v>
      </c>
      <c r="F82" s="77" t="s">
        <v>175</v>
      </c>
      <c r="G82" s="2" t="s">
        <v>105</v>
      </c>
      <c r="H82" s="2" t="s">
        <v>275</v>
      </c>
      <c r="I82" s="2" t="s">
        <v>548</v>
      </c>
      <c r="J82" s="2" t="s">
        <v>604</v>
      </c>
      <c r="K82" s="2" t="s">
        <v>548</v>
      </c>
      <c r="L82" s="2" t="s">
        <v>548</v>
      </c>
      <c r="M82" s="2" t="s">
        <v>548</v>
      </c>
      <c r="N82" s="2" t="s">
        <v>62</v>
      </c>
      <c r="O82" s="2" t="s">
        <v>43</v>
      </c>
      <c r="P82" s="2" t="s">
        <v>62</v>
      </c>
      <c r="Q82" s="26" t="s">
        <v>247</v>
      </c>
      <c r="R82" s="102" t="s">
        <v>614</v>
      </c>
      <c r="S82" s="2">
        <f>4/T82</f>
        <v>0.17391304347826086</v>
      </c>
      <c r="T82" s="26">
        <v>23</v>
      </c>
      <c r="U82" s="77">
        <v>1</v>
      </c>
      <c r="V82" s="26">
        <v>0</v>
      </c>
      <c r="W82" s="26">
        <v>1</v>
      </c>
      <c r="X82" s="26">
        <v>1</v>
      </c>
      <c r="Y82" s="26">
        <v>0</v>
      </c>
      <c r="Z82" s="26">
        <v>0</v>
      </c>
      <c r="AA82" s="26">
        <v>0</v>
      </c>
      <c r="AB82" s="26">
        <v>0</v>
      </c>
      <c r="AC82" s="33" t="s">
        <v>70</v>
      </c>
      <c r="AD82" s="33" t="s">
        <v>70</v>
      </c>
      <c r="AE82" s="33" t="s">
        <v>70</v>
      </c>
      <c r="AF82" s="33" t="s">
        <v>70</v>
      </c>
      <c r="AG82" s="33" t="s">
        <v>70</v>
      </c>
      <c r="AH82" s="33" t="s">
        <v>70</v>
      </c>
      <c r="AI82" s="33" t="s">
        <v>70</v>
      </c>
      <c r="AJ82" s="33" t="s">
        <v>70</v>
      </c>
      <c r="AK82" s="33" t="s">
        <v>70</v>
      </c>
      <c r="AL82" s="33" t="s">
        <v>70</v>
      </c>
      <c r="AM82" s="35" t="s">
        <v>175</v>
      </c>
      <c r="AN82" s="26" t="s">
        <v>274</v>
      </c>
      <c r="AO82" s="35" t="s">
        <v>548</v>
      </c>
      <c r="AP82" s="35" t="s">
        <v>548</v>
      </c>
      <c r="AQ82" s="35" t="s">
        <v>175</v>
      </c>
      <c r="AR82" s="35" t="s">
        <v>548</v>
      </c>
      <c r="AS82" s="26" t="s">
        <v>175</v>
      </c>
      <c r="AT82" s="26" t="s">
        <v>70</v>
      </c>
      <c r="AU82" s="26" t="s">
        <v>70</v>
      </c>
      <c r="AV82" s="26">
        <v>5</v>
      </c>
    </row>
    <row r="83" spans="1:92" ht="14" customHeight="1">
      <c r="A83" s="27">
        <f t="shared" si="1"/>
        <v>82</v>
      </c>
      <c r="B83" s="27" t="s">
        <v>568</v>
      </c>
      <c r="C83" s="27">
        <v>2011</v>
      </c>
      <c r="D83" s="26" t="s">
        <v>10</v>
      </c>
      <c r="E83" s="26" t="s">
        <v>563</v>
      </c>
      <c r="F83" s="77" t="s">
        <v>175</v>
      </c>
      <c r="G83" s="2" t="s">
        <v>105</v>
      </c>
      <c r="H83" s="2" t="s">
        <v>275</v>
      </c>
      <c r="I83" s="2" t="s">
        <v>548</v>
      </c>
      <c r="J83" s="2" t="s">
        <v>604</v>
      </c>
      <c r="K83" s="2" t="s">
        <v>548</v>
      </c>
      <c r="L83" s="2" t="s">
        <v>548</v>
      </c>
      <c r="M83" s="2" t="s">
        <v>548</v>
      </c>
      <c r="N83" s="2" t="s">
        <v>62</v>
      </c>
      <c r="O83" s="2" t="s">
        <v>43</v>
      </c>
      <c r="P83" s="2" t="s">
        <v>621</v>
      </c>
      <c r="Q83" s="2" t="s">
        <v>42</v>
      </c>
      <c r="R83" s="102" t="s">
        <v>614</v>
      </c>
      <c r="S83" s="2">
        <f>22/T83</f>
        <v>0.46808510638297873</v>
      </c>
      <c r="T83" s="26">
        <v>47</v>
      </c>
      <c r="U83" s="77">
        <v>1</v>
      </c>
      <c r="V83" s="26">
        <v>0</v>
      </c>
      <c r="W83" s="26">
        <v>1</v>
      </c>
      <c r="X83" s="26">
        <v>1</v>
      </c>
      <c r="Y83" s="26">
        <v>0</v>
      </c>
      <c r="Z83" s="26">
        <v>0</v>
      </c>
      <c r="AA83" s="26">
        <v>0</v>
      </c>
      <c r="AB83" s="26">
        <v>0</v>
      </c>
      <c r="AC83" s="33" t="s">
        <v>70</v>
      </c>
      <c r="AD83" s="33" t="s">
        <v>70</v>
      </c>
      <c r="AE83" s="33" t="s">
        <v>70</v>
      </c>
      <c r="AF83" s="33" t="s">
        <v>70</v>
      </c>
      <c r="AG83" s="33" t="s">
        <v>70</v>
      </c>
      <c r="AH83" s="33" t="s">
        <v>70</v>
      </c>
      <c r="AI83" s="33" t="s">
        <v>70</v>
      </c>
      <c r="AJ83" s="33" t="s">
        <v>70</v>
      </c>
      <c r="AK83" s="33" t="s">
        <v>70</v>
      </c>
      <c r="AL83" s="33" t="s">
        <v>70</v>
      </c>
      <c r="AM83" s="35" t="s">
        <v>175</v>
      </c>
      <c r="AN83" s="26" t="s">
        <v>274</v>
      </c>
      <c r="AO83" s="35" t="s">
        <v>548</v>
      </c>
      <c r="AP83" s="35" t="s">
        <v>548</v>
      </c>
      <c r="AQ83" s="35" t="s">
        <v>175</v>
      </c>
      <c r="AR83" s="35" t="s">
        <v>548</v>
      </c>
      <c r="AS83" s="26" t="s">
        <v>175</v>
      </c>
      <c r="AT83" s="26" t="s">
        <v>70</v>
      </c>
      <c r="AU83" s="26" t="s">
        <v>70</v>
      </c>
      <c r="AV83" s="26">
        <v>5</v>
      </c>
    </row>
    <row r="84" spans="1:92" ht="14" customHeight="1">
      <c r="A84" s="27">
        <f t="shared" si="1"/>
        <v>83</v>
      </c>
      <c r="B84" s="27" t="s">
        <v>317</v>
      </c>
      <c r="C84" s="27">
        <v>2007</v>
      </c>
      <c r="D84" s="26" t="s">
        <v>27</v>
      </c>
      <c r="E84" s="26" t="s">
        <v>563</v>
      </c>
      <c r="F84" s="77" t="s">
        <v>175</v>
      </c>
      <c r="G84" s="2" t="s">
        <v>84</v>
      </c>
      <c r="H84" s="2" t="s">
        <v>30</v>
      </c>
      <c r="I84" s="2" t="s">
        <v>548</v>
      </c>
      <c r="J84" s="2" t="s">
        <v>189</v>
      </c>
      <c r="K84" s="2" t="s">
        <v>548</v>
      </c>
      <c r="L84" s="2" t="s">
        <v>548</v>
      </c>
      <c r="M84" s="2" t="s">
        <v>175</v>
      </c>
      <c r="N84" s="2" t="s">
        <v>210</v>
      </c>
      <c r="O84" s="2" t="s">
        <v>43</v>
      </c>
      <c r="P84" s="2" t="s">
        <v>618</v>
      </c>
      <c r="Q84" s="2" t="s">
        <v>42</v>
      </c>
      <c r="R84" s="79" t="s">
        <v>613</v>
      </c>
      <c r="S84" s="2">
        <v>1</v>
      </c>
      <c r="T84" s="26">
        <f>2+34+89+66</f>
        <v>191</v>
      </c>
      <c r="U84" s="77">
        <v>1</v>
      </c>
      <c r="V84" s="26">
        <v>0</v>
      </c>
      <c r="W84" s="26">
        <v>1</v>
      </c>
      <c r="X84" s="26">
        <v>1</v>
      </c>
      <c r="Y84" s="26">
        <v>1</v>
      </c>
      <c r="Z84" s="26">
        <v>1</v>
      </c>
      <c r="AA84" s="26">
        <v>0</v>
      </c>
      <c r="AB84" s="26">
        <v>0</v>
      </c>
      <c r="AC84" s="26">
        <v>0</v>
      </c>
      <c r="AD84" s="26">
        <v>0.01</v>
      </c>
      <c r="AE84" s="26">
        <v>0.17799999999999999</v>
      </c>
      <c r="AF84" s="26">
        <f>1-AE84-AD84</f>
        <v>0.81200000000000006</v>
      </c>
      <c r="AG84" s="33" t="s">
        <v>70</v>
      </c>
      <c r="AH84" s="33">
        <v>750.6</v>
      </c>
      <c r="AI84" s="33" t="s">
        <v>70</v>
      </c>
      <c r="AJ84" s="26" t="s">
        <v>70</v>
      </c>
      <c r="AK84" s="33" t="s">
        <v>70</v>
      </c>
      <c r="AL84" s="33" t="s">
        <v>70</v>
      </c>
      <c r="AM84" s="35" t="s">
        <v>548</v>
      </c>
      <c r="AN84" s="26" t="s">
        <v>274</v>
      </c>
      <c r="AO84" s="35" t="s">
        <v>548</v>
      </c>
      <c r="AP84" s="35" t="s">
        <v>548</v>
      </c>
      <c r="AQ84" s="35" t="s">
        <v>548</v>
      </c>
      <c r="AR84" s="35" t="s">
        <v>548</v>
      </c>
      <c r="AS84" s="26" t="s">
        <v>175</v>
      </c>
      <c r="AT84" s="26" t="s">
        <v>70</v>
      </c>
      <c r="AU84" s="26" t="s">
        <v>70</v>
      </c>
      <c r="AV84" s="26">
        <v>7</v>
      </c>
    </row>
    <row r="85" spans="1:92" ht="14" customHeight="1">
      <c r="A85" s="27">
        <f t="shared" si="1"/>
        <v>84</v>
      </c>
      <c r="B85" s="27" t="s">
        <v>554</v>
      </c>
      <c r="C85" s="27">
        <v>2007</v>
      </c>
      <c r="D85" s="26" t="s">
        <v>69</v>
      </c>
      <c r="E85" s="26" t="s">
        <v>565</v>
      </c>
      <c r="F85" s="77" t="s">
        <v>175</v>
      </c>
      <c r="G85" s="2" t="s">
        <v>106</v>
      </c>
      <c r="H85" s="2" t="s">
        <v>30</v>
      </c>
      <c r="I85" s="2" t="s">
        <v>548</v>
      </c>
      <c r="J85" s="2" t="s">
        <v>604</v>
      </c>
      <c r="K85" s="2" t="s">
        <v>548</v>
      </c>
      <c r="L85" s="2" t="s">
        <v>548</v>
      </c>
      <c r="M85" s="2" t="s">
        <v>175</v>
      </c>
      <c r="N85" s="2" t="s">
        <v>48</v>
      </c>
      <c r="O85" s="2" t="s">
        <v>209</v>
      </c>
      <c r="P85" s="2" t="s">
        <v>48</v>
      </c>
      <c r="Q85" s="2" t="s">
        <v>42</v>
      </c>
      <c r="R85" s="79" t="s">
        <v>613</v>
      </c>
      <c r="S85" s="88">
        <v>0</v>
      </c>
      <c r="T85" s="61">
        <v>45</v>
      </c>
      <c r="U85" s="77">
        <v>1</v>
      </c>
      <c r="V85" s="26">
        <v>1</v>
      </c>
      <c r="W85" s="26">
        <v>1</v>
      </c>
      <c r="X85" s="26">
        <v>1</v>
      </c>
      <c r="Y85" s="26">
        <v>0</v>
      </c>
      <c r="Z85" s="26">
        <v>0</v>
      </c>
      <c r="AA85" s="26">
        <v>0</v>
      </c>
      <c r="AB85" s="26">
        <v>0</v>
      </c>
      <c r="AC85" s="26">
        <v>1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26">
        <v>0</v>
      </c>
      <c r="AM85" s="61" t="s">
        <v>548</v>
      </c>
      <c r="AN85" s="26" t="s">
        <v>274</v>
      </c>
      <c r="AO85" s="26" t="s">
        <v>548</v>
      </c>
      <c r="AP85" s="26" t="s">
        <v>548</v>
      </c>
      <c r="AQ85" s="26" t="s">
        <v>548</v>
      </c>
      <c r="AR85" s="26" t="s">
        <v>548</v>
      </c>
      <c r="AS85" s="26" t="s">
        <v>175</v>
      </c>
      <c r="AT85" s="26" t="s">
        <v>70</v>
      </c>
      <c r="AU85" s="26" t="s">
        <v>70</v>
      </c>
      <c r="AV85" s="26">
        <v>6</v>
      </c>
    </row>
    <row r="86" spans="1:92" ht="14" customHeight="1">
      <c r="A86" s="27">
        <f t="shared" si="1"/>
        <v>85</v>
      </c>
      <c r="B86" s="27" t="s">
        <v>318</v>
      </c>
      <c r="C86" s="26">
        <v>2012</v>
      </c>
      <c r="D86" s="26" t="s">
        <v>68</v>
      </c>
      <c r="E86" s="26" t="s">
        <v>563</v>
      </c>
      <c r="F86" s="2" t="s">
        <v>175</v>
      </c>
      <c r="G86" s="2" t="s">
        <v>105</v>
      </c>
      <c r="H86" s="2" t="s">
        <v>24</v>
      </c>
      <c r="I86" s="2" t="s">
        <v>175</v>
      </c>
      <c r="J86" s="2" t="s">
        <v>604</v>
      </c>
      <c r="K86" s="2" t="s">
        <v>548</v>
      </c>
      <c r="L86" s="2" t="s">
        <v>548</v>
      </c>
      <c r="M86" s="2" t="s">
        <v>175</v>
      </c>
      <c r="N86" s="2" t="s">
        <v>210</v>
      </c>
      <c r="O86" s="2" t="s">
        <v>43</v>
      </c>
      <c r="P86" s="2" t="s">
        <v>210</v>
      </c>
      <c r="Q86" s="2" t="s">
        <v>42</v>
      </c>
      <c r="R86" s="102" t="s">
        <v>614</v>
      </c>
      <c r="S86" s="88">
        <v>0.37</v>
      </c>
      <c r="T86" s="61">
        <v>76</v>
      </c>
      <c r="U86" s="2">
        <v>1</v>
      </c>
      <c r="V86" s="26">
        <v>1</v>
      </c>
      <c r="W86" s="26">
        <v>1</v>
      </c>
      <c r="X86" s="26">
        <v>1</v>
      </c>
      <c r="Y86" s="26">
        <v>0</v>
      </c>
      <c r="Z86" s="26">
        <v>0</v>
      </c>
      <c r="AA86" s="26">
        <v>0</v>
      </c>
      <c r="AB86" s="26">
        <v>0</v>
      </c>
      <c r="AC86" s="26" t="s">
        <v>70</v>
      </c>
      <c r="AD86" s="26" t="s">
        <v>70</v>
      </c>
      <c r="AE86" s="26" t="s">
        <v>70</v>
      </c>
      <c r="AF86" s="26" t="s">
        <v>70</v>
      </c>
      <c r="AG86" s="33" t="s">
        <v>70</v>
      </c>
      <c r="AH86" s="26" t="s">
        <v>70</v>
      </c>
      <c r="AI86" s="26" t="s">
        <v>70</v>
      </c>
      <c r="AJ86" s="26" t="s">
        <v>70</v>
      </c>
      <c r="AK86" s="26" t="s">
        <v>70</v>
      </c>
      <c r="AL86" s="26" t="s">
        <v>70</v>
      </c>
      <c r="AM86" s="61" t="s">
        <v>175</v>
      </c>
      <c r="AN86" s="26" t="s">
        <v>617</v>
      </c>
      <c r="AO86" s="26" t="s">
        <v>548</v>
      </c>
      <c r="AP86" s="26" t="s">
        <v>175</v>
      </c>
      <c r="AQ86" s="26" t="s">
        <v>548</v>
      </c>
      <c r="AR86" s="26" t="s">
        <v>548</v>
      </c>
      <c r="AS86" s="26" t="s">
        <v>548</v>
      </c>
      <c r="AT86" s="26" t="s">
        <v>175</v>
      </c>
      <c r="AU86" s="40" t="s">
        <v>548</v>
      </c>
      <c r="AV86" s="26">
        <v>7</v>
      </c>
    </row>
    <row r="87" spans="1:92" ht="14" customHeight="1">
      <c r="A87" s="27">
        <f t="shared" si="1"/>
        <v>86</v>
      </c>
      <c r="B87" s="27" t="s">
        <v>318</v>
      </c>
      <c r="C87" s="26">
        <v>2012</v>
      </c>
      <c r="D87" s="26" t="s">
        <v>68</v>
      </c>
      <c r="E87" s="26" t="s">
        <v>563</v>
      </c>
      <c r="F87" s="2" t="s">
        <v>175</v>
      </c>
      <c r="G87" s="2" t="s">
        <v>105</v>
      </c>
      <c r="H87" s="2" t="s">
        <v>24</v>
      </c>
      <c r="I87" s="2" t="s">
        <v>175</v>
      </c>
      <c r="J87" s="2" t="s">
        <v>604</v>
      </c>
      <c r="K87" s="2" t="s">
        <v>548</v>
      </c>
      <c r="L87" s="2" t="s">
        <v>548</v>
      </c>
      <c r="M87" s="2" t="s">
        <v>175</v>
      </c>
      <c r="N87" s="2" t="s">
        <v>70</v>
      </c>
      <c r="O87" s="2" t="s">
        <v>209</v>
      </c>
      <c r="P87" s="2" t="s">
        <v>612</v>
      </c>
      <c r="Q87" s="2" t="s">
        <v>42</v>
      </c>
      <c r="R87" s="102" t="s">
        <v>614</v>
      </c>
      <c r="S87" s="88">
        <v>0.49</v>
      </c>
      <c r="T87" s="61">
        <v>104</v>
      </c>
      <c r="U87" s="2">
        <v>1</v>
      </c>
      <c r="V87" s="26">
        <v>1</v>
      </c>
      <c r="W87" s="26">
        <v>1</v>
      </c>
      <c r="X87" s="26">
        <v>1</v>
      </c>
      <c r="Y87" s="26">
        <v>0</v>
      </c>
      <c r="Z87" s="26">
        <v>0</v>
      </c>
      <c r="AA87" s="26">
        <v>0</v>
      </c>
      <c r="AB87" s="26">
        <v>0</v>
      </c>
      <c r="AC87" s="26" t="s">
        <v>70</v>
      </c>
      <c r="AD87" s="26" t="s">
        <v>70</v>
      </c>
      <c r="AE87" s="26" t="s">
        <v>70</v>
      </c>
      <c r="AF87" s="26" t="s">
        <v>70</v>
      </c>
      <c r="AG87" s="33" t="s">
        <v>70</v>
      </c>
      <c r="AH87" s="26" t="s">
        <v>70</v>
      </c>
      <c r="AI87" s="26" t="s">
        <v>70</v>
      </c>
      <c r="AJ87" s="26" t="s">
        <v>70</v>
      </c>
      <c r="AK87" s="26" t="s">
        <v>70</v>
      </c>
      <c r="AL87" s="26" t="s">
        <v>70</v>
      </c>
      <c r="AM87" s="61" t="s">
        <v>175</v>
      </c>
      <c r="AN87" s="26" t="s">
        <v>617</v>
      </c>
      <c r="AO87" s="26" t="s">
        <v>548</v>
      </c>
      <c r="AP87" s="26" t="s">
        <v>175</v>
      </c>
      <c r="AQ87" s="26" t="s">
        <v>548</v>
      </c>
      <c r="AR87" s="26" t="s">
        <v>548</v>
      </c>
      <c r="AS87" s="26" t="s">
        <v>548</v>
      </c>
      <c r="AT87" s="26" t="s">
        <v>175</v>
      </c>
      <c r="AU87" s="40" t="s">
        <v>548</v>
      </c>
      <c r="AV87" s="26">
        <v>7</v>
      </c>
    </row>
    <row r="88" spans="1:92" ht="14" customHeight="1">
      <c r="A88" s="27">
        <f t="shared" si="1"/>
        <v>87</v>
      </c>
      <c r="B88" s="27" t="s">
        <v>319</v>
      </c>
      <c r="C88" s="28">
        <v>2009</v>
      </c>
      <c r="D88" s="26" t="s">
        <v>69</v>
      </c>
      <c r="E88" s="26" t="s">
        <v>565</v>
      </c>
      <c r="F88" s="2" t="s">
        <v>175</v>
      </c>
      <c r="G88" s="2" t="s">
        <v>106</v>
      </c>
      <c r="H88" s="2" t="s">
        <v>30</v>
      </c>
      <c r="I88" s="2" t="s">
        <v>175</v>
      </c>
      <c r="J88" s="2" t="s">
        <v>604</v>
      </c>
      <c r="K88" s="2" t="s">
        <v>175</v>
      </c>
      <c r="L88" s="2" t="s">
        <v>175</v>
      </c>
      <c r="M88" s="2" t="s">
        <v>175</v>
      </c>
      <c r="N88" s="2" t="s">
        <v>62</v>
      </c>
      <c r="O88" s="2" t="s">
        <v>43</v>
      </c>
      <c r="P88" s="2" t="s">
        <v>621</v>
      </c>
      <c r="Q88" s="2" t="s">
        <v>42</v>
      </c>
      <c r="R88" s="79" t="s">
        <v>613</v>
      </c>
      <c r="S88" s="88">
        <f>38/193</f>
        <v>0.19689119170984457</v>
      </c>
      <c r="T88" s="61">
        <v>193</v>
      </c>
      <c r="U88" s="2">
        <v>1</v>
      </c>
      <c r="V88" s="26">
        <v>0</v>
      </c>
      <c r="W88" s="26">
        <v>1</v>
      </c>
      <c r="X88" s="26">
        <v>1</v>
      </c>
      <c r="Y88" s="26">
        <v>0</v>
      </c>
      <c r="Z88" s="26">
        <v>0</v>
      </c>
      <c r="AA88" s="26">
        <v>0</v>
      </c>
      <c r="AB88" s="26">
        <v>0</v>
      </c>
      <c r="AC88" s="26" t="s">
        <v>70</v>
      </c>
      <c r="AD88" s="26" t="s">
        <v>70</v>
      </c>
      <c r="AE88" s="26" t="s">
        <v>70</v>
      </c>
      <c r="AF88" s="26" t="s">
        <v>70</v>
      </c>
      <c r="AG88" s="26" t="s">
        <v>70</v>
      </c>
      <c r="AH88" s="26" t="s">
        <v>70</v>
      </c>
      <c r="AI88" s="26" t="s">
        <v>70</v>
      </c>
      <c r="AJ88" s="26" t="s">
        <v>70</v>
      </c>
      <c r="AK88" s="26" t="s">
        <v>70</v>
      </c>
      <c r="AL88" s="26" t="s">
        <v>70</v>
      </c>
      <c r="AM88" s="61" t="s">
        <v>175</v>
      </c>
      <c r="AN88" s="26" t="s">
        <v>274</v>
      </c>
      <c r="AO88" s="26" t="s">
        <v>548</v>
      </c>
      <c r="AP88" s="26" t="s">
        <v>548</v>
      </c>
      <c r="AQ88" s="26" t="s">
        <v>548</v>
      </c>
      <c r="AR88" s="26" t="s">
        <v>548</v>
      </c>
      <c r="AS88" s="26" t="s">
        <v>175</v>
      </c>
      <c r="AT88" s="26" t="s">
        <v>70</v>
      </c>
      <c r="AU88" s="26" t="s">
        <v>70</v>
      </c>
      <c r="AV88" s="26">
        <v>9</v>
      </c>
    </row>
    <row r="89" spans="1:92" ht="14" customHeight="1">
      <c r="A89" s="27">
        <f t="shared" si="1"/>
        <v>88</v>
      </c>
      <c r="B89" s="27" t="s">
        <v>320</v>
      </c>
      <c r="C89" s="27">
        <v>2013</v>
      </c>
      <c r="D89" s="26" t="s">
        <v>268</v>
      </c>
      <c r="E89" s="26" t="s">
        <v>563</v>
      </c>
      <c r="F89" s="77" t="s">
        <v>175</v>
      </c>
      <c r="G89" s="2" t="s">
        <v>84</v>
      </c>
      <c r="H89" s="2" t="s">
        <v>24</v>
      </c>
      <c r="I89" s="2" t="s">
        <v>175</v>
      </c>
      <c r="J89" s="2" t="s">
        <v>604</v>
      </c>
      <c r="K89" s="2" t="s">
        <v>175</v>
      </c>
      <c r="L89" s="2" t="s">
        <v>175</v>
      </c>
      <c r="M89" s="2" t="s">
        <v>175</v>
      </c>
      <c r="N89" s="2" t="s">
        <v>210</v>
      </c>
      <c r="O89" s="2" t="s">
        <v>43</v>
      </c>
      <c r="P89" s="2" t="s">
        <v>210</v>
      </c>
      <c r="Q89" s="2" t="s">
        <v>42</v>
      </c>
      <c r="R89" s="102" t="s">
        <v>614</v>
      </c>
      <c r="S89" s="88">
        <f>1/T89</f>
        <v>7.6923076923076927E-2</v>
      </c>
      <c r="T89" s="61">
        <v>13</v>
      </c>
      <c r="U89" s="77">
        <v>1</v>
      </c>
      <c r="V89" s="26">
        <v>1</v>
      </c>
      <c r="W89" s="26">
        <v>1</v>
      </c>
      <c r="X89" s="26">
        <v>0</v>
      </c>
      <c r="Y89" s="26">
        <v>1</v>
      </c>
      <c r="Z89" s="26">
        <v>0</v>
      </c>
      <c r="AA89" s="26">
        <v>0</v>
      </c>
      <c r="AB89" s="26">
        <v>0</v>
      </c>
      <c r="AC89" s="26" t="s">
        <v>70</v>
      </c>
      <c r="AD89" s="26" t="s">
        <v>70</v>
      </c>
      <c r="AE89" s="26" t="s">
        <v>70</v>
      </c>
      <c r="AF89" s="26" t="s">
        <v>70</v>
      </c>
      <c r="AG89" s="26" t="s">
        <v>70</v>
      </c>
      <c r="AH89" s="26" t="s">
        <v>70</v>
      </c>
      <c r="AI89" s="26" t="s">
        <v>70</v>
      </c>
      <c r="AJ89" s="26" t="s">
        <v>70</v>
      </c>
      <c r="AK89" s="26" t="s">
        <v>70</v>
      </c>
      <c r="AL89" s="26" t="s">
        <v>70</v>
      </c>
      <c r="AM89" s="61" t="s">
        <v>175</v>
      </c>
      <c r="AN89" s="26" t="s">
        <v>274</v>
      </c>
      <c r="AO89" s="35" t="s">
        <v>548</v>
      </c>
      <c r="AP89" s="35" t="s">
        <v>175</v>
      </c>
      <c r="AQ89" s="35" t="s">
        <v>548</v>
      </c>
      <c r="AR89" s="35" t="s">
        <v>548</v>
      </c>
      <c r="AS89" s="26" t="s">
        <v>175</v>
      </c>
      <c r="AT89" s="26" t="s">
        <v>548</v>
      </c>
      <c r="AU89" s="40" t="s">
        <v>548</v>
      </c>
      <c r="AV89" s="26">
        <v>10</v>
      </c>
    </row>
    <row r="90" spans="1:92" ht="14" customHeight="1">
      <c r="A90" s="27">
        <f t="shared" si="1"/>
        <v>89</v>
      </c>
      <c r="B90" s="27" t="s">
        <v>321</v>
      </c>
      <c r="C90" s="27">
        <v>2006</v>
      </c>
      <c r="D90" s="26" t="s">
        <v>59</v>
      </c>
      <c r="E90" s="26" t="s">
        <v>563</v>
      </c>
      <c r="F90" s="77" t="s">
        <v>175</v>
      </c>
      <c r="G90" s="2" t="s">
        <v>105</v>
      </c>
      <c r="H90" s="2" t="s">
        <v>30</v>
      </c>
      <c r="I90" s="2" t="s">
        <v>548</v>
      </c>
      <c r="J90" s="2" t="s">
        <v>603</v>
      </c>
      <c r="K90" s="2" t="s">
        <v>548</v>
      </c>
      <c r="L90" s="2" t="s">
        <v>548</v>
      </c>
      <c r="M90" s="2" t="s">
        <v>175</v>
      </c>
      <c r="N90" s="2" t="s">
        <v>210</v>
      </c>
      <c r="O90" s="2" t="s">
        <v>43</v>
      </c>
      <c r="P90" s="2" t="s">
        <v>210</v>
      </c>
      <c r="Q90" s="2" t="s">
        <v>42</v>
      </c>
      <c r="R90" s="79" t="s">
        <v>613</v>
      </c>
      <c r="S90" s="88">
        <v>0.34</v>
      </c>
      <c r="T90" s="26">
        <v>73</v>
      </c>
      <c r="U90" s="77">
        <v>1</v>
      </c>
      <c r="V90" s="26">
        <v>0</v>
      </c>
      <c r="W90" s="26">
        <v>1</v>
      </c>
      <c r="X90" s="26">
        <v>1</v>
      </c>
      <c r="Y90" s="26">
        <v>0</v>
      </c>
      <c r="Z90" s="26">
        <v>0</v>
      </c>
      <c r="AA90" s="26">
        <v>0</v>
      </c>
      <c r="AB90" s="26">
        <v>0</v>
      </c>
      <c r="AC90" s="26" t="s">
        <v>70</v>
      </c>
      <c r="AD90" s="26" t="s">
        <v>70</v>
      </c>
      <c r="AE90" s="26" t="s">
        <v>70</v>
      </c>
      <c r="AF90" s="26" t="s">
        <v>70</v>
      </c>
      <c r="AG90" s="33">
        <v>13.2</v>
      </c>
      <c r="AH90" s="26" t="s">
        <v>70</v>
      </c>
      <c r="AI90" s="26" t="s">
        <v>70</v>
      </c>
      <c r="AJ90" s="26" t="s">
        <v>70</v>
      </c>
      <c r="AK90" s="26" t="s">
        <v>70</v>
      </c>
      <c r="AL90" s="26" t="s">
        <v>70</v>
      </c>
      <c r="AM90" s="35" t="s">
        <v>175</v>
      </c>
      <c r="AN90" s="32" t="s">
        <v>9</v>
      </c>
      <c r="AO90" s="35" t="s">
        <v>175</v>
      </c>
      <c r="AP90" s="26" t="s">
        <v>175</v>
      </c>
      <c r="AQ90" s="35" t="s">
        <v>548</v>
      </c>
      <c r="AR90" s="35" t="s">
        <v>548</v>
      </c>
      <c r="AS90" s="26" t="s">
        <v>175</v>
      </c>
      <c r="AT90" s="26" t="s">
        <v>548</v>
      </c>
      <c r="AU90" s="40" t="s">
        <v>175</v>
      </c>
      <c r="AV90" s="26">
        <v>6</v>
      </c>
    </row>
    <row r="91" spans="1:92" s="67" customFormat="1" ht="14" customHeight="1">
      <c r="A91" s="27">
        <f t="shared" si="1"/>
        <v>90</v>
      </c>
      <c r="B91" s="27" t="s">
        <v>321</v>
      </c>
      <c r="C91" s="27">
        <v>2006</v>
      </c>
      <c r="D91" s="26" t="s">
        <v>59</v>
      </c>
      <c r="E91" s="26" t="s">
        <v>563</v>
      </c>
      <c r="F91" s="77" t="s">
        <v>175</v>
      </c>
      <c r="G91" s="2" t="s">
        <v>105</v>
      </c>
      <c r="H91" s="2" t="s">
        <v>30</v>
      </c>
      <c r="I91" s="2" t="s">
        <v>548</v>
      </c>
      <c r="J91" s="2" t="s">
        <v>603</v>
      </c>
      <c r="K91" s="2" t="s">
        <v>548</v>
      </c>
      <c r="L91" s="2" t="s">
        <v>548</v>
      </c>
      <c r="M91" s="2" t="s">
        <v>175</v>
      </c>
      <c r="N91" s="2" t="s">
        <v>51</v>
      </c>
      <c r="O91" s="2" t="s">
        <v>43</v>
      </c>
      <c r="P91" s="2" t="s">
        <v>51</v>
      </c>
      <c r="Q91" s="2" t="s">
        <v>42</v>
      </c>
      <c r="R91" s="79" t="s">
        <v>613</v>
      </c>
      <c r="S91" s="88">
        <v>0.68</v>
      </c>
      <c r="T91" s="26">
        <v>128</v>
      </c>
      <c r="U91" s="77">
        <v>1</v>
      </c>
      <c r="V91" s="26">
        <v>0</v>
      </c>
      <c r="W91" s="26">
        <v>1</v>
      </c>
      <c r="X91" s="26">
        <v>1</v>
      </c>
      <c r="Y91" s="26">
        <v>0</v>
      </c>
      <c r="Z91" s="26">
        <v>0</v>
      </c>
      <c r="AA91" s="26">
        <v>0</v>
      </c>
      <c r="AB91" s="26">
        <v>0</v>
      </c>
      <c r="AC91" s="26" t="s">
        <v>70</v>
      </c>
      <c r="AD91" s="26" t="s">
        <v>70</v>
      </c>
      <c r="AE91" s="26" t="s">
        <v>70</v>
      </c>
      <c r="AF91" s="26" t="s">
        <v>70</v>
      </c>
      <c r="AG91" s="33">
        <v>56.2</v>
      </c>
      <c r="AH91" s="26" t="s">
        <v>70</v>
      </c>
      <c r="AI91" s="26" t="s">
        <v>70</v>
      </c>
      <c r="AJ91" s="26" t="s">
        <v>70</v>
      </c>
      <c r="AK91" s="26" t="s">
        <v>70</v>
      </c>
      <c r="AL91" s="26" t="s">
        <v>70</v>
      </c>
      <c r="AM91" s="35" t="s">
        <v>175</v>
      </c>
      <c r="AN91" s="32" t="s">
        <v>9</v>
      </c>
      <c r="AO91" s="35" t="s">
        <v>175</v>
      </c>
      <c r="AP91" s="26" t="s">
        <v>175</v>
      </c>
      <c r="AQ91" s="35" t="s">
        <v>548</v>
      </c>
      <c r="AR91" s="35" t="s">
        <v>548</v>
      </c>
      <c r="AS91" s="26" t="s">
        <v>175</v>
      </c>
      <c r="AT91" s="26" t="s">
        <v>548</v>
      </c>
      <c r="AU91" s="40" t="s">
        <v>175</v>
      </c>
      <c r="AV91" s="26">
        <v>6</v>
      </c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</row>
    <row r="92" spans="1:92" s="40" customFormat="1" ht="14" customHeight="1">
      <c r="A92" s="27">
        <f t="shared" si="1"/>
        <v>91</v>
      </c>
      <c r="B92" s="27" t="s">
        <v>321</v>
      </c>
      <c r="C92" s="27">
        <v>2006</v>
      </c>
      <c r="D92" s="26" t="s">
        <v>59</v>
      </c>
      <c r="E92" s="26" t="s">
        <v>563</v>
      </c>
      <c r="F92" s="77" t="s">
        <v>175</v>
      </c>
      <c r="G92" s="2" t="s">
        <v>105</v>
      </c>
      <c r="H92" s="2" t="s">
        <v>30</v>
      </c>
      <c r="I92" s="2" t="s">
        <v>548</v>
      </c>
      <c r="J92" s="2" t="s">
        <v>603</v>
      </c>
      <c r="K92" s="2" t="s">
        <v>548</v>
      </c>
      <c r="L92" s="2" t="s">
        <v>548</v>
      </c>
      <c r="M92" s="2" t="s">
        <v>175</v>
      </c>
      <c r="N92" s="2" t="s">
        <v>609</v>
      </c>
      <c r="O92" s="2" t="s">
        <v>60</v>
      </c>
      <c r="P92" s="2" t="s">
        <v>609</v>
      </c>
      <c r="Q92" s="2" t="s">
        <v>42</v>
      </c>
      <c r="R92" s="79" t="s">
        <v>613</v>
      </c>
      <c r="S92" s="88">
        <v>0.82</v>
      </c>
      <c r="T92" s="26">
        <v>85</v>
      </c>
      <c r="U92" s="77">
        <v>1</v>
      </c>
      <c r="V92" s="26">
        <v>0</v>
      </c>
      <c r="W92" s="26">
        <v>1</v>
      </c>
      <c r="X92" s="26">
        <v>1</v>
      </c>
      <c r="Y92" s="26">
        <v>0</v>
      </c>
      <c r="Z92" s="26">
        <v>0</v>
      </c>
      <c r="AA92" s="26">
        <v>0</v>
      </c>
      <c r="AB92" s="26">
        <v>0</v>
      </c>
      <c r="AC92" s="26" t="s">
        <v>70</v>
      </c>
      <c r="AD92" s="26" t="s">
        <v>70</v>
      </c>
      <c r="AE92" s="26" t="s">
        <v>70</v>
      </c>
      <c r="AF92" s="26" t="s">
        <v>70</v>
      </c>
      <c r="AG92" s="33">
        <v>72.099999999999994</v>
      </c>
      <c r="AH92" s="26" t="s">
        <v>70</v>
      </c>
      <c r="AI92" s="26" t="s">
        <v>70</v>
      </c>
      <c r="AJ92" s="26" t="s">
        <v>70</v>
      </c>
      <c r="AK92" s="26" t="s">
        <v>70</v>
      </c>
      <c r="AL92" s="26" t="s">
        <v>70</v>
      </c>
      <c r="AM92" s="35" t="s">
        <v>175</v>
      </c>
      <c r="AN92" s="32" t="s">
        <v>9</v>
      </c>
      <c r="AO92" s="35" t="s">
        <v>175</v>
      </c>
      <c r="AP92" s="26" t="s">
        <v>175</v>
      </c>
      <c r="AQ92" s="35" t="s">
        <v>548</v>
      </c>
      <c r="AR92" s="35" t="s">
        <v>548</v>
      </c>
      <c r="AS92" s="26" t="s">
        <v>175</v>
      </c>
      <c r="AT92" s="26" t="s">
        <v>548</v>
      </c>
      <c r="AU92" s="40" t="s">
        <v>175</v>
      </c>
      <c r="AV92" s="67">
        <v>6</v>
      </c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</row>
    <row r="93" spans="1:92" s="40" customFormat="1" ht="14" customHeight="1">
      <c r="A93" s="27">
        <f t="shared" si="1"/>
        <v>92</v>
      </c>
      <c r="B93" s="27" t="s">
        <v>257</v>
      </c>
      <c r="C93" s="40">
        <v>2012</v>
      </c>
      <c r="D93" s="40" t="s">
        <v>252</v>
      </c>
      <c r="E93" s="26" t="s">
        <v>565</v>
      </c>
      <c r="F93" s="74" t="s">
        <v>175</v>
      </c>
      <c r="G93" s="74" t="s">
        <v>149</v>
      </c>
      <c r="H93" s="2" t="s">
        <v>24</v>
      </c>
      <c r="I93" s="2" t="s">
        <v>548</v>
      </c>
      <c r="J93" s="74" t="s">
        <v>604</v>
      </c>
      <c r="K93" s="74" t="s">
        <v>548</v>
      </c>
      <c r="L93" s="74" t="s">
        <v>548</v>
      </c>
      <c r="M93" s="74" t="s">
        <v>548</v>
      </c>
      <c r="N93" s="2" t="s">
        <v>51</v>
      </c>
      <c r="O93" s="2" t="s">
        <v>43</v>
      </c>
      <c r="P93" s="2" t="s">
        <v>51</v>
      </c>
      <c r="Q93" s="2" t="s">
        <v>42</v>
      </c>
      <c r="R93" s="79" t="s">
        <v>613</v>
      </c>
      <c r="S93" s="74">
        <v>0</v>
      </c>
      <c r="T93" s="40">
        <v>313</v>
      </c>
      <c r="U93" s="74">
        <v>1</v>
      </c>
      <c r="V93" s="40">
        <v>1</v>
      </c>
      <c r="W93" s="40">
        <v>1</v>
      </c>
      <c r="X93" s="40">
        <v>1</v>
      </c>
      <c r="Y93" s="40">
        <v>1</v>
      </c>
      <c r="Z93" s="26">
        <v>0</v>
      </c>
      <c r="AA93" s="40">
        <v>1</v>
      </c>
      <c r="AB93" s="40">
        <v>1</v>
      </c>
      <c r="AC93" s="26" t="s">
        <v>70</v>
      </c>
      <c r="AD93" s="26" t="s">
        <v>70</v>
      </c>
      <c r="AE93" s="26" t="s">
        <v>70</v>
      </c>
      <c r="AF93" s="26" t="s">
        <v>70</v>
      </c>
      <c r="AG93" s="26" t="s">
        <v>70</v>
      </c>
      <c r="AH93" s="26" t="s">
        <v>70</v>
      </c>
      <c r="AI93" s="26" t="s">
        <v>70</v>
      </c>
      <c r="AJ93" s="26" t="s">
        <v>70</v>
      </c>
      <c r="AK93" s="26" t="s">
        <v>70</v>
      </c>
      <c r="AL93" s="26" t="s">
        <v>70</v>
      </c>
      <c r="AM93" s="55" t="s">
        <v>548</v>
      </c>
      <c r="AN93" s="26" t="s">
        <v>274</v>
      </c>
      <c r="AO93" s="55" t="s">
        <v>548</v>
      </c>
      <c r="AP93" s="55" t="s">
        <v>548</v>
      </c>
      <c r="AQ93" s="55" t="s">
        <v>548</v>
      </c>
      <c r="AR93" s="55" t="s">
        <v>175</v>
      </c>
      <c r="AS93" s="40" t="s">
        <v>175</v>
      </c>
      <c r="AT93" s="26" t="s">
        <v>70</v>
      </c>
      <c r="AU93" s="26" t="s">
        <v>70</v>
      </c>
      <c r="AV93" s="40">
        <v>8</v>
      </c>
    </row>
    <row r="94" spans="1:92" s="40" customFormat="1" ht="14" customHeight="1">
      <c r="A94" s="27">
        <f t="shared" si="1"/>
        <v>93</v>
      </c>
      <c r="B94" s="27" t="s">
        <v>322</v>
      </c>
      <c r="C94" s="27">
        <v>2003</v>
      </c>
      <c r="D94" s="26" t="s">
        <v>69</v>
      </c>
      <c r="E94" s="26" t="s">
        <v>565</v>
      </c>
      <c r="F94" s="77" t="s">
        <v>175</v>
      </c>
      <c r="G94" s="2" t="s">
        <v>106</v>
      </c>
      <c r="H94" s="2" t="s">
        <v>30</v>
      </c>
      <c r="I94" s="2" t="s">
        <v>548</v>
      </c>
      <c r="J94" s="2" t="s">
        <v>604</v>
      </c>
      <c r="K94" s="2" t="s">
        <v>548</v>
      </c>
      <c r="L94" s="2" t="s">
        <v>548</v>
      </c>
      <c r="M94" s="2" t="s">
        <v>548</v>
      </c>
      <c r="N94" s="2" t="s">
        <v>48</v>
      </c>
      <c r="O94" s="2" t="s">
        <v>209</v>
      </c>
      <c r="P94" s="2" t="s">
        <v>48</v>
      </c>
      <c r="Q94" s="2" t="s">
        <v>42</v>
      </c>
      <c r="R94" s="79" t="s">
        <v>613</v>
      </c>
      <c r="S94" s="88">
        <f>1/T94</f>
        <v>0.1</v>
      </c>
      <c r="T94" s="61">
        <v>10</v>
      </c>
      <c r="U94" s="77">
        <v>1</v>
      </c>
      <c r="V94" s="26">
        <v>0</v>
      </c>
      <c r="W94" s="26">
        <v>1</v>
      </c>
      <c r="X94" s="26">
        <v>1</v>
      </c>
      <c r="Y94" s="38">
        <v>0</v>
      </c>
      <c r="Z94" s="26">
        <v>0</v>
      </c>
      <c r="AA94" s="26">
        <v>0</v>
      </c>
      <c r="AB94" s="26">
        <v>0</v>
      </c>
      <c r="AC94" s="26">
        <v>0.9</v>
      </c>
      <c r="AD94" s="26">
        <v>0.1</v>
      </c>
      <c r="AE94" s="26">
        <v>0</v>
      </c>
      <c r="AF94" s="26">
        <v>0</v>
      </c>
      <c r="AG94" s="33">
        <f>4/10</f>
        <v>0.4</v>
      </c>
      <c r="AH94" s="33" t="s">
        <v>70</v>
      </c>
      <c r="AI94" s="33" t="s">
        <v>70</v>
      </c>
      <c r="AJ94" s="26" t="s">
        <v>541</v>
      </c>
      <c r="AK94" s="33" t="s">
        <v>70</v>
      </c>
      <c r="AL94" s="33" t="s">
        <v>70</v>
      </c>
      <c r="AM94" s="61" t="s">
        <v>175</v>
      </c>
      <c r="AN94" s="26" t="s">
        <v>274</v>
      </c>
      <c r="AO94" s="35" t="s">
        <v>548</v>
      </c>
      <c r="AP94" s="35" t="s">
        <v>548</v>
      </c>
      <c r="AQ94" s="35" t="s">
        <v>548</v>
      </c>
      <c r="AR94" s="35" t="s">
        <v>548</v>
      </c>
      <c r="AS94" s="26" t="s">
        <v>548</v>
      </c>
      <c r="AT94" s="26" t="s">
        <v>70</v>
      </c>
      <c r="AU94" s="26" t="s">
        <v>70</v>
      </c>
      <c r="AV94" s="40">
        <v>4</v>
      </c>
    </row>
    <row r="95" spans="1:92" ht="14" customHeight="1">
      <c r="A95" s="27">
        <f t="shared" si="1"/>
        <v>94</v>
      </c>
      <c r="B95" s="27" t="s">
        <v>322</v>
      </c>
      <c r="C95" s="27">
        <v>2008</v>
      </c>
      <c r="D95" s="26" t="s">
        <v>69</v>
      </c>
      <c r="E95" s="26" t="s">
        <v>565</v>
      </c>
      <c r="F95" s="77" t="s">
        <v>175</v>
      </c>
      <c r="G95" s="2" t="s">
        <v>106</v>
      </c>
      <c r="H95" s="2" t="s">
        <v>30</v>
      </c>
      <c r="I95" s="2" t="s">
        <v>175</v>
      </c>
      <c r="J95" s="2" t="s">
        <v>604</v>
      </c>
      <c r="K95" s="2" t="s">
        <v>175</v>
      </c>
      <c r="L95" s="2" t="s">
        <v>175</v>
      </c>
      <c r="M95" s="2" t="s">
        <v>175</v>
      </c>
      <c r="N95" s="2" t="s">
        <v>48</v>
      </c>
      <c r="O95" s="2" t="s">
        <v>209</v>
      </c>
      <c r="P95" s="2" t="s">
        <v>48</v>
      </c>
      <c r="Q95" s="2" t="s">
        <v>42</v>
      </c>
      <c r="R95" s="102" t="s">
        <v>614</v>
      </c>
      <c r="S95" s="88">
        <v>4.9777777777777775E-2</v>
      </c>
      <c r="T95" s="26">
        <v>99</v>
      </c>
      <c r="U95" s="77">
        <v>1</v>
      </c>
      <c r="V95" s="26">
        <v>0</v>
      </c>
      <c r="W95" s="26">
        <v>1</v>
      </c>
      <c r="X95" s="26">
        <v>1</v>
      </c>
      <c r="Y95" s="26">
        <v>1</v>
      </c>
      <c r="Z95" s="38">
        <v>1</v>
      </c>
      <c r="AA95" s="26">
        <v>0</v>
      </c>
      <c r="AB95" s="26">
        <v>0</v>
      </c>
      <c r="AC95" s="26" t="s">
        <v>70</v>
      </c>
      <c r="AD95" s="26" t="s">
        <v>70</v>
      </c>
      <c r="AE95" s="26" t="s">
        <v>70</v>
      </c>
      <c r="AF95" s="26" t="s">
        <v>70</v>
      </c>
      <c r="AG95" s="26" t="s">
        <v>70</v>
      </c>
      <c r="AH95" s="26" t="s">
        <v>70</v>
      </c>
      <c r="AI95" s="26" t="s">
        <v>70</v>
      </c>
      <c r="AJ95" s="26" t="s">
        <v>70</v>
      </c>
      <c r="AK95" s="26" t="s">
        <v>70</v>
      </c>
      <c r="AL95" s="26" t="s">
        <v>70</v>
      </c>
      <c r="AM95" s="35" t="s">
        <v>548</v>
      </c>
      <c r="AN95" s="26" t="s">
        <v>274</v>
      </c>
      <c r="AO95" s="35" t="s">
        <v>175</v>
      </c>
      <c r="AP95" s="35" t="s">
        <v>548</v>
      </c>
      <c r="AQ95" s="35" t="s">
        <v>548</v>
      </c>
      <c r="AR95" s="35" t="s">
        <v>548</v>
      </c>
      <c r="AS95" s="26" t="s">
        <v>175</v>
      </c>
      <c r="AT95" s="26" t="s">
        <v>70</v>
      </c>
      <c r="AU95" s="26" t="s">
        <v>70</v>
      </c>
      <c r="AV95" s="40">
        <v>10</v>
      </c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</row>
    <row r="96" spans="1:92" ht="14" customHeight="1">
      <c r="A96" s="27">
        <f t="shared" si="1"/>
        <v>95</v>
      </c>
      <c r="B96" s="27" t="s">
        <v>322</v>
      </c>
      <c r="C96" s="27">
        <v>2008</v>
      </c>
      <c r="D96" s="26" t="s">
        <v>69</v>
      </c>
      <c r="E96" s="26" t="s">
        <v>565</v>
      </c>
      <c r="F96" s="77" t="s">
        <v>175</v>
      </c>
      <c r="G96" s="2" t="s">
        <v>106</v>
      </c>
      <c r="H96" s="2" t="s">
        <v>30</v>
      </c>
      <c r="I96" s="2" t="s">
        <v>175</v>
      </c>
      <c r="J96" s="2" t="s">
        <v>604</v>
      </c>
      <c r="K96" s="2" t="s">
        <v>175</v>
      </c>
      <c r="L96" s="2" t="s">
        <v>175</v>
      </c>
      <c r="M96" s="2" t="s">
        <v>175</v>
      </c>
      <c r="N96" s="2" t="s">
        <v>62</v>
      </c>
      <c r="O96" s="2" t="s">
        <v>43</v>
      </c>
      <c r="P96" s="2" t="s">
        <v>62</v>
      </c>
      <c r="Q96" s="26" t="s">
        <v>606</v>
      </c>
      <c r="R96" s="102" t="s">
        <v>614</v>
      </c>
      <c r="S96" s="88">
        <v>0</v>
      </c>
      <c r="T96" s="26">
        <v>96</v>
      </c>
      <c r="U96" s="77">
        <v>1</v>
      </c>
      <c r="V96" s="26">
        <v>0</v>
      </c>
      <c r="W96" s="26">
        <v>1</v>
      </c>
      <c r="X96" s="26">
        <v>1</v>
      </c>
      <c r="Y96" s="26">
        <v>1</v>
      </c>
      <c r="Z96" s="38">
        <v>1</v>
      </c>
      <c r="AA96" s="26">
        <v>0</v>
      </c>
      <c r="AB96" s="26">
        <v>0</v>
      </c>
      <c r="AC96" s="26" t="s">
        <v>70</v>
      </c>
      <c r="AD96" s="26" t="s">
        <v>70</v>
      </c>
      <c r="AE96" s="26" t="s">
        <v>70</v>
      </c>
      <c r="AF96" s="26" t="s">
        <v>70</v>
      </c>
      <c r="AG96" s="26" t="s">
        <v>70</v>
      </c>
      <c r="AH96" s="26" t="s">
        <v>70</v>
      </c>
      <c r="AI96" s="26" t="s">
        <v>70</v>
      </c>
      <c r="AJ96" s="26" t="s">
        <v>70</v>
      </c>
      <c r="AK96" s="26" t="s">
        <v>70</v>
      </c>
      <c r="AL96" s="26" t="s">
        <v>70</v>
      </c>
      <c r="AM96" s="35" t="s">
        <v>548</v>
      </c>
      <c r="AN96" s="26" t="s">
        <v>274</v>
      </c>
      <c r="AO96" s="35" t="s">
        <v>175</v>
      </c>
      <c r="AP96" s="35" t="s">
        <v>548</v>
      </c>
      <c r="AQ96" s="35" t="s">
        <v>548</v>
      </c>
      <c r="AR96" s="35" t="s">
        <v>548</v>
      </c>
      <c r="AS96" s="26" t="s">
        <v>175</v>
      </c>
      <c r="AT96" s="26" t="s">
        <v>70</v>
      </c>
      <c r="AU96" s="26" t="s">
        <v>70</v>
      </c>
      <c r="AV96" s="26">
        <v>10</v>
      </c>
    </row>
    <row r="97" spans="1:2089" s="65" customFormat="1" ht="14" customHeight="1">
      <c r="A97" s="27">
        <f t="shared" si="1"/>
        <v>96</v>
      </c>
      <c r="B97" s="27" t="s">
        <v>323</v>
      </c>
      <c r="C97" s="27">
        <v>2009</v>
      </c>
      <c r="D97" s="26" t="s">
        <v>13</v>
      </c>
      <c r="E97" s="26" t="s">
        <v>566</v>
      </c>
      <c r="F97" s="77" t="s">
        <v>175</v>
      </c>
      <c r="G97" s="2" t="s">
        <v>105</v>
      </c>
      <c r="H97" s="2" t="s">
        <v>30</v>
      </c>
      <c r="I97" s="2" t="s">
        <v>175</v>
      </c>
      <c r="J97" s="2" t="s">
        <v>604</v>
      </c>
      <c r="K97" s="2" t="s">
        <v>548</v>
      </c>
      <c r="L97" s="2" t="s">
        <v>548</v>
      </c>
      <c r="M97" s="2" t="s">
        <v>175</v>
      </c>
      <c r="N97" s="2" t="s">
        <v>70</v>
      </c>
      <c r="O97" s="2" t="s">
        <v>209</v>
      </c>
      <c r="P97" s="2" t="s">
        <v>61</v>
      </c>
      <c r="Q97" s="2" t="s">
        <v>42</v>
      </c>
      <c r="R97" s="102" t="s">
        <v>614</v>
      </c>
      <c r="S97" s="2">
        <v>0</v>
      </c>
      <c r="T97" s="26">
        <v>100</v>
      </c>
      <c r="U97" s="77">
        <v>1</v>
      </c>
      <c r="V97" s="26">
        <v>0</v>
      </c>
      <c r="W97" s="26">
        <v>1</v>
      </c>
      <c r="X97" s="26">
        <v>1</v>
      </c>
      <c r="Y97" s="26">
        <v>0</v>
      </c>
      <c r="Z97" s="26">
        <v>0</v>
      </c>
      <c r="AA97" s="26">
        <v>0</v>
      </c>
      <c r="AB97" s="26">
        <v>0</v>
      </c>
      <c r="AC97" s="26" t="s">
        <v>70</v>
      </c>
      <c r="AD97" s="26" t="s">
        <v>70</v>
      </c>
      <c r="AE97" s="26" t="s">
        <v>70</v>
      </c>
      <c r="AF97" s="26" t="s">
        <v>70</v>
      </c>
      <c r="AG97" s="26" t="s">
        <v>70</v>
      </c>
      <c r="AH97" s="26" t="s">
        <v>70</v>
      </c>
      <c r="AI97" s="26" t="s">
        <v>70</v>
      </c>
      <c r="AJ97" s="26" t="s">
        <v>70</v>
      </c>
      <c r="AK97" s="26" t="s">
        <v>70</v>
      </c>
      <c r="AL97" s="26" t="s">
        <v>70</v>
      </c>
      <c r="AM97" s="35" t="s">
        <v>548</v>
      </c>
      <c r="AN97" s="26" t="s">
        <v>274</v>
      </c>
      <c r="AO97" s="26" t="s">
        <v>548</v>
      </c>
      <c r="AP97" s="26" t="s">
        <v>548</v>
      </c>
      <c r="AQ97" s="26" t="s">
        <v>548</v>
      </c>
      <c r="AR97" s="26" t="s">
        <v>548</v>
      </c>
      <c r="AS97" s="26" t="s">
        <v>175</v>
      </c>
      <c r="AT97" s="26" t="s">
        <v>70</v>
      </c>
      <c r="AU97" s="26" t="s">
        <v>70</v>
      </c>
      <c r="AV97" s="26">
        <v>6</v>
      </c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6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  <c r="KO97" s="26"/>
      <c r="KP97" s="26"/>
      <c r="KQ97" s="26"/>
      <c r="KR97" s="26"/>
      <c r="KS97" s="26"/>
      <c r="KT97" s="26"/>
      <c r="KU97" s="26"/>
      <c r="KV97" s="26"/>
      <c r="KW97" s="26"/>
      <c r="KX97" s="26"/>
      <c r="KY97" s="26"/>
      <c r="KZ97" s="26"/>
      <c r="LA97" s="26"/>
      <c r="LB97" s="26"/>
      <c r="LC97" s="26"/>
      <c r="LD97" s="26"/>
      <c r="LE97" s="26"/>
      <c r="LF97" s="26"/>
      <c r="LG97" s="26"/>
      <c r="LH97" s="26"/>
      <c r="LI97" s="26"/>
      <c r="LJ97" s="26"/>
      <c r="LK97" s="26"/>
      <c r="LL97" s="26"/>
      <c r="LM97" s="26"/>
      <c r="LN97" s="26"/>
      <c r="LO97" s="26"/>
      <c r="LP97" s="26"/>
      <c r="LQ97" s="26"/>
      <c r="LR97" s="26"/>
      <c r="LS97" s="26"/>
      <c r="LT97" s="26"/>
      <c r="LU97" s="26"/>
      <c r="LV97" s="26"/>
      <c r="LW97" s="26"/>
      <c r="LX97" s="26"/>
      <c r="LY97" s="26"/>
      <c r="LZ97" s="26"/>
      <c r="MA97" s="26"/>
      <c r="MB97" s="26"/>
      <c r="MC97" s="26"/>
      <c r="MD97" s="26"/>
      <c r="ME97" s="26"/>
      <c r="MF97" s="26"/>
      <c r="MG97" s="26"/>
      <c r="MH97" s="26"/>
      <c r="MI97" s="26"/>
      <c r="MJ97" s="26"/>
      <c r="MK97" s="26"/>
      <c r="ML97" s="26"/>
      <c r="MM97" s="26"/>
      <c r="MN97" s="26"/>
      <c r="MO97" s="26"/>
      <c r="MP97" s="26"/>
      <c r="MQ97" s="26"/>
      <c r="MR97" s="26"/>
      <c r="MS97" s="26"/>
      <c r="MT97" s="26"/>
      <c r="MU97" s="26"/>
      <c r="MV97" s="26"/>
      <c r="MW97" s="26"/>
      <c r="MX97" s="26"/>
      <c r="MY97" s="26"/>
      <c r="MZ97" s="26"/>
      <c r="NA97" s="26"/>
      <c r="NB97" s="26"/>
      <c r="NC97" s="26"/>
      <c r="ND97" s="26"/>
      <c r="NE97" s="26"/>
      <c r="NF97" s="26"/>
      <c r="NG97" s="26"/>
      <c r="NH97" s="26"/>
      <c r="NI97" s="26"/>
      <c r="NJ97" s="26"/>
      <c r="NK97" s="26"/>
      <c r="NL97" s="26"/>
      <c r="NM97" s="26"/>
      <c r="NN97" s="26"/>
      <c r="NO97" s="26"/>
      <c r="NP97" s="26"/>
      <c r="NQ97" s="26"/>
      <c r="NR97" s="26"/>
      <c r="NS97" s="26"/>
      <c r="NT97" s="26"/>
      <c r="NU97" s="26"/>
      <c r="NV97" s="26"/>
      <c r="NW97" s="26"/>
      <c r="NX97" s="26"/>
      <c r="NY97" s="26"/>
      <c r="NZ97" s="26"/>
      <c r="OA97" s="26"/>
      <c r="OB97" s="26"/>
      <c r="OC97" s="26"/>
      <c r="OD97" s="26"/>
      <c r="OE97" s="26"/>
      <c r="OF97" s="26"/>
      <c r="OG97" s="26"/>
      <c r="OH97" s="26"/>
      <c r="OI97" s="26"/>
      <c r="OJ97" s="26"/>
      <c r="OK97" s="26"/>
      <c r="OL97" s="26"/>
      <c r="OM97" s="26"/>
      <c r="ON97" s="26"/>
      <c r="OO97" s="26"/>
      <c r="OP97" s="26"/>
      <c r="OQ97" s="26"/>
      <c r="OR97" s="26"/>
      <c r="OS97" s="26"/>
      <c r="OT97" s="26"/>
      <c r="OU97" s="26"/>
      <c r="OV97" s="26"/>
      <c r="OW97" s="26"/>
      <c r="OX97" s="26"/>
      <c r="OY97" s="26"/>
      <c r="OZ97" s="26"/>
      <c r="PA97" s="26"/>
      <c r="PB97" s="26"/>
      <c r="PC97" s="26"/>
      <c r="PD97" s="26"/>
      <c r="PE97" s="26"/>
      <c r="PF97" s="26"/>
      <c r="PG97" s="26"/>
      <c r="PH97" s="26"/>
      <c r="PI97" s="26"/>
      <c r="PJ97" s="26"/>
      <c r="PK97" s="26"/>
      <c r="PL97" s="26"/>
      <c r="PM97" s="26"/>
      <c r="PN97" s="26"/>
      <c r="PO97" s="26"/>
      <c r="PP97" s="26"/>
      <c r="PQ97" s="26"/>
      <c r="PR97" s="26"/>
      <c r="PS97" s="26"/>
      <c r="PT97" s="26"/>
      <c r="PU97" s="26"/>
      <c r="PV97" s="26"/>
      <c r="PW97" s="26"/>
      <c r="PX97" s="26"/>
      <c r="PY97" s="26"/>
      <c r="PZ97" s="26"/>
      <c r="QA97" s="26"/>
      <c r="QB97" s="26"/>
      <c r="QC97" s="26"/>
      <c r="QD97" s="26"/>
      <c r="QE97" s="26"/>
      <c r="QF97" s="26"/>
      <c r="QG97" s="26"/>
      <c r="QH97" s="26"/>
      <c r="QI97" s="26"/>
      <c r="QJ97" s="26"/>
      <c r="QK97" s="26"/>
      <c r="QL97" s="26"/>
      <c r="QM97" s="26"/>
      <c r="QN97" s="26"/>
      <c r="QO97" s="26"/>
      <c r="QP97" s="26"/>
      <c r="QQ97" s="26"/>
      <c r="QR97" s="26"/>
      <c r="QS97" s="26"/>
      <c r="QT97" s="26"/>
      <c r="QU97" s="26"/>
      <c r="QV97" s="26"/>
      <c r="QW97" s="26"/>
      <c r="QX97" s="26"/>
      <c r="QY97" s="26"/>
      <c r="QZ97" s="26"/>
      <c r="RA97" s="26"/>
      <c r="RB97" s="26"/>
      <c r="RC97" s="26"/>
      <c r="RD97" s="26"/>
      <c r="RE97" s="26"/>
      <c r="RF97" s="26"/>
      <c r="RG97" s="26"/>
      <c r="RH97" s="26"/>
      <c r="RI97" s="26"/>
      <c r="RJ97" s="26"/>
      <c r="RK97" s="26"/>
      <c r="RL97" s="26"/>
      <c r="RM97" s="26"/>
      <c r="RN97" s="26"/>
      <c r="RO97" s="26"/>
      <c r="RP97" s="26"/>
      <c r="RQ97" s="26"/>
      <c r="RR97" s="26"/>
      <c r="RS97" s="26"/>
      <c r="RT97" s="26"/>
      <c r="RU97" s="26"/>
      <c r="RV97" s="26"/>
      <c r="RW97" s="26"/>
      <c r="RX97" s="26"/>
      <c r="RY97" s="26"/>
      <c r="RZ97" s="26"/>
      <c r="SA97" s="26"/>
      <c r="SB97" s="26"/>
      <c r="SC97" s="26"/>
      <c r="SD97" s="26"/>
      <c r="SE97" s="26"/>
      <c r="SF97" s="26"/>
      <c r="SG97" s="26"/>
      <c r="SH97" s="26"/>
      <c r="SI97" s="26"/>
      <c r="SJ97" s="26"/>
      <c r="SK97" s="26"/>
      <c r="SL97" s="26"/>
      <c r="SM97" s="26"/>
      <c r="SN97" s="26"/>
      <c r="SO97" s="26"/>
      <c r="SP97" s="26"/>
      <c r="SQ97" s="26"/>
      <c r="SR97" s="26"/>
      <c r="SS97" s="26"/>
      <c r="ST97" s="26"/>
      <c r="SU97" s="26"/>
      <c r="SV97" s="26"/>
      <c r="SW97" s="26"/>
      <c r="SX97" s="26"/>
      <c r="SY97" s="26"/>
      <c r="SZ97" s="26"/>
      <c r="TA97" s="26"/>
      <c r="TB97" s="26"/>
      <c r="TC97" s="26"/>
      <c r="TD97" s="26"/>
      <c r="TE97" s="26"/>
      <c r="TF97" s="26"/>
      <c r="TG97" s="26"/>
      <c r="TH97" s="26"/>
      <c r="TI97" s="26"/>
      <c r="TJ97" s="26"/>
      <c r="TK97" s="26"/>
      <c r="TL97" s="26"/>
      <c r="TM97" s="26"/>
      <c r="TN97" s="26"/>
      <c r="TO97" s="26"/>
      <c r="TP97" s="26"/>
      <c r="TQ97" s="26"/>
      <c r="TR97" s="26"/>
      <c r="TS97" s="26"/>
      <c r="TT97" s="26"/>
      <c r="TU97" s="26"/>
      <c r="TV97" s="26"/>
      <c r="TW97" s="26"/>
      <c r="TX97" s="26"/>
      <c r="TY97" s="26"/>
      <c r="TZ97" s="26"/>
      <c r="UA97" s="26"/>
      <c r="UB97" s="26"/>
      <c r="UC97" s="26"/>
      <c r="UD97" s="26"/>
      <c r="UE97" s="26"/>
      <c r="UF97" s="26"/>
      <c r="UG97" s="26"/>
      <c r="UH97" s="26"/>
      <c r="UI97" s="26"/>
      <c r="UJ97" s="26"/>
      <c r="UK97" s="26"/>
      <c r="UL97" s="26"/>
      <c r="UM97" s="26"/>
      <c r="UN97" s="26"/>
      <c r="UO97" s="26"/>
      <c r="UP97" s="26"/>
      <c r="UQ97" s="26"/>
      <c r="UR97" s="26"/>
      <c r="US97" s="26"/>
      <c r="UT97" s="26"/>
      <c r="UU97" s="26"/>
      <c r="UV97" s="26"/>
      <c r="UW97" s="26"/>
      <c r="UX97" s="26"/>
      <c r="UY97" s="26"/>
      <c r="UZ97" s="26"/>
      <c r="VA97" s="26"/>
      <c r="VB97" s="26"/>
      <c r="VC97" s="26"/>
      <c r="VD97" s="26"/>
      <c r="VE97" s="26"/>
      <c r="VF97" s="26"/>
      <c r="VG97" s="26"/>
      <c r="VH97" s="26"/>
      <c r="VI97" s="26"/>
      <c r="VJ97" s="26"/>
      <c r="VK97" s="26"/>
      <c r="VL97" s="26"/>
      <c r="VM97" s="26"/>
      <c r="VN97" s="26"/>
      <c r="VO97" s="26"/>
      <c r="VP97" s="26"/>
      <c r="VQ97" s="26"/>
      <c r="VR97" s="26"/>
      <c r="VS97" s="26"/>
      <c r="VT97" s="26"/>
      <c r="VU97" s="26"/>
      <c r="VV97" s="26"/>
      <c r="VW97" s="26"/>
      <c r="VX97" s="26"/>
      <c r="VY97" s="26"/>
      <c r="VZ97" s="26"/>
      <c r="WA97" s="26"/>
      <c r="WB97" s="26"/>
      <c r="WC97" s="26"/>
      <c r="WD97" s="26"/>
      <c r="WE97" s="26"/>
      <c r="WF97" s="26"/>
      <c r="WG97" s="26"/>
      <c r="WH97" s="26"/>
      <c r="WI97" s="26"/>
      <c r="WJ97" s="26"/>
      <c r="WK97" s="26"/>
      <c r="WL97" s="26"/>
      <c r="WM97" s="26"/>
      <c r="WN97" s="26"/>
      <c r="WO97" s="26"/>
      <c r="WP97" s="26"/>
      <c r="WQ97" s="26"/>
      <c r="WR97" s="26"/>
      <c r="WS97" s="26"/>
      <c r="WT97" s="26"/>
      <c r="WU97" s="26"/>
      <c r="WV97" s="26"/>
      <c r="WW97" s="26"/>
      <c r="WX97" s="26"/>
      <c r="WY97" s="26"/>
      <c r="WZ97" s="26"/>
      <c r="XA97" s="26"/>
      <c r="XB97" s="26"/>
      <c r="XC97" s="26"/>
      <c r="XD97" s="26"/>
      <c r="XE97" s="26"/>
      <c r="XF97" s="26"/>
      <c r="XG97" s="26"/>
      <c r="XH97" s="26"/>
      <c r="XI97" s="26"/>
      <c r="XJ97" s="26"/>
      <c r="XK97" s="26"/>
      <c r="XL97" s="26"/>
      <c r="XM97" s="26"/>
      <c r="XN97" s="26"/>
      <c r="XO97" s="26"/>
      <c r="XP97" s="26"/>
      <c r="XQ97" s="26"/>
      <c r="XR97" s="26"/>
      <c r="XS97" s="26"/>
      <c r="XT97" s="26"/>
      <c r="XU97" s="26"/>
      <c r="XV97" s="26"/>
      <c r="XW97" s="26"/>
      <c r="XX97" s="26"/>
      <c r="XY97" s="26"/>
      <c r="XZ97" s="26"/>
      <c r="YA97" s="26"/>
      <c r="YB97" s="26"/>
      <c r="YC97" s="26"/>
      <c r="YD97" s="26"/>
      <c r="YE97" s="26"/>
      <c r="YF97" s="26"/>
      <c r="YG97" s="26"/>
      <c r="YH97" s="26"/>
      <c r="YI97" s="26"/>
      <c r="YJ97" s="26"/>
      <c r="YK97" s="26"/>
      <c r="YL97" s="26"/>
      <c r="YM97" s="26"/>
      <c r="YN97" s="26"/>
      <c r="YO97" s="26"/>
      <c r="YP97" s="26"/>
      <c r="YQ97" s="26"/>
      <c r="YR97" s="26"/>
      <c r="YS97" s="26"/>
      <c r="YT97" s="26"/>
      <c r="YU97" s="26"/>
      <c r="YV97" s="26"/>
      <c r="YW97" s="26"/>
      <c r="YX97" s="26"/>
      <c r="YY97" s="26"/>
      <c r="YZ97" s="26"/>
      <c r="ZA97" s="26"/>
      <c r="ZB97" s="26"/>
      <c r="ZC97" s="26"/>
      <c r="ZD97" s="26"/>
      <c r="ZE97" s="26"/>
      <c r="ZF97" s="26"/>
      <c r="ZG97" s="26"/>
      <c r="ZH97" s="26"/>
      <c r="ZI97" s="26"/>
      <c r="ZJ97" s="26"/>
      <c r="ZK97" s="26"/>
      <c r="ZL97" s="26"/>
      <c r="ZM97" s="26"/>
      <c r="ZN97" s="26"/>
      <c r="ZO97" s="26"/>
      <c r="ZP97" s="26"/>
      <c r="ZQ97" s="26"/>
      <c r="ZR97" s="26"/>
      <c r="ZS97" s="26"/>
      <c r="ZT97" s="26"/>
      <c r="ZU97" s="26"/>
      <c r="ZV97" s="26"/>
      <c r="ZW97" s="26"/>
      <c r="ZX97" s="26"/>
      <c r="ZY97" s="26"/>
      <c r="ZZ97" s="26"/>
      <c r="AAA97" s="26"/>
      <c r="AAB97" s="26"/>
      <c r="AAC97" s="26"/>
      <c r="AAD97" s="26"/>
      <c r="AAE97" s="26"/>
      <c r="AAF97" s="26"/>
      <c r="AAG97" s="26"/>
      <c r="AAH97" s="26"/>
      <c r="AAI97" s="26"/>
      <c r="AAJ97" s="26"/>
      <c r="AAK97" s="26"/>
      <c r="AAL97" s="26"/>
      <c r="AAM97" s="26"/>
      <c r="AAN97" s="26"/>
      <c r="AAO97" s="26"/>
      <c r="AAP97" s="26"/>
      <c r="AAQ97" s="26"/>
      <c r="AAR97" s="26"/>
      <c r="AAS97" s="26"/>
      <c r="AAT97" s="26"/>
      <c r="AAU97" s="26"/>
      <c r="AAV97" s="26"/>
      <c r="AAW97" s="26"/>
      <c r="AAX97" s="26"/>
      <c r="AAY97" s="26"/>
      <c r="AAZ97" s="26"/>
      <c r="ABA97" s="26"/>
      <c r="ABB97" s="26"/>
      <c r="ABC97" s="26"/>
      <c r="ABD97" s="26"/>
      <c r="ABE97" s="26"/>
      <c r="ABF97" s="26"/>
      <c r="ABG97" s="26"/>
      <c r="ABH97" s="26"/>
      <c r="ABI97" s="26"/>
      <c r="ABJ97" s="26"/>
      <c r="ABK97" s="26"/>
      <c r="ABL97" s="26"/>
      <c r="ABM97" s="26"/>
      <c r="ABN97" s="26"/>
      <c r="ABO97" s="26"/>
      <c r="ABP97" s="26"/>
      <c r="ABQ97" s="26"/>
      <c r="ABR97" s="26"/>
      <c r="ABS97" s="26"/>
      <c r="ABT97" s="26"/>
      <c r="ABU97" s="26"/>
      <c r="ABV97" s="26"/>
      <c r="ABW97" s="26"/>
      <c r="ABX97" s="26"/>
      <c r="ABY97" s="26"/>
      <c r="ABZ97" s="26"/>
      <c r="ACA97" s="26"/>
      <c r="ACB97" s="26"/>
      <c r="ACC97" s="26"/>
      <c r="ACD97" s="26"/>
      <c r="ACE97" s="26"/>
      <c r="ACF97" s="26"/>
      <c r="ACG97" s="26"/>
      <c r="ACH97" s="26"/>
      <c r="ACI97" s="26"/>
      <c r="ACJ97" s="26"/>
      <c r="ACK97" s="26"/>
      <c r="ACL97" s="26"/>
      <c r="ACM97" s="26"/>
      <c r="ACN97" s="26"/>
      <c r="ACO97" s="26"/>
      <c r="ACP97" s="26"/>
      <c r="ACQ97" s="26"/>
      <c r="ACR97" s="26"/>
      <c r="ACS97" s="26"/>
      <c r="ACT97" s="26"/>
      <c r="ACU97" s="26"/>
      <c r="ACV97" s="26"/>
      <c r="ACW97" s="26"/>
      <c r="ACX97" s="26"/>
      <c r="ACY97" s="26"/>
      <c r="ACZ97" s="26"/>
      <c r="ADA97" s="26"/>
      <c r="ADB97" s="26"/>
      <c r="ADC97" s="26"/>
      <c r="ADD97" s="26"/>
      <c r="ADE97" s="26"/>
      <c r="ADF97" s="26"/>
      <c r="ADG97" s="26"/>
      <c r="ADH97" s="26"/>
      <c r="ADI97" s="26"/>
      <c r="ADJ97" s="26"/>
      <c r="ADK97" s="26"/>
      <c r="ADL97" s="26"/>
      <c r="ADM97" s="26"/>
      <c r="ADN97" s="26"/>
      <c r="ADO97" s="26"/>
      <c r="ADP97" s="26"/>
      <c r="ADQ97" s="26"/>
      <c r="ADR97" s="26"/>
      <c r="ADS97" s="26"/>
      <c r="ADT97" s="26"/>
      <c r="ADU97" s="26"/>
      <c r="ADV97" s="26"/>
      <c r="ADW97" s="26"/>
      <c r="ADX97" s="26"/>
      <c r="ADY97" s="26"/>
      <c r="ADZ97" s="26"/>
      <c r="AEA97" s="26"/>
      <c r="AEB97" s="26"/>
      <c r="AEC97" s="26"/>
      <c r="AED97" s="26"/>
      <c r="AEE97" s="26"/>
      <c r="AEF97" s="26"/>
      <c r="AEG97" s="26"/>
      <c r="AEH97" s="26"/>
      <c r="AEI97" s="26"/>
      <c r="AEJ97" s="26"/>
      <c r="AEK97" s="26"/>
      <c r="AEL97" s="26"/>
      <c r="AEM97" s="26"/>
      <c r="AEN97" s="26"/>
      <c r="AEO97" s="26"/>
      <c r="AEP97" s="26"/>
      <c r="AEQ97" s="26"/>
      <c r="AER97" s="26"/>
      <c r="AES97" s="26"/>
      <c r="AET97" s="26"/>
      <c r="AEU97" s="26"/>
      <c r="AEV97" s="26"/>
      <c r="AEW97" s="26"/>
      <c r="AEX97" s="26"/>
      <c r="AEY97" s="26"/>
      <c r="AEZ97" s="26"/>
      <c r="AFA97" s="26"/>
      <c r="AFB97" s="26"/>
      <c r="AFC97" s="26"/>
      <c r="AFD97" s="26"/>
      <c r="AFE97" s="26"/>
      <c r="AFF97" s="26"/>
      <c r="AFG97" s="26"/>
      <c r="AFH97" s="26"/>
      <c r="AFI97" s="26"/>
      <c r="AFJ97" s="26"/>
      <c r="AFK97" s="26"/>
      <c r="AFL97" s="26"/>
      <c r="AFM97" s="26"/>
      <c r="AFN97" s="26"/>
      <c r="AFO97" s="26"/>
      <c r="AFP97" s="26"/>
      <c r="AFQ97" s="26"/>
      <c r="AFR97" s="26"/>
      <c r="AFS97" s="26"/>
      <c r="AFT97" s="26"/>
      <c r="AFU97" s="26"/>
      <c r="AFV97" s="26"/>
      <c r="AFW97" s="26"/>
      <c r="AFX97" s="26"/>
      <c r="AFY97" s="26"/>
      <c r="AFZ97" s="26"/>
      <c r="AGA97" s="26"/>
      <c r="AGB97" s="26"/>
      <c r="AGC97" s="26"/>
      <c r="AGD97" s="26"/>
      <c r="AGE97" s="26"/>
      <c r="AGF97" s="26"/>
      <c r="AGG97" s="26"/>
      <c r="AGH97" s="26"/>
      <c r="AGI97" s="26"/>
      <c r="AGJ97" s="26"/>
      <c r="AGK97" s="26"/>
      <c r="AGL97" s="26"/>
      <c r="AGM97" s="26"/>
      <c r="AGN97" s="26"/>
      <c r="AGO97" s="26"/>
      <c r="AGP97" s="26"/>
      <c r="AGQ97" s="26"/>
      <c r="AGR97" s="26"/>
      <c r="AGS97" s="26"/>
      <c r="AGT97" s="26"/>
      <c r="AGU97" s="26"/>
      <c r="AGV97" s="26"/>
      <c r="AGW97" s="26"/>
      <c r="AGX97" s="26"/>
      <c r="AGY97" s="26"/>
      <c r="AGZ97" s="26"/>
      <c r="AHA97" s="26"/>
      <c r="AHB97" s="26"/>
      <c r="AHC97" s="26"/>
      <c r="AHD97" s="26"/>
      <c r="AHE97" s="26"/>
      <c r="AHF97" s="26"/>
      <c r="AHG97" s="26"/>
      <c r="AHH97" s="26"/>
      <c r="AHI97" s="26"/>
      <c r="AHJ97" s="26"/>
      <c r="AHK97" s="26"/>
      <c r="AHL97" s="26"/>
      <c r="AHM97" s="26"/>
      <c r="AHN97" s="26"/>
      <c r="AHO97" s="26"/>
      <c r="AHP97" s="26"/>
      <c r="AHQ97" s="26"/>
      <c r="AHR97" s="26"/>
      <c r="AHS97" s="26"/>
      <c r="AHT97" s="26"/>
      <c r="AHU97" s="26"/>
      <c r="AHV97" s="26"/>
      <c r="AHW97" s="26"/>
      <c r="AHX97" s="26"/>
      <c r="AHY97" s="26"/>
      <c r="AHZ97" s="26"/>
      <c r="AIA97" s="26"/>
      <c r="AIB97" s="26"/>
      <c r="AIC97" s="26"/>
      <c r="AID97" s="26"/>
      <c r="AIE97" s="26"/>
      <c r="AIF97" s="26"/>
      <c r="AIG97" s="26"/>
      <c r="AIH97" s="26"/>
      <c r="AII97" s="26"/>
      <c r="AIJ97" s="26"/>
      <c r="AIK97" s="26"/>
      <c r="AIL97" s="26"/>
      <c r="AIM97" s="26"/>
      <c r="AIN97" s="26"/>
      <c r="AIO97" s="26"/>
      <c r="AIP97" s="26"/>
      <c r="AIQ97" s="26"/>
      <c r="AIR97" s="26"/>
      <c r="AIS97" s="26"/>
      <c r="AIT97" s="26"/>
      <c r="AIU97" s="26"/>
      <c r="AIV97" s="26"/>
      <c r="AIW97" s="26"/>
      <c r="AIX97" s="26"/>
      <c r="AIY97" s="26"/>
      <c r="AIZ97" s="26"/>
      <c r="AJA97" s="26"/>
      <c r="AJB97" s="26"/>
      <c r="AJC97" s="26"/>
      <c r="AJD97" s="26"/>
      <c r="AJE97" s="26"/>
      <c r="AJF97" s="26"/>
      <c r="AJG97" s="26"/>
      <c r="AJH97" s="26"/>
      <c r="AJI97" s="26"/>
      <c r="AJJ97" s="26"/>
      <c r="AJK97" s="26"/>
      <c r="AJL97" s="26"/>
      <c r="AJM97" s="26"/>
      <c r="AJN97" s="26"/>
      <c r="AJO97" s="26"/>
      <c r="AJP97" s="26"/>
      <c r="AJQ97" s="26"/>
      <c r="AJR97" s="26"/>
      <c r="AJS97" s="26"/>
      <c r="AJT97" s="26"/>
      <c r="AJU97" s="26"/>
      <c r="AJV97" s="26"/>
      <c r="AJW97" s="26"/>
      <c r="AJX97" s="26"/>
      <c r="AJY97" s="26"/>
      <c r="AJZ97" s="26"/>
      <c r="AKA97" s="26"/>
      <c r="AKB97" s="26"/>
      <c r="AKC97" s="26"/>
      <c r="AKD97" s="26"/>
      <c r="AKE97" s="26"/>
      <c r="AKF97" s="26"/>
      <c r="AKG97" s="26"/>
      <c r="AKH97" s="26"/>
      <c r="AKI97" s="26"/>
      <c r="AKJ97" s="26"/>
      <c r="AKK97" s="26"/>
      <c r="AKL97" s="26"/>
      <c r="AKM97" s="26"/>
      <c r="AKN97" s="26"/>
      <c r="AKO97" s="26"/>
      <c r="AKP97" s="26"/>
      <c r="AKQ97" s="26"/>
      <c r="AKR97" s="26"/>
      <c r="AKS97" s="26"/>
      <c r="AKT97" s="26"/>
      <c r="AKU97" s="26"/>
      <c r="AKV97" s="26"/>
      <c r="AKW97" s="26"/>
      <c r="AKX97" s="26"/>
      <c r="AKY97" s="26"/>
      <c r="AKZ97" s="26"/>
      <c r="ALA97" s="26"/>
      <c r="ALB97" s="26"/>
      <c r="ALC97" s="26"/>
      <c r="ALD97" s="26"/>
      <c r="ALE97" s="26"/>
      <c r="ALF97" s="26"/>
      <c r="ALG97" s="26"/>
      <c r="ALH97" s="26"/>
      <c r="ALI97" s="26"/>
      <c r="ALJ97" s="26"/>
      <c r="ALK97" s="26"/>
      <c r="ALL97" s="26"/>
      <c r="ALM97" s="26"/>
      <c r="ALN97" s="26"/>
      <c r="ALO97" s="26"/>
      <c r="ALP97" s="26"/>
      <c r="ALQ97" s="26"/>
      <c r="ALR97" s="26"/>
      <c r="ALS97" s="26"/>
      <c r="ALT97" s="26"/>
      <c r="ALU97" s="26"/>
      <c r="ALV97" s="26"/>
      <c r="ALW97" s="26"/>
      <c r="ALX97" s="26"/>
      <c r="ALY97" s="26"/>
      <c r="ALZ97" s="26"/>
      <c r="AMA97" s="26"/>
      <c r="AMB97" s="26"/>
      <c r="AMC97" s="26"/>
      <c r="AMD97" s="26"/>
      <c r="AME97" s="26"/>
      <c r="AMF97" s="26"/>
      <c r="AMG97" s="26"/>
      <c r="AMH97" s="26"/>
      <c r="AMI97" s="26"/>
      <c r="AMJ97" s="26"/>
      <c r="AMK97" s="26"/>
      <c r="AML97" s="26"/>
      <c r="AMM97" s="26"/>
      <c r="AMN97" s="26"/>
      <c r="AMO97" s="26"/>
      <c r="AMP97" s="26"/>
      <c r="AMQ97" s="26"/>
      <c r="AMR97" s="26"/>
      <c r="AMS97" s="26"/>
      <c r="AMT97" s="26"/>
      <c r="AMU97" s="26"/>
      <c r="AMV97" s="26"/>
      <c r="AMW97" s="26"/>
      <c r="AMX97" s="26"/>
      <c r="AMY97" s="26"/>
      <c r="AMZ97" s="26"/>
      <c r="ANA97" s="26"/>
      <c r="ANB97" s="26"/>
      <c r="ANC97" s="26"/>
      <c r="AND97" s="26"/>
      <c r="ANE97" s="26"/>
      <c r="ANF97" s="26"/>
      <c r="ANG97" s="26"/>
      <c r="ANH97" s="26"/>
      <c r="ANI97" s="26"/>
      <c r="ANJ97" s="26"/>
      <c r="ANK97" s="26"/>
      <c r="ANL97" s="26"/>
      <c r="ANM97" s="26"/>
      <c r="ANN97" s="26"/>
      <c r="ANO97" s="26"/>
      <c r="ANP97" s="26"/>
      <c r="ANQ97" s="26"/>
      <c r="ANR97" s="26"/>
      <c r="ANS97" s="26"/>
      <c r="ANT97" s="26"/>
      <c r="ANU97" s="26"/>
      <c r="ANV97" s="26"/>
      <c r="ANW97" s="26"/>
      <c r="ANX97" s="26"/>
      <c r="ANY97" s="26"/>
      <c r="ANZ97" s="26"/>
      <c r="AOA97" s="26"/>
      <c r="AOB97" s="26"/>
      <c r="AOC97" s="26"/>
      <c r="AOD97" s="26"/>
      <c r="AOE97" s="26"/>
      <c r="AOF97" s="26"/>
      <c r="AOG97" s="26"/>
      <c r="AOH97" s="26"/>
      <c r="AOI97" s="26"/>
      <c r="AOJ97" s="26"/>
      <c r="AOK97" s="26"/>
      <c r="AOL97" s="26"/>
      <c r="AOM97" s="26"/>
      <c r="AON97" s="26"/>
      <c r="AOO97" s="26"/>
      <c r="AOP97" s="26"/>
      <c r="AOQ97" s="26"/>
      <c r="AOR97" s="26"/>
      <c r="AOS97" s="26"/>
      <c r="AOT97" s="26"/>
      <c r="AOU97" s="26"/>
      <c r="AOV97" s="26"/>
      <c r="AOW97" s="26"/>
      <c r="AOX97" s="26"/>
      <c r="AOY97" s="26"/>
      <c r="AOZ97" s="26"/>
      <c r="APA97" s="26"/>
      <c r="APB97" s="26"/>
      <c r="APC97" s="26"/>
      <c r="APD97" s="26"/>
      <c r="APE97" s="26"/>
      <c r="APF97" s="26"/>
      <c r="APG97" s="26"/>
      <c r="APH97" s="26"/>
      <c r="API97" s="26"/>
      <c r="APJ97" s="26"/>
      <c r="APK97" s="26"/>
      <c r="APL97" s="26"/>
      <c r="APM97" s="26"/>
      <c r="APN97" s="26"/>
      <c r="APO97" s="26"/>
      <c r="APP97" s="26"/>
      <c r="APQ97" s="26"/>
      <c r="APR97" s="26"/>
      <c r="APS97" s="26"/>
      <c r="APT97" s="26"/>
      <c r="APU97" s="26"/>
      <c r="APV97" s="26"/>
      <c r="APW97" s="26"/>
      <c r="APX97" s="26"/>
      <c r="APY97" s="26"/>
      <c r="APZ97" s="26"/>
      <c r="AQA97" s="26"/>
      <c r="AQB97" s="26"/>
      <c r="AQC97" s="26"/>
      <c r="AQD97" s="26"/>
      <c r="AQE97" s="26"/>
      <c r="AQF97" s="26"/>
      <c r="AQG97" s="26"/>
      <c r="AQH97" s="26"/>
      <c r="AQI97" s="26"/>
      <c r="AQJ97" s="26"/>
      <c r="AQK97" s="26"/>
      <c r="AQL97" s="26"/>
      <c r="AQM97" s="26"/>
      <c r="AQN97" s="26"/>
      <c r="AQO97" s="26"/>
      <c r="AQP97" s="26"/>
      <c r="AQQ97" s="26"/>
      <c r="AQR97" s="26"/>
      <c r="AQS97" s="26"/>
      <c r="AQT97" s="26"/>
      <c r="AQU97" s="26"/>
      <c r="AQV97" s="26"/>
      <c r="AQW97" s="26"/>
      <c r="AQX97" s="26"/>
      <c r="AQY97" s="26"/>
      <c r="AQZ97" s="26"/>
      <c r="ARA97" s="26"/>
      <c r="ARB97" s="26"/>
      <c r="ARC97" s="26"/>
      <c r="ARD97" s="26"/>
      <c r="ARE97" s="26"/>
      <c r="ARF97" s="26"/>
      <c r="ARG97" s="26"/>
      <c r="ARH97" s="26"/>
      <c r="ARI97" s="26"/>
      <c r="ARJ97" s="26"/>
      <c r="ARK97" s="26"/>
      <c r="ARL97" s="26"/>
      <c r="ARM97" s="26"/>
      <c r="ARN97" s="26"/>
      <c r="ARO97" s="26"/>
      <c r="ARP97" s="26"/>
      <c r="ARQ97" s="26"/>
      <c r="ARR97" s="26"/>
      <c r="ARS97" s="26"/>
      <c r="ART97" s="26"/>
      <c r="ARU97" s="26"/>
      <c r="ARV97" s="26"/>
      <c r="ARW97" s="26"/>
      <c r="ARX97" s="26"/>
      <c r="ARY97" s="26"/>
      <c r="ARZ97" s="26"/>
      <c r="ASA97" s="26"/>
      <c r="ASB97" s="26"/>
      <c r="ASC97" s="26"/>
      <c r="ASD97" s="26"/>
      <c r="ASE97" s="26"/>
      <c r="ASF97" s="26"/>
      <c r="ASG97" s="26"/>
      <c r="ASH97" s="26"/>
      <c r="ASI97" s="26"/>
      <c r="ASJ97" s="26"/>
      <c r="ASK97" s="26"/>
      <c r="ASL97" s="26"/>
      <c r="ASM97" s="26"/>
      <c r="ASN97" s="26"/>
      <c r="ASO97" s="26"/>
      <c r="ASP97" s="26"/>
      <c r="ASQ97" s="26"/>
      <c r="ASR97" s="26"/>
      <c r="ASS97" s="26"/>
      <c r="AST97" s="26"/>
      <c r="ASU97" s="26"/>
      <c r="ASV97" s="26"/>
      <c r="ASW97" s="26"/>
      <c r="ASX97" s="26"/>
      <c r="ASY97" s="26"/>
      <c r="ASZ97" s="26"/>
      <c r="ATA97" s="26"/>
      <c r="ATB97" s="26"/>
      <c r="ATC97" s="26"/>
      <c r="ATD97" s="26"/>
      <c r="ATE97" s="26"/>
      <c r="ATF97" s="26"/>
      <c r="ATG97" s="26"/>
      <c r="ATH97" s="26"/>
      <c r="ATI97" s="26"/>
      <c r="ATJ97" s="26"/>
      <c r="ATK97" s="26"/>
      <c r="ATL97" s="26"/>
      <c r="ATM97" s="26"/>
      <c r="ATN97" s="26"/>
      <c r="ATO97" s="26"/>
      <c r="ATP97" s="26"/>
      <c r="ATQ97" s="26"/>
      <c r="ATR97" s="26"/>
      <c r="ATS97" s="26"/>
      <c r="ATT97" s="26"/>
      <c r="ATU97" s="26"/>
      <c r="ATV97" s="26"/>
      <c r="ATW97" s="26"/>
      <c r="ATX97" s="26"/>
      <c r="ATY97" s="26"/>
      <c r="ATZ97" s="26"/>
      <c r="AUA97" s="26"/>
      <c r="AUB97" s="26"/>
      <c r="AUC97" s="26"/>
      <c r="AUD97" s="26"/>
      <c r="AUE97" s="26"/>
      <c r="AUF97" s="26"/>
      <c r="AUG97" s="26"/>
      <c r="AUH97" s="26"/>
      <c r="AUI97" s="26"/>
      <c r="AUJ97" s="26"/>
      <c r="AUK97" s="26"/>
      <c r="AUL97" s="26"/>
      <c r="AUM97" s="26"/>
      <c r="AUN97" s="26"/>
      <c r="AUO97" s="26"/>
      <c r="AUP97" s="26"/>
      <c r="AUQ97" s="26"/>
      <c r="AUR97" s="26"/>
      <c r="AUS97" s="26"/>
      <c r="AUT97" s="26"/>
      <c r="AUU97" s="26"/>
      <c r="AUV97" s="26"/>
      <c r="AUW97" s="26"/>
      <c r="AUX97" s="26"/>
      <c r="AUY97" s="26"/>
      <c r="AUZ97" s="26"/>
      <c r="AVA97" s="26"/>
      <c r="AVB97" s="26"/>
      <c r="AVC97" s="26"/>
      <c r="AVD97" s="26"/>
      <c r="AVE97" s="26"/>
      <c r="AVF97" s="26"/>
      <c r="AVG97" s="26"/>
      <c r="AVH97" s="26"/>
      <c r="AVI97" s="26"/>
      <c r="AVJ97" s="26"/>
      <c r="AVK97" s="26"/>
      <c r="AVL97" s="26"/>
      <c r="AVM97" s="26"/>
      <c r="AVN97" s="26"/>
      <c r="AVO97" s="26"/>
      <c r="AVP97" s="26"/>
      <c r="AVQ97" s="26"/>
      <c r="AVR97" s="26"/>
      <c r="AVS97" s="26"/>
      <c r="AVT97" s="26"/>
      <c r="AVU97" s="26"/>
      <c r="AVV97" s="26"/>
      <c r="AVW97" s="26"/>
      <c r="AVX97" s="26"/>
      <c r="AVY97" s="26"/>
      <c r="AVZ97" s="26"/>
      <c r="AWA97" s="26"/>
      <c r="AWB97" s="26"/>
      <c r="AWC97" s="26"/>
      <c r="AWD97" s="26"/>
      <c r="AWE97" s="26"/>
      <c r="AWF97" s="26"/>
      <c r="AWG97" s="26"/>
      <c r="AWH97" s="26"/>
      <c r="AWI97" s="26"/>
      <c r="AWJ97" s="26"/>
      <c r="AWK97" s="26"/>
      <c r="AWL97" s="26"/>
      <c r="AWM97" s="26"/>
      <c r="AWN97" s="26"/>
      <c r="AWO97" s="26"/>
      <c r="AWP97" s="26"/>
      <c r="AWQ97" s="26"/>
      <c r="AWR97" s="26"/>
      <c r="AWS97" s="26"/>
      <c r="AWT97" s="26"/>
      <c r="AWU97" s="26"/>
      <c r="AWV97" s="26"/>
      <c r="AWW97" s="26"/>
      <c r="AWX97" s="26"/>
      <c r="AWY97" s="26"/>
      <c r="AWZ97" s="26"/>
      <c r="AXA97" s="26"/>
      <c r="AXB97" s="26"/>
      <c r="AXC97" s="26"/>
      <c r="AXD97" s="26"/>
      <c r="AXE97" s="26"/>
      <c r="AXF97" s="26"/>
      <c r="AXG97" s="26"/>
      <c r="AXH97" s="26"/>
      <c r="AXI97" s="26"/>
      <c r="AXJ97" s="26"/>
      <c r="AXK97" s="26"/>
      <c r="AXL97" s="26"/>
      <c r="AXM97" s="26"/>
      <c r="AXN97" s="26"/>
      <c r="AXO97" s="26"/>
      <c r="AXP97" s="26"/>
      <c r="AXQ97" s="26"/>
      <c r="AXR97" s="26"/>
      <c r="AXS97" s="26"/>
      <c r="AXT97" s="26"/>
      <c r="AXU97" s="26"/>
      <c r="AXV97" s="26"/>
      <c r="AXW97" s="26"/>
      <c r="AXX97" s="26"/>
      <c r="AXY97" s="26"/>
      <c r="AXZ97" s="26"/>
      <c r="AYA97" s="26"/>
      <c r="AYB97" s="26"/>
      <c r="AYC97" s="26"/>
      <c r="AYD97" s="26"/>
      <c r="AYE97" s="26"/>
      <c r="AYF97" s="26"/>
      <c r="AYG97" s="26"/>
      <c r="AYH97" s="26"/>
      <c r="AYI97" s="26"/>
      <c r="AYJ97" s="26"/>
      <c r="AYK97" s="26"/>
      <c r="AYL97" s="26"/>
      <c r="AYM97" s="26"/>
      <c r="AYN97" s="26"/>
      <c r="AYO97" s="26"/>
      <c r="AYP97" s="26"/>
      <c r="AYQ97" s="26"/>
      <c r="AYR97" s="26"/>
      <c r="AYS97" s="26"/>
      <c r="AYT97" s="26"/>
      <c r="AYU97" s="26"/>
      <c r="AYV97" s="26"/>
      <c r="AYW97" s="26"/>
      <c r="AYX97" s="26"/>
      <c r="AYY97" s="26"/>
      <c r="AYZ97" s="26"/>
      <c r="AZA97" s="26"/>
      <c r="AZB97" s="26"/>
      <c r="AZC97" s="26"/>
      <c r="AZD97" s="26"/>
      <c r="AZE97" s="26"/>
      <c r="AZF97" s="26"/>
      <c r="AZG97" s="26"/>
      <c r="AZH97" s="26"/>
      <c r="AZI97" s="26"/>
      <c r="AZJ97" s="26"/>
      <c r="AZK97" s="26"/>
      <c r="AZL97" s="26"/>
      <c r="AZM97" s="26"/>
      <c r="AZN97" s="26"/>
      <c r="AZO97" s="26"/>
      <c r="AZP97" s="26"/>
      <c r="AZQ97" s="26"/>
      <c r="AZR97" s="26"/>
      <c r="AZS97" s="26"/>
      <c r="AZT97" s="26"/>
      <c r="AZU97" s="26"/>
      <c r="AZV97" s="26"/>
      <c r="AZW97" s="26"/>
      <c r="AZX97" s="26"/>
      <c r="AZY97" s="26"/>
      <c r="AZZ97" s="26"/>
      <c r="BAA97" s="26"/>
      <c r="BAB97" s="26"/>
      <c r="BAC97" s="26"/>
      <c r="BAD97" s="26"/>
      <c r="BAE97" s="26"/>
      <c r="BAF97" s="26"/>
      <c r="BAG97" s="26"/>
      <c r="BAH97" s="26"/>
      <c r="BAI97" s="26"/>
      <c r="BAJ97" s="26"/>
      <c r="BAK97" s="26"/>
      <c r="BAL97" s="26"/>
      <c r="BAM97" s="26"/>
      <c r="BAN97" s="26"/>
      <c r="BAO97" s="26"/>
      <c r="BAP97" s="26"/>
      <c r="BAQ97" s="26"/>
      <c r="BAR97" s="26"/>
      <c r="BAS97" s="26"/>
      <c r="BAT97" s="26"/>
      <c r="BAU97" s="26"/>
      <c r="BAV97" s="26"/>
      <c r="BAW97" s="26"/>
      <c r="BAX97" s="26"/>
      <c r="BAY97" s="26"/>
      <c r="BAZ97" s="26"/>
      <c r="BBA97" s="26"/>
      <c r="BBB97" s="26"/>
      <c r="BBC97" s="26"/>
      <c r="BBD97" s="26"/>
      <c r="BBE97" s="26"/>
      <c r="BBF97" s="26"/>
      <c r="BBG97" s="26"/>
      <c r="BBH97" s="26"/>
      <c r="BBI97" s="26"/>
      <c r="BBJ97" s="26"/>
      <c r="BBK97" s="26"/>
      <c r="BBL97" s="26"/>
      <c r="BBM97" s="26"/>
      <c r="BBN97" s="26"/>
      <c r="BBO97" s="26"/>
      <c r="BBP97" s="26"/>
      <c r="BBQ97" s="26"/>
      <c r="BBR97" s="26"/>
      <c r="BBS97" s="26"/>
      <c r="BBT97" s="26"/>
      <c r="BBU97" s="26"/>
      <c r="BBV97" s="26"/>
      <c r="BBW97" s="26"/>
      <c r="BBX97" s="26"/>
      <c r="BBY97" s="26"/>
      <c r="BBZ97" s="26"/>
      <c r="BCA97" s="26"/>
      <c r="BCB97" s="26"/>
      <c r="BCC97" s="26"/>
      <c r="BCD97" s="26"/>
      <c r="BCE97" s="26"/>
      <c r="BCF97" s="26"/>
      <c r="BCG97" s="26"/>
      <c r="BCH97" s="26"/>
      <c r="BCI97" s="26"/>
      <c r="BCJ97" s="26"/>
      <c r="BCK97" s="26"/>
      <c r="BCL97" s="26"/>
      <c r="BCM97" s="26"/>
      <c r="BCN97" s="26"/>
      <c r="BCO97" s="26"/>
      <c r="BCP97" s="26"/>
      <c r="BCQ97" s="26"/>
      <c r="BCR97" s="26"/>
      <c r="BCS97" s="26"/>
      <c r="BCT97" s="26"/>
      <c r="BCU97" s="26"/>
      <c r="BCV97" s="26"/>
      <c r="BCW97" s="26"/>
      <c r="BCX97" s="26"/>
      <c r="BCY97" s="26"/>
      <c r="BCZ97" s="26"/>
      <c r="BDA97" s="26"/>
      <c r="BDB97" s="26"/>
      <c r="BDC97" s="26"/>
      <c r="BDD97" s="26"/>
      <c r="BDE97" s="26"/>
      <c r="BDF97" s="26"/>
      <c r="BDG97" s="26"/>
      <c r="BDH97" s="26"/>
      <c r="BDI97" s="26"/>
      <c r="BDJ97" s="26"/>
      <c r="BDK97" s="26"/>
      <c r="BDL97" s="26"/>
      <c r="BDM97" s="26"/>
      <c r="BDN97" s="26"/>
      <c r="BDO97" s="26"/>
      <c r="BDP97" s="26"/>
      <c r="BDQ97" s="26"/>
      <c r="BDR97" s="26"/>
      <c r="BDS97" s="26"/>
      <c r="BDT97" s="26"/>
      <c r="BDU97" s="26"/>
      <c r="BDV97" s="26"/>
      <c r="BDW97" s="26"/>
      <c r="BDX97" s="26"/>
      <c r="BDY97" s="26"/>
      <c r="BDZ97" s="26"/>
      <c r="BEA97" s="26"/>
      <c r="BEB97" s="26"/>
      <c r="BEC97" s="26"/>
      <c r="BED97" s="26"/>
      <c r="BEE97" s="26"/>
      <c r="BEF97" s="26"/>
      <c r="BEG97" s="26"/>
      <c r="BEH97" s="26"/>
      <c r="BEI97" s="26"/>
      <c r="BEJ97" s="26"/>
      <c r="BEK97" s="26"/>
      <c r="BEL97" s="26"/>
      <c r="BEM97" s="26"/>
      <c r="BEN97" s="26"/>
      <c r="BEO97" s="26"/>
      <c r="BEP97" s="26"/>
      <c r="BEQ97" s="26"/>
      <c r="BER97" s="26"/>
      <c r="BES97" s="26"/>
      <c r="BET97" s="26"/>
      <c r="BEU97" s="26"/>
      <c r="BEV97" s="26"/>
      <c r="BEW97" s="26"/>
      <c r="BEX97" s="26"/>
      <c r="BEY97" s="26"/>
      <c r="BEZ97" s="26"/>
      <c r="BFA97" s="26"/>
      <c r="BFB97" s="26"/>
      <c r="BFC97" s="26"/>
      <c r="BFD97" s="26"/>
      <c r="BFE97" s="26"/>
      <c r="BFF97" s="26"/>
      <c r="BFG97" s="26"/>
      <c r="BFH97" s="26"/>
      <c r="BFI97" s="26"/>
      <c r="BFJ97" s="26"/>
      <c r="BFK97" s="26"/>
      <c r="BFL97" s="26"/>
      <c r="BFM97" s="26"/>
      <c r="BFN97" s="26"/>
      <c r="BFO97" s="26"/>
      <c r="BFP97" s="26"/>
      <c r="BFQ97" s="26"/>
      <c r="BFR97" s="26"/>
      <c r="BFS97" s="26"/>
      <c r="BFT97" s="26"/>
      <c r="BFU97" s="26"/>
      <c r="BFV97" s="26"/>
      <c r="BFW97" s="26"/>
      <c r="BFX97" s="26"/>
      <c r="BFY97" s="26"/>
      <c r="BFZ97" s="26"/>
      <c r="BGA97" s="26"/>
      <c r="BGB97" s="26"/>
      <c r="BGC97" s="26"/>
      <c r="BGD97" s="26"/>
      <c r="BGE97" s="26"/>
      <c r="BGF97" s="26"/>
      <c r="BGG97" s="26"/>
      <c r="BGH97" s="26"/>
      <c r="BGI97" s="26"/>
      <c r="BGJ97" s="26"/>
      <c r="BGK97" s="26"/>
      <c r="BGL97" s="26"/>
      <c r="BGM97" s="26"/>
      <c r="BGN97" s="26"/>
      <c r="BGO97" s="26"/>
      <c r="BGP97" s="26"/>
      <c r="BGQ97" s="26"/>
      <c r="BGR97" s="26"/>
      <c r="BGS97" s="26"/>
      <c r="BGT97" s="26"/>
      <c r="BGU97" s="26"/>
      <c r="BGV97" s="26"/>
      <c r="BGW97" s="26"/>
      <c r="BGX97" s="26"/>
      <c r="BGY97" s="26"/>
      <c r="BGZ97" s="26"/>
      <c r="BHA97" s="26"/>
      <c r="BHB97" s="26"/>
      <c r="BHC97" s="26"/>
      <c r="BHD97" s="26"/>
      <c r="BHE97" s="26"/>
      <c r="BHF97" s="26"/>
      <c r="BHG97" s="26"/>
      <c r="BHH97" s="26"/>
      <c r="BHI97" s="26"/>
      <c r="BHJ97" s="26"/>
      <c r="BHK97" s="26"/>
      <c r="BHL97" s="26"/>
      <c r="BHM97" s="26"/>
      <c r="BHN97" s="26"/>
      <c r="BHO97" s="26"/>
      <c r="BHP97" s="26"/>
      <c r="BHQ97" s="26"/>
      <c r="BHR97" s="26"/>
      <c r="BHS97" s="26"/>
      <c r="BHT97" s="26"/>
      <c r="BHU97" s="26"/>
      <c r="BHV97" s="26"/>
      <c r="BHW97" s="26"/>
      <c r="BHX97" s="26"/>
      <c r="BHY97" s="26"/>
      <c r="BHZ97" s="26"/>
      <c r="BIA97" s="26"/>
      <c r="BIB97" s="26"/>
      <c r="BIC97" s="26"/>
      <c r="BID97" s="26"/>
      <c r="BIE97" s="26"/>
      <c r="BIF97" s="26"/>
      <c r="BIG97" s="26"/>
      <c r="BIH97" s="26"/>
      <c r="BII97" s="26"/>
      <c r="BIJ97" s="26"/>
      <c r="BIK97" s="26"/>
      <c r="BIL97" s="26"/>
      <c r="BIM97" s="26"/>
      <c r="BIN97" s="26"/>
      <c r="BIO97" s="26"/>
      <c r="BIP97" s="26"/>
      <c r="BIQ97" s="26"/>
      <c r="BIR97" s="26"/>
      <c r="BIS97" s="26"/>
      <c r="BIT97" s="26"/>
      <c r="BIU97" s="26"/>
      <c r="BIV97" s="26"/>
      <c r="BIW97" s="26"/>
      <c r="BIX97" s="26"/>
      <c r="BIY97" s="26"/>
      <c r="BIZ97" s="26"/>
      <c r="BJA97" s="26"/>
      <c r="BJB97" s="26"/>
      <c r="BJC97" s="26"/>
      <c r="BJD97" s="26"/>
      <c r="BJE97" s="26"/>
      <c r="BJF97" s="26"/>
      <c r="BJG97" s="26"/>
      <c r="BJH97" s="26"/>
      <c r="BJI97" s="26"/>
      <c r="BJJ97" s="26"/>
      <c r="BJK97" s="26"/>
      <c r="BJL97" s="26"/>
      <c r="BJM97" s="26"/>
      <c r="BJN97" s="26"/>
      <c r="BJO97" s="26"/>
      <c r="BJP97" s="26"/>
      <c r="BJQ97" s="26"/>
      <c r="BJR97" s="26"/>
      <c r="BJS97" s="26"/>
      <c r="BJT97" s="26"/>
      <c r="BJU97" s="26"/>
      <c r="BJV97" s="26"/>
      <c r="BJW97" s="26"/>
      <c r="BJX97" s="26"/>
      <c r="BJY97" s="26"/>
      <c r="BJZ97" s="26"/>
      <c r="BKA97" s="26"/>
      <c r="BKB97" s="26"/>
      <c r="BKC97" s="26"/>
      <c r="BKD97" s="26"/>
      <c r="BKE97" s="26"/>
      <c r="BKF97" s="26"/>
      <c r="BKG97" s="26"/>
      <c r="BKH97" s="26"/>
      <c r="BKI97" s="26"/>
      <c r="BKJ97" s="26"/>
      <c r="BKK97" s="26"/>
      <c r="BKL97" s="26"/>
      <c r="BKM97" s="26"/>
      <c r="BKN97" s="26"/>
      <c r="BKO97" s="26"/>
      <c r="BKP97" s="26"/>
      <c r="BKQ97" s="26"/>
      <c r="BKR97" s="26"/>
      <c r="BKS97" s="26"/>
      <c r="BKT97" s="26"/>
      <c r="BKU97" s="26"/>
      <c r="BKV97" s="26"/>
      <c r="BKW97" s="26"/>
      <c r="BKX97" s="26"/>
      <c r="BKY97" s="26"/>
      <c r="BKZ97" s="26"/>
      <c r="BLA97" s="26"/>
      <c r="BLB97" s="26"/>
      <c r="BLC97" s="26"/>
      <c r="BLD97" s="26"/>
      <c r="BLE97" s="26"/>
      <c r="BLF97" s="26"/>
      <c r="BLG97" s="26"/>
      <c r="BLH97" s="26"/>
      <c r="BLI97" s="26"/>
      <c r="BLJ97" s="26"/>
      <c r="BLK97" s="26"/>
      <c r="BLL97" s="26"/>
      <c r="BLM97" s="26"/>
      <c r="BLN97" s="26"/>
      <c r="BLO97" s="26"/>
      <c r="BLP97" s="26"/>
      <c r="BLQ97" s="26"/>
      <c r="BLR97" s="26"/>
      <c r="BLS97" s="26"/>
      <c r="BLT97" s="26"/>
      <c r="BLU97" s="26"/>
      <c r="BLV97" s="26"/>
      <c r="BLW97" s="26"/>
      <c r="BLX97" s="26"/>
      <c r="BLY97" s="26"/>
      <c r="BLZ97" s="26"/>
      <c r="BMA97" s="26"/>
      <c r="BMB97" s="26"/>
      <c r="BMC97" s="26"/>
      <c r="BMD97" s="26"/>
      <c r="BME97" s="26"/>
      <c r="BMF97" s="26"/>
      <c r="BMG97" s="26"/>
      <c r="BMH97" s="26"/>
      <c r="BMI97" s="26"/>
      <c r="BMJ97" s="26"/>
      <c r="BMK97" s="26"/>
      <c r="BML97" s="26"/>
      <c r="BMM97" s="26"/>
      <c r="BMN97" s="26"/>
      <c r="BMO97" s="26"/>
      <c r="BMP97" s="26"/>
      <c r="BMQ97" s="26"/>
      <c r="BMR97" s="26"/>
      <c r="BMS97" s="26"/>
      <c r="BMT97" s="26"/>
      <c r="BMU97" s="26"/>
      <c r="BMV97" s="26"/>
      <c r="BMW97" s="26"/>
      <c r="BMX97" s="26"/>
      <c r="BMY97" s="26"/>
      <c r="BMZ97" s="26"/>
      <c r="BNA97" s="26"/>
      <c r="BNB97" s="26"/>
      <c r="BNC97" s="26"/>
      <c r="BND97" s="26"/>
      <c r="BNE97" s="26"/>
      <c r="BNF97" s="26"/>
      <c r="BNG97" s="26"/>
      <c r="BNH97" s="26"/>
      <c r="BNI97" s="26"/>
      <c r="BNJ97" s="26"/>
      <c r="BNK97" s="26"/>
      <c r="BNL97" s="26"/>
      <c r="BNM97" s="26"/>
      <c r="BNN97" s="26"/>
      <c r="BNO97" s="26"/>
      <c r="BNP97" s="26"/>
      <c r="BNQ97" s="26"/>
      <c r="BNR97" s="26"/>
      <c r="BNS97" s="26"/>
      <c r="BNT97" s="26"/>
      <c r="BNU97" s="26"/>
      <c r="BNV97" s="26"/>
      <c r="BNW97" s="26"/>
      <c r="BNX97" s="26"/>
      <c r="BNY97" s="26"/>
      <c r="BNZ97" s="26"/>
      <c r="BOA97" s="26"/>
      <c r="BOB97" s="26"/>
      <c r="BOC97" s="26"/>
      <c r="BOD97" s="26"/>
      <c r="BOE97" s="26"/>
      <c r="BOF97" s="26"/>
      <c r="BOG97" s="26"/>
      <c r="BOH97" s="26"/>
      <c r="BOI97" s="26"/>
      <c r="BOJ97" s="26"/>
      <c r="BOK97" s="26"/>
      <c r="BOL97" s="26"/>
      <c r="BOM97" s="26"/>
      <c r="BON97" s="26"/>
      <c r="BOO97" s="26"/>
      <c r="BOP97" s="26"/>
      <c r="BOQ97" s="26"/>
      <c r="BOR97" s="26"/>
      <c r="BOS97" s="26"/>
      <c r="BOT97" s="26"/>
      <c r="BOU97" s="26"/>
      <c r="BOV97" s="26"/>
      <c r="BOW97" s="26"/>
      <c r="BOX97" s="26"/>
      <c r="BOY97" s="26"/>
      <c r="BOZ97" s="26"/>
      <c r="BPA97" s="26"/>
      <c r="BPB97" s="26"/>
      <c r="BPC97" s="26"/>
      <c r="BPD97" s="26"/>
      <c r="BPE97" s="26"/>
      <c r="BPF97" s="26"/>
      <c r="BPG97" s="26"/>
      <c r="BPH97" s="26"/>
      <c r="BPI97" s="26"/>
      <c r="BPJ97" s="26"/>
      <c r="BPK97" s="26"/>
      <c r="BPL97" s="26"/>
      <c r="BPM97" s="26"/>
      <c r="BPN97" s="26"/>
      <c r="BPO97" s="26"/>
      <c r="BPP97" s="26"/>
      <c r="BPQ97" s="26"/>
      <c r="BPR97" s="26"/>
      <c r="BPS97" s="26"/>
      <c r="BPT97" s="26"/>
      <c r="BPU97" s="26"/>
      <c r="BPV97" s="26"/>
      <c r="BPW97" s="26"/>
      <c r="BPX97" s="26"/>
      <c r="BPY97" s="26"/>
      <c r="BPZ97" s="26"/>
      <c r="BQA97" s="26"/>
      <c r="BQB97" s="26"/>
      <c r="BQC97" s="26"/>
      <c r="BQD97" s="26"/>
      <c r="BQE97" s="26"/>
      <c r="BQF97" s="26"/>
      <c r="BQG97" s="26"/>
      <c r="BQH97" s="26"/>
      <c r="BQI97" s="26"/>
      <c r="BQJ97" s="26"/>
      <c r="BQK97" s="26"/>
      <c r="BQL97" s="26"/>
      <c r="BQM97" s="26"/>
      <c r="BQN97" s="26"/>
      <c r="BQO97" s="26"/>
      <c r="BQP97" s="26"/>
      <c r="BQQ97" s="26"/>
      <c r="BQR97" s="26"/>
      <c r="BQS97" s="26"/>
      <c r="BQT97" s="26"/>
      <c r="BQU97" s="26"/>
      <c r="BQV97" s="26"/>
      <c r="BQW97" s="26"/>
      <c r="BQX97" s="26"/>
      <c r="BQY97" s="26"/>
      <c r="BQZ97" s="26"/>
      <c r="BRA97" s="26"/>
      <c r="BRB97" s="26"/>
      <c r="BRC97" s="26"/>
      <c r="BRD97" s="26"/>
      <c r="BRE97" s="26"/>
      <c r="BRF97" s="26"/>
      <c r="BRG97" s="26"/>
      <c r="BRH97" s="26"/>
      <c r="BRI97" s="26"/>
      <c r="BRJ97" s="26"/>
      <c r="BRK97" s="26"/>
      <c r="BRL97" s="26"/>
      <c r="BRM97" s="26"/>
      <c r="BRN97" s="26"/>
      <c r="BRO97" s="26"/>
      <c r="BRP97" s="26"/>
      <c r="BRQ97" s="26"/>
      <c r="BRR97" s="26"/>
      <c r="BRS97" s="26"/>
      <c r="BRT97" s="26"/>
      <c r="BRU97" s="26"/>
      <c r="BRV97" s="26"/>
      <c r="BRW97" s="26"/>
      <c r="BRX97" s="26"/>
      <c r="BRY97" s="26"/>
      <c r="BRZ97" s="26"/>
      <c r="BSA97" s="26"/>
      <c r="BSB97" s="26"/>
      <c r="BSC97" s="26"/>
      <c r="BSD97" s="26"/>
      <c r="BSE97" s="26"/>
      <c r="BSF97" s="26"/>
      <c r="BSG97" s="26"/>
      <c r="BSH97" s="26"/>
      <c r="BSI97" s="26"/>
      <c r="BSJ97" s="26"/>
      <c r="BSK97" s="26"/>
      <c r="BSL97" s="26"/>
      <c r="BSM97" s="26"/>
      <c r="BSN97" s="26"/>
      <c r="BSO97" s="26"/>
      <c r="BSP97" s="26"/>
      <c r="BSQ97" s="26"/>
      <c r="BSR97" s="26"/>
      <c r="BSS97" s="26"/>
      <c r="BST97" s="26"/>
      <c r="BSU97" s="26"/>
      <c r="BSV97" s="26"/>
      <c r="BSW97" s="26"/>
      <c r="BSX97" s="26"/>
      <c r="BSY97" s="26"/>
      <c r="BSZ97" s="26"/>
      <c r="BTA97" s="26"/>
      <c r="BTB97" s="26"/>
      <c r="BTC97" s="26"/>
      <c r="BTD97" s="26"/>
      <c r="BTE97" s="26"/>
      <c r="BTF97" s="26"/>
      <c r="BTG97" s="26"/>
      <c r="BTH97" s="26"/>
      <c r="BTI97" s="26"/>
      <c r="BTJ97" s="26"/>
      <c r="BTK97" s="26"/>
      <c r="BTL97" s="26"/>
      <c r="BTM97" s="26"/>
      <c r="BTN97" s="26"/>
      <c r="BTO97" s="26"/>
      <c r="BTP97" s="26"/>
      <c r="BTQ97" s="26"/>
      <c r="BTR97" s="26"/>
      <c r="BTS97" s="26"/>
      <c r="BTT97" s="26"/>
      <c r="BTU97" s="26"/>
      <c r="BTV97" s="26"/>
      <c r="BTW97" s="26"/>
      <c r="BTX97" s="26"/>
      <c r="BTY97" s="26"/>
      <c r="BTZ97" s="26"/>
      <c r="BUA97" s="26"/>
      <c r="BUB97" s="26"/>
      <c r="BUC97" s="26"/>
      <c r="BUD97" s="26"/>
      <c r="BUE97" s="26"/>
      <c r="BUF97" s="26"/>
      <c r="BUG97" s="26"/>
      <c r="BUH97" s="26"/>
      <c r="BUI97" s="26"/>
      <c r="BUJ97" s="26"/>
      <c r="BUK97" s="26"/>
      <c r="BUL97" s="26"/>
      <c r="BUM97" s="26"/>
      <c r="BUN97" s="26"/>
      <c r="BUO97" s="26"/>
      <c r="BUP97" s="26"/>
      <c r="BUQ97" s="26"/>
      <c r="BUR97" s="26"/>
      <c r="BUS97" s="26"/>
      <c r="BUT97" s="26"/>
      <c r="BUU97" s="26"/>
      <c r="BUV97" s="26"/>
      <c r="BUW97" s="26"/>
      <c r="BUX97" s="26"/>
      <c r="BUY97" s="26"/>
      <c r="BUZ97" s="26"/>
      <c r="BVA97" s="26"/>
      <c r="BVB97" s="26"/>
      <c r="BVC97" s="26"/>
      <c r="BVD97" s="26"/>
      <c r="BVE97" s="26"/>
      <c r="BVF97" s="26"/>
      <c r="BVG97" s="26"/>
      <c r="BVH97" s="26"/>
      <c r="BVI97" s="26"/>
      <c r="BVJ97" s="26"/>
      <c r="BVK97" s="26"/>
      <c r="BVL97" s="26"/>
      <c r="BVM97" s="26"/>
      <c r="BVN97" s="26"/>
      <c r="BVO97" s="26"/>
      <c r="BVP97" s="26"/>
      <c r="BVQ97" s="26"/>
      <c r="BVR97" s="26"/>
      <c r="BVS97" s="26"/>
      <c r="BVT97" s="26"/>
      <c r="BVU97" s="26"/>
      <c r="BVV97" s="26"/>
      <c r="BVW97" s="26"/>
      <c r="BVX97" s="26"/>
      <c r="BVY97" s="26"/>
      <c r="BVZ97" s="26"/>
      <c r="BWA97" s="26"/>
      <c r="BWB97" s="26"/>
      <c r="BWC97" s="26"/>
      <c r="BWD97" s="26"/>
      <c r="BWE97" s="26"/>
      <c r="BWF97" s="26"/>
      <c r="BWG97" s="26"/>
      <c r="BWH97" s="26"/>
      <c r="BWI97" s="26"/>
      <c r="BWJ97" s="26"/>
      <c r="BWK97" s="26"/>
      <c r="BWL97" s="26"/>
      <c r="BWM97" s="26"/>
      <c r="BWN97" s="26"/>
      <c r="BWO97" s="26"/>
      <c r="BWP97" s="26"/>
      <c r="BWQ97" s="26"/>
      <c r="BWR97" s="26"/>
      <c r="BWS97" s="26"/>
      <c r="BWT97" s="26"/>
      <c r="BWU97" s="26"/>
      <c r="BWV97" s="26"/>
      <c r="BWW97" s="26"/>
      <c r="BWX97" s="26"/>
      <c r="BWY97" s="26"/>
      <c r="BWZ97" s="26"/>
      <c r="BXA97" s="26"/>
      <c r="BXB97" s="26"/>
      <c r="BXC97" s="26"/>
      <c r="BXD97" s="26"/>
      <c r="BXE97" s="26"/>
      <c r="BXF97" s="26"/>
      <c r="BXG97" s="26"/>
      <c r="BXH97" s="26"/>
      <c r="BXI97" s="26"/>
      <c r="BXJ97" s="26"/>
      <c r="BXK97" s="26"/>
      <c r="BXL97" s="26"/>
      <c r="BXM97" s="26"/>
      <c r="BXN97" s="26"/>
      <c r="BXO97" s="26"/>
      <c r="BXP97" s="26"/>
      <c r="BXQ97" s="26"/>
      <c r="BXR97" s="26"/>
      <c r="BXS97" s="26"/>
      <c r="BXT97" s="26"/>
      <c r="BXU97" s="26"/>
      <c r="BXV97" s="26"/>
      <c r="BXW97" s="26"/>
      <c r="BXX97" s="26"/>
      <c r="BXY97" s="26"/>
      <c r="BXZ97" s="26"/>
      <c r="BYA97" s="26"/>
      <c r="BYB97" s="26"/>
      <c r="BYC97" s="26"/>
      <c r="BYD97" s="26"/>
      <c r="BYE97" s="26"/>
      <c r="BYF97" s="26"/>
      <c r="BYG97" s="26"/>
      <c r="BYH97" s="26"/>
      <c r="BYI97" s="26"/>
      <c r="BYJ97" s="26"/>
      <c r="BYK97" s="26"/>
      <c r="BYL97" s="26"/>
      <c r="BYM97" s="26"/>
      <c r="BYN97" s="26"/>
      <c r="BYO97" s="26"/>
      <c r="BYP97" s="26"/>
      <c r="BYQ97" s="26"/>
      <c r="BYR97" s="26"/>
      <c r="BYS97" s="26"/>
      <c r="BYT97" s="26"/>
      <c r="BYU97" s="26"/>
      <c r="BYV97" s="26"/>
      <c r="BYW97" s="26"/>
      <c r="BYX97" s="26"/>
      <c r="BYY97" s="26"/>
      <c r="BYZ97" s="26"/>
      <c r="BZA97" s="26"/>
      <c r="BZB97" s="26"/>
      <c r="BZC97" s="26"/>
      <c r="BZD97" s="26"/>
      <c r="BZE97" s="26"/>
      <c r="BZF97" s="26"/>
      <c r="BZG97" s="26"/>
      <c r="BZH97" s="26"/>
      <c r="BZI97" s="26"/>
      <c r="BZJ97" s="26"/>
      <c r="BZK97" s="26"/>
      <c r="BZL97" s="26"/>
      <c r="BZM97" s="26"/>
      <c r="BZN97" s="26"/>
      <c r="BZO97" s="26"/>
      <c r="BZP97" s="26"/>
      <c r="BZQ97" s="26"/>
      <c r="BZR97" s="26"/>
      <c r="BZS97" s="26"/>
      <c r="BZT97" s="26"/>
      <c r="BZU97" s="26"/>
      <c r="BZV97" s="26"/>
      <c r="BZW97" s="26"/>
      <c r="BZX97" s="26"/>
      <c r="BZY97" s="26"/>
      <c r="BZZ97" s="26"/>
      <c r="CAA97" s="26"/>
      <c r="CAB97" s="26"/>
      <c r="CAC97" s="26"/>
      <c r="CAD97" s="26"/>
      <c r="CAE97" s="26"/>
      <c r="CAF97" s="26"/>
      <c r="CAG97" s="26"/>
      <c r="CAH97" s="26"/>
      <c r="CAI97" s="26"/>
      <c r="CAJ97" s="26"/>
      <c r="CAK97" s="26"/>
      <c r="CAL97" s="26"/>
      <c r="CAM97" s="26"/>
      <c r="CAN97" s="26"/>
      <c r="CAO97" s="26"/>
      <c r="CAP97" s="26"/>
      <c r="CAQ97" s="26"/>
      <c r="CAR97" s="26"/>
      <c r="CAS97" s="26"/>
      <c r="CAT97" s="26"/>
      <c r="CAU97" s="26"/>
      <c r="CAV97" s="26"/>
      <c r="CAW97" s="26"/>
      <c r="CAX97" s="26"/>
      <c r="CAY97" s="26"/>
      <c r="CAZ97" s="26"/>
      <c r="CBA97" s="26"/>
      <c r="CBB97" s="26"/>
      <c r="CBC97" s="26"/>
      <c r="CBD97" s="26"/>
      <c r="CBE97" s="26"/>
      <c r="CBF97" s="26"/>
      <c r="CBG97" s="26"/>
      <c r="CBH97" s="26"/>
      <c r="CBI97" s="26"/>
    </row>
    <row r="98" spans="1:2089" ht="14" customHeight="1">
      <c r="A98" s="27">
        <f t="shared" si="1"/>
        <v>97</v>
      </c>
      <c r="B98" s="27" t="s">
        <v>324</v>
      </c>
      <c r="C98" s="27">
        <v>2011</v>
      </c>
      <c r="D98" s="26" t="s">
        <v>47</v>
      </c>
      <c r="E98" s="26" t="s">
        <v>566</v>
      </c>
      <c r="F98" s="77" t="s">
        <v>548</v>
      </c>
      <c r="G98" s="2" t="s">
        <v>147</v>
      </c>
      <c r="H98" s="2" t="s">
        <v>275</v>
      </c>
      <c r="I98" s="2" t="s">
        <v>548</v>
      </c>
      <c r="J98" s="2" t="s">
        <v>604</v>
      </c>
      <c r="K98" s="2" t="s">
        <v>548</v>
      </c>
      <c r="L98" s="2" t="s">
        <v>548</v>
      </c>
      <c r="M98" s="2" t="s">
        <v>548</v>
      </c>
      <c r="N98" s="2" t="s">
        <v>608</v>
      </c>
      <c r="O98" s="2" t="s">
        <v>43</v>
      </c>
      <c r="P98" s="2" t="s">
        <v>608</v>
      </c>
      <c r="Q98" s="2" t="s">
        <v>42</v>
      </c>
      <c r="R98" s="79" t="s">
        <v>613</v>
      </c>
      <c r="S98" s="88">
        <v>0.66700000000000004</v>
      </c>
      <c r="T98" s="26">
        <v>42</v>
      </c>
      <c r="U98" s="77">
        <v>0</v>
      </c>
      <c r="V98" s="26">
        <v>0</v>
      </c>
      <c r="W98" s="26">
        <v>1</v>
      </c>
      <c r="X98" s="26">
        <v>1</v>
      </c>
      <c r="Y98" s="26">
        <v>0</v>
      </c>
      <c r="Z98" s="26">
        <v>0</v>
      </c>
      <c r="AA98" s="26">
        <v>0</v>
      </c>
      <c r="AB98" s="26">
        <v>0</v>
      </c>
      <c r="AC98" s="26">
        <v>0.33300000000000002</v>
      </c>
      <c r="AD98" s="26">
        <f>(61.9-33.3)/100</f>
        <v>0.28600000000000003</v>
      </c>
      <c r="AE98" s="26">
        <v>0.309</v>
      </c>
      <c r="AF98" s="26">
        <v>7.1999999999999995E-2</v>
      </c>
      <c r="AG98" s="33">
        <v>55</v>
      </c>
      <c r="AH98" s="33" t="s">
        <v>70</v>
      </c>
      <c r="AI98" s="33" t="s">
        <v>70</v>
      </c>
      <c r="AJ98" s="26" t="s">
        <v>112</v>
      </c>
      <c r="AK98" s="33" t="s">
        <v>70</v>
      </c>
      <c r="AL98" s="33" t="s">
        <v>70</v>
      </c>
      <c r="AM98" s="35" t="s">
        <v>175</v>
      </c>
      <c r="AN98" s="32" t="s">
        <v>9</v>
      </c>
      <c r="AO98" s="35" t="s">
        <v>548</v>
      </c>
      <c r="AP98" s="35" t="s">
        <v>548</v>
      </c>
      <c r="AQ98" s="35" t="s">
        <v>548</v>
      </c>
      <c r="AR98" s="35" t="s">
        <v>548</v>
      </c>
      <c r="AS98" s="26" t="s">
        <v>175</v>
      </c>
      <c r="AT98" s="26" t="s">
        <v>70</v>
      </c>
      <c r="AU98" s="26" t="s">
        <v>70</v>
      </c>
      <c r="AV98" s="26">
        <v>4</v>
      </c>
    </row>
    <row r="99" spans="1:2089" ht="14" customHeight="1">
      <c r="A99" s="27">
        <f t="shared" si="1"/>
        <v>98</v>
      </c>
      <c r="B99" s="27" t="s">
        <v>584</v>
      </c>
      <c r="C99" s="27">
        <v>2005</v>
      </c>
      <c r="D99" s="27" t="s">
        <v>69</v>
      </c>
      <c r="E99" s="26" t="s">
        <v>565</v>
      </c>
      <c r="F99" s="77" t="s">
        <v>175</v>
      </c>
      <c r="G99" s="2" t="s">
        <v>106</v>
      </c>
      <c r="H99" s="2" t="s">
        <v>30</v>
      </c>
      <c r="I99" s="2" t="s">
        <v>548</v>
      </c>
      <c r="J99" s="2" t="s">
        <v>603</v>
      </c>
      <c r="K99" s="2" t="s">
        <v>175</v>
      </c>
      <c r="L99" s="2" t="s">
        <v>175</v>
      </c>
      <c r="M99" s="2" t="s">
        <v>175</v>
      </c>
      <c r="N99" s="2" t="s">
        <v>62</v>
      </c>
      <c r="O99" s="2" t="s">
        <v>43</v>
      </c>
      <c r="P99" s="2" t="s">
        <v>62</v>
      </c>
      <c r="Q99" s="26" t="s">
        <v>606</v>
      </c>
      <c r="R99" s="79" t="s">
        <v>613</v>
      </c>
      <c r="S99" s="2">
        <f>12/T99</f>
        <v>0.12631578947368421</v>
      </c>
      <c r="T99" s="26">
        <v>95</v>
      </c>
      <c r="U99" s="77">
        <v>1</v>
      </c>
      <c r="V99" s="26">
        <v>0</v>
      </c>
      <c r="W99" s="26">
        <v>1</v>
      </c>
      <c r="X99" s="26">
        <v>1</v>
      </c>
      <c r="Y99" s="26">
        <v>1</v>
      </c>
      <c r="Z99" s="26">
        <v>1</v>
      </c>
      <c r="AA99" s="26">
        <v>0</v>
      </c>
      <c r="AB99" s="26">
        <v>0</v>
      </c>
      <c r="AC99" s="33" t="s">
        <v>70</v>
      </c>
      <c r="AD99" s="33" t="s">
        <v>70</v>
      </c>
      <c r="AE99" s="33" t="s">
        <v>70</v>
      </c>
      <c r="AF99" s="33" t="s">
        <v>70</v>
      </c>
      <c r="AG99" s="33" t="s">
        <v>70</v>
      </c>
      <c r="AH99" s="33" t="s">
        <v>70</v>
      </c>
      <c r="AI99" s="33">
        <v>0.5</v>
      </c>
      <c r="AJ99" s="33" t="s">
        <v>70</v>
      </c>
      <c r="AK99" s="33" t="s">
        <v>70</v>
      </c>
      <c r="AL99" s="33" t="s">
        <v>70</v>
      </c>
      <c r="AM99" s="35" t="s">
        <v>175</v>
      </c>
      <c r="AN99" s="26" t="s">
        <v>617</v>
      </c>
      <c r="AO99" s="35" t="s">
        <v>175</v>
      </c>
      <c r="AP99" s="35" t="s">
        <v>548</v>
      </c>
      <c r="AQ99" s="35" t="s">
        <v>548</v>
      </c>
      <c r="AR99" s="35" t="s">
        <v>548</v>
      </c>
      <c r="AS99" s="26" t="s">
        <v>175</v>
      </c>
      <c r="AT99" s="26" t="s">
        <v>70</v>
      </c>
      <c r="AU99" s="26" t="s">
        <v>70</v>
      </c>
      <c r="AV99" s="26">
        <v>10</v>
      </c>
    </row>
    <row r="100" spans="1:2089" ht="14" customHeight="1">
      <c r="A100" s="27">
        <f t="shared" si="1"/>
        <v>99</v>
      </c>
      <c r="B100" s="27" t="s">
        <v>584</v>
      </c>
      <c r="C100" s="27">
        <v>2005</v>
      </c>
      <c r="D100" s="27" t="s">
        <v>69</v>
      </c>
      <c r="E100" s="26" t="s">
        <v>565</v>
      </c>
      <c r="F100" s="77" t="s">
        <v>175</v>
      </c>
      <c r="G100" s="2" t="s">
        <v>106</v>
      </c>
      <c r="H100" s="2" t="s">
        <v>30</v>
      </c>
      <c r="I100" s="2" t="s">
        <v>548</v>
      </c>
      <c r="J100" s="2" t="s">
        <v>603</v>
      </c>
      <c r="K100" s="2" t="s">
        <v>175</v>
      </c>
      <c r="L100" s="2" t="s">
        <v>175</v>
      </c>
      <c r="M100" s="2" t="s">
        <v>175</v>
      </c>
      <c r="N100" s="2" t="s">
        <v>62</v>
      </c>
      <c r="O100" s="2" t="s">
        <v>43</v>
      </c>
      <c r="P100" s="2" t="s">
        <v>621</v>
      </c>
      <c r="Q100" s="2" t="s">
        <v>42</v>
      </c>
      <c r="R100" s="79" t="s">
        <v>613</v>
      </c>
      <c r="S100" s="2">
        <f>(36+19)/T100</f>
        <v>0.57894736842105265</v>
      </c>
      <c r="T100" s="26">
        <v>95</v>
      </c>
      <c r="U100" s="77">
        <v>1</v>
      </c>
      <c r="V100" s="26">
        <v>0</v>
      </c>
      <c r="W100" s="26">
        <v>1</v>
      </c>
      <c r="X100" s="26">
        <v>1</v>
      </c>
      <c r="Y100" s="26">
        <v>1</v>
      </c>
      <c r="Z100" s="26">
        <v>1</v>
      </c>
      <c r="AA100" s="26">
        <v>0</v>
      </c>
      <c r="AB100" s="26">
        <v>0</v>
      </c>
      <c r="AC100" s="33" t="s">
        <v>70</v>
      </c>
      <c r="AD100" s="33" t="s">
        <v>70</v>
      </c>
      <c r="AE100" s="33" t="s">
        <v>70</v>
      </c>
      <c r="AF100" s="33" t="s">
        <v>70</v>
      </c>
      <c r="AG100" s="33" t="s">
        <v>70</v>
      </c>
      <c r="AH100" s="33" t="s">
        <v>70</v>
      </c>
      <c r="AI100" s="33">
        <f>(388+86)/2</f>
        <v>237</v>
      </c>
      <c r="AJ100" s="33" t="s">
        <v>70</v>
      </c>
      <c r="AK100" s="33" t="s">
        <v>70</v>
      </c>
      <c r="AL100" s="33" t="s">
        <v>70</v>
      </c>
      <c r="AM100" s="35" t="s">
        <v>175</v>
      </c>
      <c r="AN100" s="26" t="s">
        <v>617</v>
      </c>
      <c r="AO100" s="35" t="s">
        <v>175</v>
      </c>
      <c r="AP100" s="35" t="s">
        <v>548</v>
      </c>
      <c r="AQ100" s="35" t="s">
        <v>548</v>
      </c>
      <c r="AR100" s="35" t="s">
        <v>548</v>
      </c>
      <c r="AS100" s="26" t="s">
        <v>175</v>
      </c>
      <c r="AT100" s="26" t="s">
        <v>70</v>
      </c>
      <c r="AU100" s="26" t="s">
        <v>70</v>
      </c>
      <c r="AV100" s="26">
        <v>10</v>
      </c>
    </row>
    <row r="101" spans="1:2089" ht="14" customHeight="1">
      <c r="A101" s="27">
        <f t="shared" si="1"/>
        <v>100</v>
      </c>
      <c r="B101" s="27" t="s">
        <v>325</v>
      </c>
      <c r="C101" s="37">
        <v>2010</v>
      </c>
      <c r="D101" s="26" t="s">
        <v>69</v>
      </c>
      <c r="E101" s="26" t="s">
        <v>565</v>
      </c>
      <c r="F101" s="77" t="s">
        <v>175</v>
      </c>
      <c r="G101" s="2" t="s">
        <v>106</v>
      </c>
      <c r="H101" s="2" t="s">
        <v>30</v>
      </c>
      <c r="I101" s="2" t="s">
        <v>548</v>
      </c>
      <c r="J101" s="2" t="s">
        <v>604</v>
      </c>
      <c r="K101" s="2" t="s">
        <v>548</v>
      </c>
      <c r="L101" s="2" t="s">
        <v>548</v>
      </c>
      <c r="M101" s="2" t="s">
        <v>175</v>
      </c>
      <c r="N101" s="2" t="s">
        <v>62</v>
      </c>
      <c r="O101" s="2" t="s">
        <v>43</v>
      </c>
      <c r="P101" s="2" t="s">
        <v>62</v>
      </c>
      <c r="Q101" s="26" t="s">
        <v>606</v>
      </c>
      <c r="R101" s="79" t="s">
        <v>613</v>
      </c>
      <c r="S101" s="88">
        <v>0.42499999999999999</v>
      </c>
      <c r="T101" s="26">
        <v>40</v>
      </c>
      <c r="U101" s="77">
        <v>1</v>
      </c>
      <c r="V101" s="26">
        <v>0</v>
      </c>
      <c r="W101" s="26">
        <v>1</v>
      </c>
      <c r="X101" s="26">
        <v>1</v>
      </c>
      <c r="Y101" s="26">
        <v>1</v>
      </c>
      <c r="Z101" s="26">
        <v>0</v>
      </c>
      <c r="AA101" s="26">
        <v>0</v>
      </c>
      <c r="AB101" s="26">
        <v>0</v>
      </c>
      <c r="AC101" s="26" t="s">
        <v>70</v>
      </c>
      <c r="AD101" s="26" t="s">
        <v>70</v>
      </c>
      <c r="AE101" s="26" t="s">
        <v>70</v>
      </c>
      <c r="AF101" s="26" t="s">
        <v>70</v>
      </c>
      <c r="AG101" s="33" t="s">
        <v>70</v>
      </c>
      <c r="AH101" s="33" t="s">
        <v>70</v>
      </c>
      <c r="AI101" s="33" t="s">
        <v>70</v>
      </c>
      <c r="AJ101" s="26" t="s">
        <v>70</v>
      </c>
      <c r="AK101" s="33" t="s">
        <v>70</v>
      </c>
      <c r="AL101" s="33" t="s">
        <v>70</v>
      </c>
      <c r="AM101" s="35" t="s">
        <v>175</v>
      </c>
      <c r="AN101" s="26" t="s">
        <v>274</v>
      </c>
      <c r="AO101" s="35" t="s">
        <v>548</v>
      </c>
      <c r="AP101" s="35" t="s">
        <v>548</v>
      </c>
      <c r="AQ101" s="35" t="s">
        <v>548</v>
      </c>
      <c r="AR101" s="35" t="s">
        <v>175</v>
      </c>
      <c r="AS101" s="26" t="s">
        <v>175</v>
      </c>
      <c r="AT101" s="26" t="s">
        <v>70</v>
      </c>
      <c r="AU101" s="26" t="s">
        <v>70</v>
      </c>
      <c r="AV101" s="26">
        <v>7</v>
      </c>
    </row>
    <row r="102" spans="1:2089" s="40" customFormat="1" ht="14" customHeight="1">
      <c r="A102" s="27">
        <f t="shared" si="1"/>
        <v>101</v>
      </c>
      <c r="B102" s="27" t="s">
        <v>326</v>
      </c>
      <c r="C102" s="27">
        <v>2008</v>
      </c>
      <c r="D102" s="26" t="s">
        <v>75</v>
      </c>
      <c r="E102" s="26" t="s">
        <v>563</v>
      </c>
      <c r="F102" s="77" t="s">
        <v>175</v>
      </c>
      <c r="G102" s="2" t="s">
        <v>105</v>
      </c>
      <c r="H102" s="2" t="s">
        <v>30</v>
      </c>
      <c r="I102" s="2" t="s">
        <v>548</v>
      </c>
      <c r="J102" s="2" t="s">
        <v>604</v>
      </c>
      <c r="K102" s="2" t="s">
        <v>548</v>
      </c>
      <c r="L102" s="2" t="s">
        <v>548</v>
      </c>
      <c r="M102" s="2" t="s">
        <v>175</v>
      </c>
      <c r="N102" s="2" t="s">
        <v>609</v>
      </c>
      <c r="O102" s="2" t="s">
        <v>60</v>
      </c>
      <c r="P102" s="2" t="s">
        <v>609</v>
      </c>
      <c r="Q102" s="2" t="s">
        <v>42</v>
      </c>
      <c r="R102" s="102" t="s">
        <v>614</v>
      </c>
      <c r="S102" s="88">
        <v>1</v>
      </c>
      <c r="T102" s="26">
        <v>30</v>
      </c>
      <c r="U102" s="77">
        <v>1</v>
      </c>
      <c r="V102" s="26">
        <v>0</v>
      </c>
      <c r="W102" s="26">
        <v>1</v>
      </c>
      <c r="X102" s="26">
        <v>0</v>
      </c>
      <c r="Y102" s="26">
        <v>0</v>
      </c>
      <c r="Z102" s="26">
        <v>0</v>
      </c>
      <c r="AA102" s="26">
        <v>1</v>
      </c>
      <c r="AB102" s="26">
        <v>1</v>
      </c>
      <c r="AC102" s="26" t="s">
        <v>70</v>
      </c>
      <c r="AD102" s="26" t="s">
        <v>70</v>
      </c>
      <c r="AE102" s="26" t="s">
        <v>70</v>
      </c>
      <c r="AF102" s="26" t="s">
        <v>70</v>
      </c>
      <c r="AG102" s="33" t="s">
        <v>70</v>
      </c>
      <c r="AH102" s="33" t="s">
        <v>70</v>
      </c>
      <c r="AI102" s="33" t="s">
        <v>70</v>
      </c>
      <c r="AJ102" s="26" t="s">
        <v>70</v>
      </c>
      <c r="AK102" s="33" t="s">
        <v>70</v>
      </c>
      <c r="AL102" s="33" t="s">
        <v>70</v>
      </c>
      <c r="AM102" s="35" t="s">
        <v>548</v>
      </c>
      <c r="AN102" s="26" t="s">
        <v>274</v>
      </c>
      <c r="AO102" s="35" t="s">
        <v>548</v>
      </c>
      <c r="AP102" s="35" t="s">
        <v>548</v>
      </c>
      <c r="AQ102" s="35" t="s">
        <v>548</v>
      </c>
      <c r="AR102" s="35" t="s">
        <v>548</v>
      </c>
      <c r="AS102" s="26" t="s">
        <v>175</v>
      </c>
      <c r="AT102" s="26" t="s">
        <v>70</v>
      </c>
      <c r="AU102" s="26" t="s">
        <v>70</v>
      </c>
      <c r="AV102" s="26">
        <v>6</v>
      </c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</row>
    <row r="103" spans="1:2089" ht="13.5" customHeight="1">
      <c r="A103" s="27">
        <f t="shared" si="1"/>
        <v>102</v>
      </c>
      <c r="B103" s="27" t="s">
        <v>326</v>
      </c>
      <c r="C103" s="27">
        <v>2010</v>
      </c>
      <c r="D103" s="26" t="s">
        <v>75</v>
      </c>
      <c r="E103" s="26" t="s">
        <v>563</v>
      </c>
      <c r="F103" s="2" t="s">
        <v>175</v>
      </c>
      <c r="G103" s="2" t="s">
        <v>105</v>
      </c>
      <c r="H103" s="2" t="s">
        <v>30</v>
      </c>
      <c r="I103" s="77" t="s">
        <v>175</v>
      </c>
      <c r="J103" s="2" t="s">
        <v>604</v>
      </c>
      <c r="K103" s="2" t="s">
        <v>175</v>
      </c>
      <c r="L103" s="2" t="s">
        <v>175</v>
      </c>
      <c r="M103" s="2" t="s">
        <v>175</v>
      </c>
      <c r="N103" s="2" t="s">
        <v>70</v>
      </c>
      <c r="O103" s="2" t="s">
        <v>209</v>
      </c>
      <c r="P103" s="2" t="s">
        <v>612</v>
      </c>
      <c r="Q103" s="2" t="s">
        <v>42</v>
      </c>
      <c r="R103" s="102" t="s">
        <v>614</v>
      </c>
      <c r="S103" s="2">
        <v>1</v>
      </c>
      <c r="T103" s="26">
        <v>10</v>
      </c>
      <c r="U103" s="2">
        <v>1</v>
      </c>
      <c r="V103" s="61">
        <v>0</v>
      </c>
      <c r="W103" s="26">
        <v>1</v>
      </c>
      <c r="X103" s="26">
        <v>1</v>
      </c>
      <c r="Y103" s="26">
        <v>0</v>
      </c>
      <c r="Z103" s="26">
        <v>0</v>
      </c>
      <c r="AA103" s="26">
        <v>0</v>
      </c>
      <c r="AB103" s="26">
        <v>0</v>
      </c>
      <c r="AC103" s="26" t="s">
        <v>70</v>
      </c>
      <c r="AD103" s="26" t="s">
        <v>70</v>
      </c>
      <c r="AE103" s="26" t="s">
        <v>70</v>
      </c>
      <c r="AF103" s="26" t="s">
        <v>70</v>
      </c>
      <c r="AG103" s="26" t="s">
        <v>70</v>
      </c>
      <c r="AH103" s="26" t="s">
        <v>70</v>
      </c>
      <c r="AI103" s="26" t="s">
        <v>70</v>
      </c>
      <c r="AJ103" s="26" t="s">
        <v>70</v>
      </c>
      <c r="AK103" s="26" t="s">
        <v>70</v>
      </c>
      <c r="AL103" s="26" t="s">
        <v>70</v>
      </c>
      <c r="AM103" s="61" t="s">
        <v>548</v>
      </c>
      <c r="AN103" s="32" t="s">
        <v>274</v>
      </c>
      <c r="AO103" s="61" t="s">
        <v>548</v>
      </c>
      <c r="AP103" s="26" t="s">
        <v>548</v>
      </c>
      <c r="AQ103" s="26" t="s">
        <v>548</v>
      </c>
      <c r="AR103" s="35" t="s">
        <v>175</v>
      </c>
      <c r="AS103" s="26" t="s">
        <v>175</v>
      </c>
      <c r="AT103" s="26" t="s">
        <v>70</v>
      </c>
      <c r="AU103" s="26" t="s">
        <v>70</v>
      </c>
      <c r="AV103" s="40">
        <v>8</v>
      </c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</row>
    <row r="104" spans="1:2089" ht="14" customHeight="1">
      <c r="A104" s="27">
        <f t="shared" si="1"/>
        <v>103</v>
      </c>
      <c r="B104" s="27" t="s">
        <v>327</v>
      </c>
      <c r="C104" s="28">
        <v>1992</v>
      </c>
      <c r="D104" s="26" t="s">
        <v>135</v>
      </c>
      <c r="E104" s="26" t="s">
        <v>565</v>
      </c>
      <c r="F104" s="2" t="s">
        <v>175</v>
      </c>
      <c r="G104" s="2" t="s">
        <v>108</v>
      </c>
      <c r="H104" s="2" t="s">
        <v>24</v>
      </c>
      <c r="I104" s="2" t="s">
        <v>548</v>
      </c>
      <c r="J104" s="2" t="s">
        <v>183</v>
      </c>
      <c r="K104" s="2" t="s">
        <v>548</v>
      </c>
      <c r="L104" s="2" t="s">
        <v>548</v>
      </c>
      <c r="M104" s="2" t="s">
        <v>175</v>
      </c>
      <c r="N104" s="2" t="s">
        <v>62</v>
      </c>
      <c r="O104" s="2" t="s">
        <v>43</v>
      </c>
      <c r="P104" s="2" t="s">
        <v>62</v>
      </c>
      <c r="Q104" s="26" t="s">
        <v>606</v>
      </c>
      <c r="R104" s="102" t="s">
        <v>614</v>
      </c>
      <c r="S104" s="88">
        <v>7.0000000000000007E-2</v>
      </c>
      <c r="T104" s="61">
        <v>44</v>
      </c>
      <c r="U104" s="2">
        <v>1</v>
      </c>
      <c r="V104" s="26">
        <v>1</v>
      </c>
      <c r="W104" s="26">
        <v>1</v>
      </c>
      <c r="X104" s="26">
        <v>1</v>
      </c>
      <c r="Y104" s="26">
        <v>1</v>
      </c>
      <c r="Z104" s="26">
        <v>0</v>
      </c>
      <c r="AA104" s="26">
        <v>0</v>
      </c>
      <c r="AB104" s="26">
        <v>0</v>
      </c>
      <c r="AC104" s="26" t="s">
        <v>70</v>
      </c>
      <c r="AD104" s="45">
        <v>0.22</v>
      </c>
      <c r="AE104" s="26" t="s">
        <v>70</v>
      </c>
      <c r="AF104" s="26" t="s">
        <v>70</v>
      </c>
      <c r="AG104" s="33" t="s">
        <v>70</v>
      </c>
      <c r="AH104" s="26" t="s">
        <v>70</v>
      </c>
      <c r="AI104" s="26" t="s">
        <v>70</v>
      </c>
      <c r="AJ104" s="26" t="s">
        <v>70</v>
      </c>
      <c r="AK104" s="26" t="s">
        <v>70</v>
      </c>
      <c r="AL104" s="26" t="s">
        <v>70</v>
      </c>
      <c r="AM104" s="61" t="s">
        <v>548</v>
      </c>
      <c r="AN104" s="26" t="s">
        <v>274</v>
      </c>
      <c r="AO104" s="26" t="s">
        <v>548</v>
      </c>
      <c r="AP104" s="26" t="s">
        <v>548</v>
      </c>
      <c r="AQ104" s="26" t="s">
        <v>548</v>
      </c>
      <c r="AR104" s="26" t="s">
        <v>548</v>
      </c>
      <c r="AS104" s="26" t="s">
        <v>175</v>
      </c>
      <c r="AT104" s="26" t="s">
        <v>70</v>
      </c>
      <c r="AU104" s="26" t="s">
        <v>70</v>
      </c>
      <c r="AV104" s="26">
        <v>7</v>
      </c>
    </row>
    <row r="105" spans="1:2089" ht="14" customHeight="1">
      <c r="A105" s="27">
        <f t="shared" si="1"/>
        <v>104</v>
      </c>
      <c r="B105" s="27" t="s">
        <v>327</v>
      </c>
      <c r="C105" s="28">
        <v>1992</v>
      </c>
      <c r="D105" s="26" t="s">
        <v>135</v>
      </c>
      <c r="E105" s="26" t="s">
        <v>565</v>
      </c>
      <c r="F105" s="2" t="s">
        <v>175</v>
      </c>
      <c r="G105" s="2" t="s">
        <v>108</v>
      </c>
      <c r="H105" s="2" t="s">
        <v>24</v>
      </c>
      <c r="I105" s="2" t="s">
        <v>548</v>
      </c>
      <c r="J105" s="2" t="s">
        <v>183</v>
      </c>
      <c r="K105" s="2" t="s">
        <v>548</v>
      </c>
      <c r="L105" s="2" t="s">
        <v>548</v>
      </c>
      <c r="M105" s="2" t="s">
        <v>175</v>
      </c>
      <c r="N105" s="2" t="s">
        <v>609</v>
      </c>
      <c r="O105" s="2" t="s">
        <v>60</v>
      </c>
      <c r="P105" s="2" t="s">
        <v>609</v>
      </c>
      <c r="Q105" s="2" t="s">
        <v>42</v>
      </c>
      <c r="R105" s="102" t="s">
        <v>614</v>
      </c>
      <c r="S105" s="88">
        <v>0.42</v>
      </c>
      <c r="T105" s="61">
        <v>151</v>
      </c>
      <c r="U105" s="2">
        <v>1</v>
      </c>
      <c r="V105" s="26">
        <v>1</v>
      </c>
      <c r="W105" s="26">
        <v>1</v>
      </c>
      <c r="X105" s="26">
        <v>1</v>
      </c>
      <c r="Y105" s="26">
        <v>1</v>
      </c>
      <c r="Z105" s="26">
        <v>0</v>
      </c>
      <c r="AA105" s="26">
        <v>0</v>
      </c>
      <c r="AB105" s="26">
        <v>0</v>
      </c>
      <c r="AC105" s="26" t="s">
        <v>70</v>
      </c>
      <c r="AD105" s="45">
        <v>0.05</v>
      </c>
      <c r="AE105" s="26" t="s">
        <v>70</v>
      </c>
      <c r="AF105" s="26" t="s">
        <v>70</v>
      </c>
      <c r="AG105" s="33" t="s">
        <v>70</v>
      </c>
      <c r="AH105" s="26" t="s">
        <v>70</v>
      </c>
      <c r="AI105" s="26" t="s">
        <v>70</v>
      </c>
      <c r="AJ105" s="26" t="s">
        <v>70</v>
      </c>
      <c r="AK105" s="26" t="s">
        <v>70</v>
      </c>
      <c r="AL105" s="26" t="s">
        <v>70</v>
      </c>
      <c r="AM105" s="61" t="s">
        <v>548</v>
      </c>
      <c r="AN105" s="26" t="s">
        <v>274</v>
      </c>
      <c r="AO105" s="26" t="s">
        <v>548</v>
      </c>
      <c r="AP105" s="26" t="s">
        <v>548</v>
      </c>
      <c r="AQ105" s="26" t="s">
        <v>548</v>
      </c>
      <c r="AR105" s="26" t="s">
        <v>548</v>
      </c>
      <c r="AS105" s="26" t="s">
        <v>175</v>
      </c>
      <c r="AT105" s="26" t="s">
        <v>70</v>
      </c>
      <c r="AU105" s="26" t="s">
        <v>70</v>
      </c>
      <c r="AV105" s="26">
        <v>7</v>
      </c>
    </row>
    <row r="106" spans="1:2089" ht="14" customHeight="1">
      <c r="A106" s="27">
        <f t="shared" si="1"/>
        <v>105</v>
      </c>
      <c r="B106" s="27" t="s">
        <v>328</v>
      </c>
      <c r="C106" s="27">
        <v>2012</v>
      </c>
      <c r="D106" s="26" t="s">
        <v>219</v>
      </c>
      <c r="E106" s="26" t="s">
        <v>566</v>
      </c>
      <c r="F106" s="77" t="s">
        <v>175</v>
      </c>
      <c r="G106" s="2" t="s">
        <v>42</v>
      </c>
      <c r="H106" s="2" t="s">
        <v>30</v>
      </c>
      <c r="I106" s="2" t="s">
        <v>175</v>
      </c>
      <c r="J106" s="2" t="s">
        <v>189</v>
      </c>
      <c r="K106" s="2" t="s">
        <v>548</v>
      </c>
      <c r="L106" s="2" t="s">
        <v>548</v>
      </c>
      <c r="M106" s="2" t="s">
        <v>175</v>
      </c>
      <c r="N106" s="2" t="s">
        <v>62</v>
      </c>
      <c r="O106" s="2" t="s">
        <v>43</v>
      </c>
      <c r="P106" s="2" t="s">
        <v>62</v>
      </c>
      <c r="Q106" s="26" t="s">
        <v>606</v>
      </c>
      <c r="R106" s="102" t="s">
        <v>614</v>
      </c>
      <c r="S106" s="2" t="s">
        <v>70</v>
      </c>
      <c r="T106" s="26">
        <v>371</v>
      </c>
      <c r="U106" s="77">
        <v>1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 t="s">
        <v>70</v>
      </c>
      <c r="AD106" s="26" t="s">
        <v>70</v>
      </c>
      <c r="AE106" s="26" t="s">
        <v>70</v>
      </c>
      <c r="AF106" s="26" t="s">
        <v>70</v>
      </c>
      <c r="AG106" s="33">
        <v>10.4</v>
      </c>
      <c r="AH106" s="26" t="s">
        <v>70</v>
      </c>
      <c r="AI106" s="26" t="s">
        <v>70</v>
      </c>
      <c r="AJ106" s="26" t="s">
        <v>70</v>
      </c>
      <c r="AK106" s="26" t="s">
        <v>70</v>
      </c>
      <c r="AL106" s="26" t="s">
        <v>70</v>
      </c>
      <c r="AM106" s="35" t="s">
        <v>175</v>
      </c>
      <c r="AN106" s="26" t="s">
        <v>274</v>
      </c>
      <c r="AO106" s="35" t="s">
        <v>548</v>
      </c>
      <c r="AP106" s="35" t="s">
        <v>548</v>
      </c>
      <c r="AQ106" s="35" t="s">
        <v>548</v>
      </c>
      <c r="AR106" s="35" t="s">
        <v>548</v>
      </c>
      <c r="AS106" s="26" t="s">
        <v>175</v>
      </c>
      <c r="AT106" s="26" t="s">
        <v>70</v>
      </c>
      <c r="AU106" s="26" t="s">
        <v>70</v>
      </c>
      <c r="AV106" s="26">
        <v>5</v>
      </c>
    </row>
    <row r="107" spans="1:2089" ht="14" customHeight="1">
      <c r="A107" s="27">
        <f t="shared" si="1"/>
        <v>106</v>
      </c>
      <c r="B107" s="27" t="s">
        <v>329</v>
      </c>
      <c r="C107" s="27">
        <v>2005</v>
      </c>
      <c r="D107" s="26" t="s">
        <v>127</v>
      </c>
      <c r="E107" s="26" t="s">
        <v>563</v>
      </c>
      <c r="F107" s="77" t="s">
        <v>175</v>
      </c>
      <c r="G107" s="2" t="s">
        <v>84</v>
      </c>
      <c r="H107" s="2" t="s">
        <v>24</v>
      </c>
      <c r="I107" s="2" t="s">
        <v>548</v>
      </c>
      <c r="J107" s="2" t="s">
        <v>603</v>
      </c>
      <c r="K107" s="2" t="s">
        <v>548</v>
      </c>
      <c r="L107" s="2" t="s">
        <v>548</v>
      </c>
      <c r="M107" s="2" t="s">
        <v>175</v>
      </c>
      <c r="N107" s="2" t="s">
        <v>70</v>
      </c>
      <c r="O107" s="2" t="s">
        <v>209</v>
      </c>
      <c r="P107" s="2" t="s">
        <v>612</v>
      </c>
      <c r="Q107" s="2" t="s">
        <v>42</v>
      </c>
      <c r="R107" s="102" t="s">
        <v>614</v>
      </c>
      <c r="S107" s="2">
        <v>1</v>
      </c>
      <c r="T107" s="26">
        <v>24</v>
      </c>
      <c r="U107" s="77">
        <v>1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33">
        <v>0</v>
      </c>
      <c r="AD107" s="33">
        <f>2/24</f>
        <v>8.3333333333333329E-2</v>
      </c>
      <c r="AE107" s="33">
        <f>3/24</f>
        <v>0.125</v>
      </c>
      <c r="AF107" s="33">
        <f>18/24</f>
        <v>0.75</v>
      </c>
      <c r="AG107" s="33" t="s">
        <v>70</v>
      </c>
      <c r="AH107" s="33" t="s">
        <v>70</v>
      </c>
      <c r="AI107" s="33" t="s">
        <v>70</v>
      </c>
      <c r="AJ107" s="33" t="s">
        <v>70</v>
      </c>
      <c r="AK107" s="33" t="s">
        <v>70</v>
      </c>
      <c r="AL107" s="33" t="s">
        <v>70</v>
      </c>
      <c r="AM107" s="35" t="s">
        <v>175</v>
      </c>
      <c r="AN107" s="32" t="s">
        <v>9</v>
      </c>
      <c r="AO107" s="35" t="s">
        <v>175</v>
      </c>
      <c r="AP107" s="35" t="s">
        <v>548</v>
      </c>
      <c r="AQ107" s="35" t="s">
        <v>548</v>
      </c>
      <c r="AR107" s="35" t="s">
        <v>548</v>
      </c>
      <c r="AS107" s="26" t="s">
        <v>175</v>
      </c>
      <c r="AT107" s="26" t="s">
        <v>70</v>
      </c>
      <c r="AU107" s="26" t="s">
        <v>70</v>
      </c>
      <c r="AV107" s="26">
        <v>4</v>
      </c>
    </row>
    <row r="108" spans="1:2089" ht="14" customHeight="1">
      <c r="A108" s="27">
        <f t="shared" si="1"/>
        <v>107</v>
      </c>
      <c r="B108" s="27" t="s">
        <v>581</v>
      </c>
      <c r="C108" s="27">
        <v>1998</v>
      </c>
      <c r="D108" s="26" t="s">
        <v>69</v>
      </c>
      <c r="E108" s="26" t="s">
        <v>565</v>
      </c>
      <c r="F108" s="77" t="s">
        <v>175</v>
      </c>
      <c r="G108" s="2" t="s">
        <v>106</v>
      </c>
      <c r="H108" s="2" t="s">
        <v>275</v>
      </c>
      <c r="I108" s="2" t="s">
        <v>548</v>
      </c>
      <c r="J108" s="2" t="s">
        <v>603</v>
      </c>
      <c r="K108" s="2" t="s">
        <v>548</v>
      </c>
      <c r="L108" s="2" t="s">
        <v>548</v>
      </c>
      <c r="M108" s="2" t="s">
        <v>548</v>
      </c>
      <c r="N108" s="2" t="s">
        <v>70</v>
      </c>
      <c r="O108" s="2" t="s">
        <v>209</v>
      </c>
      <c r="P108" s="2" t="s">
        <v>611</v>
      </c>
      <c r="Q108" s="2" t="s">
        <v>42</v>
      </c>
      <c r="R108" s="79" t="s">
        <v>613</v>
      </c>
      <c r="S108" s="2">
        <v>0.42341040462427748</v>
      </c>
      <c r="T108" s="26">
        <v>692</v>
      </c>
      <c r="U108" s="77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0</v>
      </c>
      <c r="AA108" s="26">
        <v>1</v>
      </c>
      <c r="AB108" s="26">
        <v>0</v>
      </c>
      <c r="AC108" s="26" t="s">
        <v>70</v>
      </c>
      <c r="AD108" s="26" t="s">
        <v>70</v>
      </c>
      <c r="AE108" s="26" t="s">
        <v>70</v>
      </c>
      <c r="AF108" s="26" t="s">
        <v>70</v>
      </c>
      <c r="AG108" s="26" t="s">
        <v>70</v>
      </c>
      <c r="AH108" s="26" t="s">
        <v>70</v>
      </c>
      <c r="AI108" s="26" t="s">
        <v>70</v>
      </c>
      <c r="AJ108" s="26" t="s">
        <v>70</v>
      </c>
      <c r="AK108" s="26" t="s">
        <v>70</v>
      </c>
      <c r="AL108" s="26" t="s">
        <v>70</v>
      </c>
      <c r="AM108" s="35" t="s">
        <v>175</v>
      </c>
      <c r="AN108" s="32" t="s">
        <v>9</v>
      </c>
      <c r="AO108" s="35" t="s">
        <v>175</v>
      </c>
      <c r="AP108" s="35" t="s">
        <v>548</v>
      </c>
      <c r="AQ108" s="35" t="s">
        <v>548</v>
      </c>
      <c r="AR108" s="35" t="s">
        <v>548</v>
      </c>
      <c r="AS108" s="26" t="s">
        <v>175</v>
      </c>
      <c r="AT108" s="26" t="s">
        <v>70</v>
      </c>
      <c r="AU108" s="26" t="s">
        <v>70</v>
      </c>
      <c r="AV108" s="26">
        <v>8</v>
      </c>
    </row>
    <row r="109" spans="1:2089" ht="14" customHeight="1">
      <c r="A109" s="27">
        <f t="shared" si="1"/>
        <v>108</v>
      </c>
      <c r="B109" s="27" t="s">
        <v>581</v>
      </c>
      <c r="C109" s="27">
        <v>1998</v>
      </c>
      <c r="D109" s="26" t="s">
        <v>69</v>
      </c>
      <c r="E109" s="26" t="s">
        <v>565</v>
      </c>
      <c r="F109" s="77" t="s">
        <v>175</v>
      </c>
      <c r="G109" s="2" t="s">
        <v>106</v>
      </c>
      <c r="H109" s="2" t="s">
        <v>275</v>
      </c>
      <c r="I109" s="2" t="s">
        <v>548</v>
      </c>
      <c r="J109" s="2" t="s">
        <v>603</v>
      </c>
      <c r="K109" s="2" t="s">
        <v>548</v>
      </c>
      <c r="L109" s="2" t="s">
        <v>548</v>
      </c>
      <c r="M109" s="2" t="s">
        <v>548</v>
      </c>
      <c r="N109" s="2" t="s">
        <v>70</v>
      </c>
      <c r="O109" s="2" t="s">
        <v>209</v>
      </c>
      <c r="P109" s="2" t="s">
        <v>612</v>
      </c>
      <c r="Q109" s="2" t="s">
        <v>42</v>
      </c>
      <c r="R109" s="79" t="s">
        <v>613</v>
      </c>
      <c r="S109" s="2">
        <f>47/T109</f>
        <v>0.54022988505747127</v>
      </c>
      <c r="T109" s="26">
        <v>87</v>
      </c>
      <c r="U109" s="77">
        <v>1</v>
      </c>
      <c r="V109" s="26">
        <v>1</v>
      </c>
      <c r="W109" s="26">
        <v>1</v>
      </c>
      <c r="X109" s="26">
        <v>1</v>
      </c>
      <c r="Y109" s="26">
        <v>1</v>
      </c>
      <c r="Z109" s="26">
        <v>0</v>
      </c>
      <c r="AA109" s="26">
        <v>1</v>
      </c>
      <c r="AB109" s="26">
        <v>0</v>
      </c>
      <c r="AC109" s="26" t="s">
        <v>70</v>
      </c>
      <c r="AD109" s="26" t="s">
        <v>70</v>
      </c>
      <c r="AE109" s="26" t="s">
        <v>70</v>
      </c>
      <c r="AF109" s="26" t="s">
        <v>70</v>
      </c>
      <c r="AG109" s="26" t="s">
        <v>70</v>
      </c>
      <c r="AH109" s="26" t="s">
        <v>70</v>
      </c>
      <c r="AI109" s="26" t="s">
        <v>70</v>
      </c>
      <c r="AJ109" s="26" t="s">
        <v>70</v>
      </c>
      <c r="AK109" s="26" t="s">
        <v>70</v>
      </c>
      <c r="AL109" s="26" t="s">
        <v>70</v>
      </c>
      <c r="AM109" s="35" t="s">
        <v>175</v>
      </c>
      <c r="AN109" s="32" t="s">
        <v>9</v>
      </c>
      <c r="AO109" s="35" t="s">
        <v>175</v>
      </c>
      <c r="AP109" s="35" t="s">
        <v>548</v>
      </c>
      <c r="AQ109" s="35" t="s">
        <v>548</v>
      </c>
      <c r="AR109" s="35" t="s">
        <v>548</v>
      </c>
      <c r="AS109" s="26" t="s">
        <v>175</v>
      </c>
      <c r="AT109" s="26" t="s">
        <v>70</v>
      </c>
      <c r="AU109" s="26" t="s">
        <v>70</v>
      </c>
      <c r="AV109" s="26">
        <v>8</v>
      </c>
    </row>
    <row r="110" spans="1:2089" ht="14" customHeight="1">
      <c r="A110" s="27">
        <f t="shared" si="1"/>
        <v>109</v>
      </c>
      <c r="B110" s="27" t="s">
        <v>581</v>
      </c>
      <c r="C110" s="27">
        <v>1998</v>
      </c>
      <c r="D110" s="26" t="s">
        <v>69</v>
      </c>
      <c r="E110" s="26" t="s">
        <v>565</v>
      </c>
      <c r="F110" s="77" t="s">
        <v>175</v>
      </c>
      <c r="G110" s="2" t="s">
        <v>106</v>
      </c>
      <c r="H110" s="2" t="s">
        <v>275</v>
      </c>
      <c r="I110" s="2" t="s">
        <v>548</v>
      </c>
      <c r="J110" s="2" t="s">
        <v>603</v>
      </c>
      <c r="K110" s="2" t="s">
        <v>548</v>
      </c>
      <c r="L110" s="2" t="s">
        <v>548</v>
      </c>
      <c r="M110" s="2" t="s">
        <v>548</v>
      </c>
      <c r="N110" s="2" t="s">
        <v>62</v>
      </c>
      <c r="O110" s="2" t="s">
        <v>43</v>
      </c>
      <c r="P110" s="2" t="s">
        <v>62</v>
      </c>
      <c r="Q110" s="26" t="s">
        <v>606</v>
      </c>
      <c r="R110" s="79" t="s">
        <v>613</v>
      </c>
      <c r="S110" s="2">
        <f>0</f>
        <v>0</v>
      </c>
      <c r="T110" s="26">
        <v>349</v>
      </c>
      <c r="U110" s="77">
        <v>1</v>
      </c>
      <c r="V110" s="26">
        <v>1</v>
      </c>
      <c r="W110" s="26">
        <v>1</v>
      </c>
      <c r="X110" s="26">
        <v>1</v>
      </c>
      <c r="Y110" s="26">
        <v>1</v>
      </c>
      <c r="Z110" s="26">
        <v>0</v>
      </c>
      <c r="AA110" s="26">
        <v>1</v>
      </c>
      <c r="AB110" s="26">
        <v>0</v>
      </c>
      <c r="AC110" s="26" t="s">
        <v>70</v>
      </c>
      <c r="AD110" s="26" t="s">
        <v>70</v>
      </c>
      <c r="AE110" s="26" t="s">
        <v>70</v>
      </c>
      <c r="AF110" s="26" t="s">
        <v>70</v>
      </c>
      <c r="AG110" s="26" t="s">
        <v>70</v>
      </c>
      <c r="AH110" s="26" t="s">
        <v>70</v>
      </c>
      <c r="AI110" s="26" t="s">
        <v>70</v>
      </c>
      <c r="AJ110" s="26" t="s">
        <v>70</v>
      </c>
      <c r="AK110" s="26" t="s">
        <v>70</v>
      </c>
      <c r="AL110" s="26" t="s">
        <v>70</v>
      </c>
      <c r="AM110" s="35" t="s">
        <v>175</v>
      </c>
      <c r="AN110" s="26" t="s">
        <v>274</v>
      </c>
      <c r="AO110" s="35" t="s">
        <v>175</v>
      </c>
      <c r="AP110" s="35" t="s">
        <v>548</v>
      </c>
      <c r="AQ110" s="35" t="s">
        <v>548</v>
      </c>
      <c r="AR110" s="35" t="s">
        <v>548</v>
      </c>
      <c r="AS110" s="26" t="s">
        <v>175</v>
      </c>
      <c r="AT110" s="26" t="s">
        <v>70</v>
      </c>
      <c r="AU110" s="26" t="s">
        <v>70</v>
      </c>
      <c r="AV110" s="26">
        <v>8</v>
      </c>
    </row>
    <row r="111" spans="1:2089" ht="14" customHeight="1">
      <c r="A111" s="27">
        <f t="shared" si="1"/>
        <v>110</v>
      </c>
      <c r="B111" s="27" t="s">
        <v>330</v>
      </c>
      <c r="C111" s="28">
        <v>2002</v>
      </c>
      <c r="D111" s="26" t="s">
        <v>13</v>
      </c>
      <c r="E111" s="26" t="s">
        <v>566</v>
      </c>
      <c r="F111" s="2" t="s">
        <v>175</v>
      </c>
      <c r="G111" s="2" t="s">
        <v>105</v>
      </c>
      <c r="H111" s="2" t="s">
        <v>30</v>
      </c>
      <c r="I111" s="2" t="s">
        <v>548</v>
      </c>
      <c r="J111" s="2" t="s">
        <v>604</v>
      </c>
      <c r="K111" s="2" t="s">
        <v>548</v>
      </c>
      <c r="L111" s="2" t="s">
        <v>548</v>
      </c>
      <c r="M111" s="2" t="s">
        <v>548</v>
      </c>
      <c r="N111" s="2" t="s">
        <v>210</v>
      </c>
      <c r="O111" s="2" t="s">
        <v>43</v>
      </c>
      <c r="P111" s="2" t="s">
        <v>210</v>
      </c>
      <c r="Q111" s="2" t="s">
        <v>42</v>
      </c>
      <c r="R111" s="102" t="s">
        <v>614</v>
      </c>
      <c r="S111" s="88">
        <f>24/240</f>
        <v>0.1</v>
      </c>
      <c r="T111" s="61">
        <v>240</v>
      </c>
      <c r="U111" s="2">
        <v>1</v>
      </c>
      <c r="V111" s="26">
        <v>1</v>
      </c>
      <c r="W111" s="26">
        <v>1</v>
      </c>
      <c r="X111" s="26">
        <v>1</v>
      </c>
      <c r="Y111" s="26">
        <v>1</v>
      </c>
      <c r="Z111" s="26">
        <v>0</v>
      </c>
      <c r="AA111" s="26">
        <v>0</v>
      </c>
      <c r="AB111" s="26">
        <v>0</v>
      </c>
      <c r="AC111" s="26" t="s">
        <v>70</v>
      </c>
      <c r="AD111" s="26" t="s">
        <v>70</v>
      </c>
      <c r="AE111" s="26" t="s">
        <v>70</v>
      </c>
      <c r="AF111" s="26" t="s">
        <v>70</v>
      </c>
      <c r="AG111" s="33" t="s">
        <v>70</v>
      </c>
      <c r="AH111" s="26" t="s">
        <v>70</v>
      </c>
      <c r="AI111" s="26" t="s">
        <v>70</v>
      </c>
      <c r="AJ111" s="26" t="s">
        <v>70</v>
      </c>
      <c r="AK111" s="26" t="s">
        <v>70</v>
      </c>
      <c r="AL111" s="26" t="s">
        <v>70</v>
      </c>
      <c r="AM111" s="61" t="s">
        <v>175</v>
      </c>
      <c r="AN111" s="32" t="s">
        <v>9</v>
      </c>
      <c r="AO111" s="26" t="s">
        <v>175</v>
      </c>
      <c r="AP111" s="26" t="s">
        <v>548</v>
      </c>
      <c r="AQ111" s="26" t="s">
        <v>548</v>
      </c>
      <c r="AR111" s="26" t="s">
        <v>548</v>
      </c>
      <c r="AS111" s="26" t="s">
        <v>175</v>
      </c>
      <c r="AT111" s="26" t="s">
        <v>70</v>
      </c>
      <c r="AU111" s="26" t="s">
        <v>70</v>
      </c>
      <c r="AV111" s="26">
        <v>7</v>
      </c>
    </row>
    <row r="112" spans="1:2089" ht="14" customHeight="1">
      <c r="A112" s="27">
        <f t="shared" si="1"/>
        <v>111</v>
      </c>
      <c r="B112" s="27" t="s">
        <v>330</v>
      </c>
      <c r="C112" s="28">
        <v>2002</v>
      </c>
      <c r="D112" s="26" t="s">
        <v>13</v>
      </c>
      <c r="E112" s="26" t="s">
        <v>566</v>
      </c>
      <c r="F112" s="2" t="s">
        <v>175</v>
      </c>
      <c r="G112" s="2" t="s">
        <v>105</v>
      </c>
      <c r="H112" s="2" t="s">
        <v>30</v>
      </c>
      <c r="I112" s="2" t="s">
        <v>548</v>
      </c>
      <c r="J112" s="2" t="s">
        <v>604</v>
      </c>
      <c r="K112" s="2" t="s">
        <v>548</v>
      </c>
      <c r="L112" s="2" t="s">
        <v>548</v>
      </c>
      <c r="M112" s="2" t="s">
        <v>548</v>
      </c>
      <c r="N112" s="2" t="s">
        <v>70</v>
      </c>
      <c r="O112" s="2" t="s">
        <v>209</v>
      </c>
      <c r="P112" s="2" t="s">
        <v>612</v>
      </c>
      <c r="Q112" s="2" t="s">
        <v>42</v>
      </c>
      <c r="R112" s="102" t="s">
        <v>614</v>
      </c>
      <c r="S112" s="88">
        <v>0.65</v>
      </c>
      <c r="T112" s="61">
        <v>240</v>
      </c>
      <c r="U112" s="2">
        <v>1</v>
      </c>
      <c r="V112" s="26">
        <v>1</v>
      </c>
      <c r="W112" s="26">
        <v>1</v>
      </c>
      <c r="X112" s="26">
        <v>1</v>
      </c>
      <c r="Y112" s="26">
        <v>1</v>
      </c>
      <c r="Z112" s="26">
        <v>0</v>
      </c>
      <c r="AA112" s="26">
        <v>0</v>
      </c>
      <c r="AB112" s="26">
        <v>0</v>
      </c>
      <c r="AC112" s="26" t="s">
        <v>70</v>
      </c>
      <c r="AD112" s="26" t="s">
        <v>70</v>
      </c>
      <c r="AE112" s="26" t="s">
        <v>70</v>
      </c>
      <c r="AF112" s="26" t="s">
        <v>70</v>
      </c>
      <c r="AG112" s="33" t="s">
        <v>70</v>
      </c>
      <c r="AH112" s="26" t="s">
        <v>70</v>
      </c>
      <c r="AI112" s="26" t="s">
        <v>70</v>
      </c>
      <c r="AJ112" s="26" t="s">
        <v>70</v>
      </c>
      <c r="AK112" s="26" t="s">
        <v>70</v>
      </c>
      <c r="AL112" s="26" t="s">
        <v>70</v>
      </c>
      <c r="AM112" s="61" t="s">
        <v>175</v>
      </c>
      <c r="AN112" s="32" t="s">
        <v>9</v>
      </c>
      <c r="AO112" s="26" t="s">
        <v>175</v>
      </c>
      <c r="AP112" s="26" t="s">
        <v>548</v>
      </c>
      <c r="AQ112" s="26" t="s">
        <v>548</v>
      </c>
      <c r="AR112" s="26" t="s">
        <v>548</v>
      </c>
      <c r="AS112" s="26" t="s">
        <v>175</v>
      </c>
      <c r="AT112" s="26" t="s">
        <v>70</v>
      </c>
      <c r="AU112" s="26" t="s">
        <v>70</v>
      </c>
      <c r="AV112" s="26">
        <v>7</v>
      </c>
    </row>
    <row r="113" spans="1:48" ht="14" customHeight="1">
      <c r="A113" s="27">
        <f t="shared" si="1"/>
        <v>112</v>
      </c>
      <c r="B113" s="27" t="s">
        <v>331</v>
      </c>
      <c r="C113" s="37">
        <v>2004</v>
      </c>
      <c r="D113" s="26" t="s">
        <v>25</v>
      </c>
      <c r="E113" s="26" t="s">
        <v>565</v>
      </c>
      <c r="F113" s="77" t="s">
        <v>548</v>
      </c>
      <c r="G113" s="2" t="s">
        <v>105</v>
      </c>
      <c r="H113" s="2" t="s">
        <v>30</v>
      </c>
      <c r="I113" s="2" t="s">
        <v>548</v>
      </c>
      <c r="J113" s="2" t="s">
        <v>604</v>
      </c>
      <c r="K113" s="2" t="s">
        <v>175</v>
      </c>
      <c r="L113" s="2" t="s">
        <v>548</v>
      </c>
      <c r="M113" s="2" t="s">
        <v>175</v>
      </c>
      <c r="N113" s="2" t="s">
        <v>48</v>
      </c>
      <c r="O113" s="2" t="s">
        <v>209</v>
      </c>
      <c r="P113" s="2" t="s">
        <v>48</v>
      </c>
      <c r="Q113" s="2" t="s">
        <v>42</v>
      </c>
      <c r="R113" s="79" t="s">
        <v>613</v>
      </c>
      <c r="S113" s="2">
        <v>0</v>
      </c>
      <c r="T113" s="26">
        <v>10</v>
      </c>
      <c r="U113" s="77">
        <v>0</v>
      </c>
      <c r="V113" s="26">
        <v>0</v>
      </c>
      <c r="W113" s="26">
        <v>1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 t="s">
        <v>70</v>
      </c>
      <c r="AD113" s="26" t="s">
        <v>70</v>
      </c>
      <c r="AE113" s="26" t="s">
        <v>70</v>
      </c>
      <c r="AF113" s="26" t="s">
        <v>70</v>
      </c>
      <c r="AG113" s="26" t="s">
        <v>70</v>
      </c>
      <c r="AH113" s="26" t="s">
        <v>70</v>
      </c>
      <c r="AI113" s="26" t="s">
        <v>70</v>
      </c>
      <c r="AJ113" s="26" t="s">
        <v>70</v>
      </c>
      <c r="AK113" s="26" t="s">
        <v>70</v>
      </c>
      <c r="AL113" s="26" t="s">
        <v>70</v>
      </c>
      <c r="AM113" s="35" t="s">
        <v>548</v>
      </c>
      <c r="AN113" s="26" t="s">
        <v>274</v>
      </c>
      <c r="AO113" s="35" t="s">
        <v>548</v>
      </c>
      <c r="AP113" s="35" t="s">
        <v>548</v>
      </c>
      <c r="AQ113" s="35" t="s">
        <v>548</v>
      </c>
      <c r="AR113" s="35" t="s">
        <v>548</v>
      </c>
      <c r="AS113" s="26" t="s">
        <v>175</v>
      </c>
      <c r="AT113" s="26" t="s">
        <v>70</v>
      </c>
      <c r="AU113" s="26" t="s">
        <v>70</v>
      </c>
      <c r="AV113" s="26">
        <v>4</v>
      </c>
    </row>
    <row r="114" spans="1:48" ht="14" customHeight="1">
      <c r="A114" s="27">
        <f t="shared" si="1"/>
        <v>113</v>
      </c>
      <c r="B114" s="27" t="s">
        <v>332</v>
      </c>
      <c r="C114" s="27">
        <v>2007</v>
      </c>
      <c r="D114" s="26" t="s">
        <v>13</v>
      </c>
      <c r="E114" s="26" t="s">
        <v>566</v>
      </c>
      <c r="F114" s="77" t="s">
        <v>175</v>
      </c>
      <c r="G114" s="2" t="s">
        <v>105</v>
      </c>
      <c r="H114" s="2" t="s">
        <v>24</v>
      </c>
      <c r="I114" s="2" t="s">
        <v>548</v>
      </c>
      <c r="J114" s="2" t="s">
        <v>603</v>
      </c>
      <c r="K114" s="2" t="s">
        <v>548</v>
      </c>
      <c r="L114" s="2" t="s">
        <v>548</v>
      </c>
      <c r="M114" s="2" t="s">
        <v>548</v>
      </c>
      <c r="N114" s="2" t="s">
        <v>70</v>
      </c>
      <c r="O114" s="2" t="s">
        <v>209</v>
      </c>
      <c r="P114" s="2" t="s">
        <v>612</v>
      </c>
      <c r="Q114" s="2" t="s">
        <v>42</v>
      </c>
      <c r="R114" s="79" t="s">
        <v>613</v>
      </c>
      <c r="S114" s="90">
        <f>14/22</f>
        <v>0.63636363636363635</v>
      </c>
      <c r="T114" s="26">
        <v>22</v>
      </c>
      <c r="U114" s="77">
        <v>1</v>
      </c>
      <c r="V114" s="26">
        <v>0</v>
      </c>
      <c r="W114" s="26">
        <v>1</v>
      </c>
      <c r="X114" s="26">
        <v>1</v>
      </c>
      <c r="Y114" s="26">
        <v>0</v>
      </c>
      <c r="Z114" s="26">
        <v>0</v>
      </c>
      <c r="AA114" s="26">
        <v>0</v>
      </c>
      <c r="AB114" s="26">
        <v>0</v>
      </c>
      <c r="AC114" s="45">
        <f>8/22</f>
        <v>0.36363636363636365</v>
      </c>
      <c r="AD114" s="45">
        <f>0</f>
        <v>0</v>
      </c>
      <c r="AE114" s="45">
        <f>5/22</f>
        <v>0.22727272727272727</v>
      </c>
      <c r="AF114" s="45">
        <f>9/22</f>
        <v>0.40909090909090912</v>
      </c>
      <c r="AG114" s="33" t="s">
        <v>70</v>
      </c>
      <c r="AH114" s="33" t="s">
        <v>70</v>
      </c>
      <c r="AI114" s="33" t="s">
        <v>70</v>
      </c>
      <c r="AJ114" s="36" t="s">
        <v>70</v>
      </c>
      <c r="AK114" s="33" t="s">
        <v>70</v>
      </c>
      <c r="AL114" s="33" t="s">
        <v>70</v>
      </c>
      <c r="AM114" s="35" t="s">
        <v>175</v>
      </c>
      <c r="AN114" s="32" t="s">
        <v>9</v>
      </c>
      <c r="AO114" s="35" t="s">
        <v>175</v>
      </c>
      <c r="AP114" s="35" t="s">
        <v>175</v>
      </c>
      <c r="AQ114" s="35" t="s">
        <v>548</v>
      </c>
      <c r="AR114" s="35" t="s">
        <v>548</v>
      </c>
      <c r="AS114" s="26" t="s">
        <v>175</v>
      </c>
      <c r="AT114" s="26" t="s">
        <v>548</v>
      </c>
      <c r="AU114" s="40" t="s">
        <v>548</v>
      </c>
      <c r="AV114" s="26">
        <v>5</v>
      </c>
    </row>
    <row r="115" spans="1:48" ht="14" customHeight="1">
      <c r="A115" s="27">
        <f t="shared" si="1"/>
        <v>114</v>
      </c>
      <c r="B115" s="27" t="s">
        <v>332</v>
      </c>
      <c r="C115" s="27">
        <v>2008</v>
      </c>
      <c r="D115" s="26" t="s">
        <v>13</v>
      </c>
      <c r="E115" s="26" t="s">
        <v>566</v>
      </c>
      <c r="F115" s="77" t="s">
        <v>175</v>
      </c>
      <c r="G115" s="2" t="s">
        <v>105</v>
      </c>
      <c r="H115" s="2" t="s">
        <v>30</v>
      </c>
      <c r="I115" s="2" t="s">
        <v>548</v>
      </c>
      <c r="J115" s="2" t="s">
        <v>604</v>
      </c>
      <c r="K115" s="2" t="s">
        <v>548</v>
      </c>
      <c r="L115" s="2" t="s">
        <v>548</v>
      </c>
      <c r="M115" s="2" t="s">
        <v>175</v>
      </c>
      <c r="N115" s="2" t="s">
        <v>210</v>
      </c>
      <c r="O115" s="2" t="s">
        <v>43</v>
      </c>
      <c r="P115" s="2" t="s">
        <v>210</v>
      </c>
      <c r="Q115" s="2" t="s">
        <v>42</v>
      </c>
      <c r="R115" s="79" t="s">
        <v>613</v>
      </c>
      <c r="S115" s="90">
        <v>0.06</v>
      </c>
      <c r="T115" s="26">
        <v>100</v>
      </c>
      <c r="U115" s="77">
        <v>1</v>
      </c>
      <c r="V115" s="26">
        <v>0</v>
      </c>
      <c r="W115" s="26">
        <v>1</v>
      </c>
      <c r="X115" s="26">
        <v>1</v>
      </c>
      <c r="Y115" s="26">
        <v>0</v>
      </c>
      <c r="Z115" s="26">
        <v>0</v>
      </c>
      <c r="AA115" s="26">
        <v>0</v>
      </c>
      <c r="AB115" s="26">
        <v>0</v>
      </c>
      <c r="AC115" s="33" t="s">
        <v>70</v>
      </c>
      <c r="AD115" s="33" t="s">
        <v>70</v>
      </c>
      <c r="AE115" s="33" t="s">
        <v>70</v>
      </c>
      <c r="AF115" s="33" t="s">
        <v>70</v>
      </c>
      <c r="AG115" s="26" t="s">
        <v>70</v>
      </c>
      <c r="AH115" s="26" t="s">
        <v>70</v>
      </c>
      <c r="AI115" s="26" t="s">
        <v>70</v>
      </c>
      <c r="AJ115" s="26" t="s">
        <v>70</v>
      </c>
      <c r="AK115" s="26" t="s">
        <v>70</v>
      </c>
      <c r="AL115" s="26" t="s">
        <v>70</v>
      </c>
      <c r="AM115" s="26" t="s">
        <v>548</v>
      </c>
      <c r="AN115" s="26" t="s">
        <v>274</v>
      </c>
      <c r="AO115" s="35" t="s">
        <v>548</v>
      </c>
      <c r="AP115" s="35" t="s">
        <v>548</v>
      </c>
      <c r="AQ115" s="35" t="s">
        <v>548</v>
      </c>
      <c r="AR115" s="35" t="s">
        <v>175</v>
      </c>
      <c r="AS115" s="26" t="s">
        <v>175</v>
      </c>
      <c r="AT115" s="26" t="s">
        <v>70</v>
      </c>
      <c r="AU115" s="26" t="s">
        <v>70</v>
      </c>
      <c r="AV115" s="26">
        <v>5</v>
      </c>
    </row>
    <row r="116" spans="1:48" ht="14" customHeight="1">
      <c r="A116" s="27">
        <f t="shared" si="1"/>
        <v>115</v>
      </c>
      <c r="B116" s="27" t="s">
        <v>332</v>
      </c>
      <c r="C116" s="27">
        <v>2008</v>
      </c>
      <c r="D116" s="26" t="s">
        <v>13</v>
      </c>
      <c r="E116" s="26" t="s">
        <v>566</v>
      </c>
      <c r="F116" s="77" t="s">
        <v>175</v>
      </c>
      <c r="G116" s="2" t="s">
        <v>105</v>
      </c>
      <c r="H116" s="2" t="s">
        <v>30</v>
      </c>
      <c r="I116" s="2" t="s">
        <v>548</v>
      </c>
      <c r="J116" s="2" t="s">
        <v>604</v>
      </c>
      <c r="K116" s="2" t="s">
        <v>548</v>
      </c>
      <c r="L116" s="2" t="s">
        <v>548</v>
      </c>
      <c r="M116" s="2" t="s">
        <v>175</v>
      </c>
      <c r="N116" s="2" t="s">
        <v>62</v>
      </c>
      <c r="O116" s="2" t="s">
        <v>43</v>
      </c>
      <c r="P116" s="2" t="s">
        <v>62</v>
      </c>
      <c r="Q116" s="26" t="s">
        <v>606</v>
      </c>
      <c r="R116" s="79" t="s">
        <v>613</v>
      </c>
      <c r="S116" s="90">
        <v>0.18</v>
      </c>
      <c r="T116" s="26">
        <v>100</v>
      </c>
      <c r="U116" s="77">
        <v>1</v>
      </c>
      <c r="V116" s="26">
        <v>0</v>
      </c>
      <c r="W116" s="26">
        <v>1</v>
      </c>
      <c r="X116" s="26">
        <v>1</v>
      </c>
      <c r="Y116" s="26">
        <v>0</v>
      </c>
      <c r="Z116" s="26">
        <v>0</v>
      </c>
      <c r="AA116" s="26">
        <v>0</v>
      </c>
      <c r="AB116" s="26">
        <v>0</v>
      </c>
      <c r="AC116" s="33" t="s">
        <v>70</v>
      </c>
      <c r="AD116" s="33" t="s">
        <v>70</v>
      </c>
      <c r="AE116" s="33" t="s">
        <v>70</v>
      </c>
      <c r="AF116" s="33" t="s">
        <v>70</v>
      </c>
      <c r="AG116" s="26" t="s">
        <v>70</v>
      </c>
      <c r="AH116" s="26" t="s">
        <v>70</v>
      </c>
      <c r="AI116" s="26" t="s">
        <v>70</v>
      </c>
      <c r="AJ116" s="26" t="s">
        <v>70</v>
      </c>
      <c r="AK116" s="26" t="s">
        <v>70</v>
      </c>
      <c r="AL116" s="26" t="s">
        <v>70</v>
      </c>
      <c r="AM116" s="26" t="s">
        <v>548</v>
      </c>
      <c r="AN116" s="26" t="s">
        <v>274</v>
      </c>
      <c r="AO116" s="35" t="s">
        <v>548</v>
      </c>
      <c r="AP116" s="35" t="s">
        <v>548</v>
      </c>
      <c r="AQ116" s="35" t="s">
        <v>548</v>
      </c>
      <c r="AR116" s="35" t="s">
        <v>175</v>
      </c>
      <c r="AS116" s="26" t="s">
        <v>175</v>
      </c>
      <c r="AT116" s="26" t="s">
        <v>70</v>
      </c>
      <c r="AU116" s="26" t="s">
        <v>70</v>
      </c>
      <c r="AV116" s="26">
        <v>5</v>
      </c>
    </row>
    <row r="117" spans="1:48" ht="14" customHeight="1">
      <c r="A117" s="27">
        <f t="shared" si="1"/>
        <v>116</v>
      </c>
      <c r="B117" s="27" t="s">
        <v>332</v>
      </c>
      <c r="C117" s="27">
        <v>2008</v>
      </c>
      <c r="D117" s="26" t="s">
        <v>13</v>
      </c>
      <c r="E117" s="26" t="s">
        <v>566</v>
      </c>
      <c r="F117" s="77" t="s">
        <v>175</v>
      </c>
      <c r="G117" s="2" t="s">
        <v>105</v>
      </c>
      <c r="H117" s="2" t="s">
        <v>30</v>
      </c>
      <c r="I117" s="2" t="s">
        <v>548</v>
      </c>
      <c r="J117" s="2" t="s">
        <v>604</v>
      </c>
      <c r="K117" s="2" t="s">
        <v>548</v>
      </c>
      <c r="L117" s="2" t="s">
        <v>548</v>
      </c>
      <c r="M117" s="2" t="s">
        <v>175</v>
      </c>
      <c r="N117" s="2" t="s">
        <v>70</v>
      </c>
      <c r="O117" s="2" t="s">
        <v>209</v>
      </c>
      <c r="P117" s="2" t="s">
        <v>61</v>
      </c>
      <c r="Q117" s="2" t="s">
        <v>42</v>
      </c>
      <c r="R117" s="79" t="s">
        <v>613</v>
      </c>
      <c r="S117" s="90">
        <v>5.1999999999999998E-2</v>
      </c>
      <c r="T117" s="26">
        <v>500</v>
      </c>
      <c r="U117" s="77">
        <v>1</v>
      </c>
      <c r="V117" s="26">
        <v>0</v>
      </c>
      <c r="W117" s="26">
        <v>1</v>
      </c>
      <c r="X117" s="26">
        <v>1</v>
      </c>
      <c r="Y117" s="26">
        <v>0</v>
      </c>
      <c r="Z117" s="26">
        <v>0</v>
      </c>
      <c r="AA117" s="26">
        <v>0</v>
      </c>
      <c r="AB117" s="26">
        <v>0</v>
      </c>
      <c r="AC117" s="33" t="s">
        <v>70</v>
      </c>
      <c r="AD117" s="33" t="s">
        <v>70</v>
      </c>
      <c r="AE117" s="33" t="s">
        <v>70</v>
      </c>
      <c r="AF117" s="33" t="s">
        <v>70</v>
      </c>
      <c r="AG117" s="26" t="s">
        <v>70</v>
      </c>
      <c r="AH117" s="26" t="s">
        <v>70</v>
      </c>
      <c r="AI117" s="26" t="s">
        <v>70</v>
      </c>
      <c r="AJ117" s="26" t="s">
        <v>70</v>
      </c>
      <c r="AK117" s="26" t="s">
        <v>70</v>
      </c>
      <c r="AL117" s="26" t="s">
        <v>70</v>
      </c>
      <c r="AM117" s="26" t="s">
        <v>548</v>
      </c>
      <c r="AN117" s="26" t="s">
        <v>274</v>
      </c>
      <c r="AO117" s="35" t="s">
        <v>548</v>
      </c>
      <c r="AP117" s="35" t="s">
        <v>548</v>
      </c>
      <c r="AQ117" s="35" t="s">
        <v>548</v>
      </c>
      <c r="AR117" s="35" t="s">
        <v>175</v>
      </c>
      <c r="AS117" s="26" t="s">
        <v>175</v>
      </c>
      <c r="AT117" s="26" t="s">
        <v>70</v>
      </c>
      <c r="AU117" s="26" t="s">
        <v>70</v>
      </c>
      <c r="AV117" s="26">
        <v>5</v>
      </c>
    </row>
    <row r="118" spans="1:48" ht="14" customHeight="1">
      <c r="A118" s="27">
        <f t="shared" si="1"/>
        <v>117</v>
      </c>
      <c r="B118" s="27" t="s">
        <v>334</v>
      </c>
      <c r="C118" s="28">
        <v>2008</v>
      </c>
      <c r="D118" s="26" t="s">
        <v>146</v>
      </c>
      <c r="E118" s="26" t="s">
        <v>566</v>
      </c>
      <c r="F118" s="2" t="s">
        <v>175</v>
      </c>
      <c r="G118" s="2" t="s">
        <v>42</v>
      </c>
      <c r="H118" s="2" t="s">
        <v>30</v>
      </c>
      <c r="I118" s="2" t="s">
        <v>548</v>
      </c>
      <c r="J118" s="2" t="s">
        <v>604</v>
      </c>
      <c r="K118" s="2" t="s">
        <v>548</v>
      </c>
      <c r="L118" s="2" t="s">
        <v>548</v>
      </c>
      <c r="M118" s="2" t="s">
        <v>175</v>
      </c>
      <c r="N118" s="2" t="s">
        <v>48</v>
      </c>
      <c r="O118" s="2" t="s">
        <v>209</v>
      </c>
      <c r="P118" s="2" t="s">
        <v>48</v>
      </c>
      <c r="Q118" s="2" t="s">
        <v>42</v>
      </c>
      <c r="R118" s="102" t="s">
        <v>614</v>
      </c>
      <c r="S118" s="88">
        <v>0</v>
      </c>
      <c r="T118" s="61">
        <v>84</v>
      </c>
      <c r="U118" s="2">
        <v>1</v>
      </c>
      <c r="V118" s="26">
        <v>0</v>
      </c>
      <c r="W118" s="26">
        <v>1</v>
      </c>
      <c r="X118" s="26">
        <v>0</v>
      </c>
      <c r="Y118" s="26">
        <v>0</v>
      </c>
      <c r="Z118" s="26">
        <v>0</v>
      </c>
      <c r="AA118" s="26">
        <v>1</v>
      </c>
      <c r="AB118" s="26">
        <v>1</v>
      </c>
      <c r="AC118" s="26">
        <v>1</v>
      </c>
      <c r="AD118" s="26">
        <v>0</v>
      </c>
      <c r="AE118" s="26">
        <v>0</v>
      </c>
      <c r="AF118" s="26">
        <v>0</v>
      </c>
      <c r="AG118" s="33" t="s">
        <v>70</v>
      </c>
      <c r="AH118" s="26" t="s">
        <v>70</v>
      </c>
      <c r="AI118" s="26" t="s">
        <v>70</v>
      </c>
      <c r="AJ118" s="26" t="s">
        <v>70</v>
      </c>
      <c r="AK118" s="26" t="s">
        <v>70</v>
      </c>
      <c r="AL118" s="26" t="s">
        <v>70</v>
      </c>
      <c r="AM118" s="61" t="s">
        <v>548</v>
      </c>
      <c r="AN118" s="26" t="s">
        <v>274</v>
      </c>
      <c r="AO118" s="26" t="s">
        <v>548</v>
      </c>
      <c r="AP118" s="26" t="s">
        <v>548</v>
      </c>
      <c r="AQ118" s="26" t="s">
        <v>548</v>
      </c>
      <c r="AR118" s="26" t="s">
        <v>548</v>
      </c>
      <c r="AS118" s="26" t="s">
        <v>175</v>
      </c>
      <c r="AT118" s="26" t="s">
        <v>70</v>
      </c>
      <c r="AU118" s="26" t="s">
        <v>70</v>
      </c>
      <c r="AV118" s="26">
        <v>6</v>
      </c>
    </row>
    <row r="119" spans="1:48" ht="14" customHeight="1">
      <c r="A119" s="27">
        <v>118</v>
      </c>
      <c r="B119" s="27" t="s">
        <v>629</v>
      </c>
      <c r="C119" s="28">
        <v>2011</v>
      </c>
      <c r="D119" s="26" t="s">
        <v>18</v>
      </c>
      <c r="E119" s="26" t="s">
        <v>566</v>
      </c>
      <c r="F119" s="2" t="s">
        <v>175</v>
      </c>
      <c r="G119" s="2" t="s">
        <v>84</v>
      </c>
      <c r="H119" s="2" t="s">
        <v>30</v>
      </c>
      <c r="I119" s="2" t="s">
        <v>548</v>
      </c>
      <c r="J119" s="2" t="s">
        <v>604</v>
      </c>
      <c r="K119" s="2" t="s">
        <v>548</v>
      </c>
      <c r="L119" s="2" t="s">
        <v>548</v>
      </c>
      <c r="M119" s="2" t="s">
        <v>175</v>
      </c>
      <c r="N119" s="2" t="s">
        <v>62</v>
      </c>
      <c r="O119" s="2" t="s">
        <v>43</v>
      </c>
      <c r="P119" s="2" t="s">
        <v>62</v>
      </c>
      <c r="Q119" s="2" t="s">
        <v>606</v>
      </c>
      <c r="R119" s="79" t="s">
        <v>613</v>
      </c>
      <c r="S119" s="88">
        <v>0.25</v>
      </c>
      <c r="T119" s="61">
        <v>31</v>
      </c>
      <c r="U119" s="2">
        <v>1</v>
      </c>
      <c r="V119" s="26">
        <v>1</v>
      </c>
      <c r="W119" s="26">
        <v>1</v>
      </c>
      <c r="X119" s="26">
        <v>1</v>
      </c>
      <c r="Y119" s="26">
        <v>1</v>
      </c>
      <c r="Z119" s="26">
        <v>0</v>
      </c>
      <c r="AA119" s="26">
        <v>0</v>
      </c>
      <c r="AB119" s="26">
        <v>0</v>
      </c>
      <c r="AC119" s="26">
        <v>0.7</v>
      </c>
      <c r="AD119" s="26">
        <v>0.3</v>
      </c>
      <c r="AE119" s="26">
        <v>0</v>
      </c>
      <c r="AF119" s="26">
        <v>0</v>
      </c>
      <c r="AG119" s="33" t="s">
        <v>70</v>
      </c>
      <c r="AH119" s="33" t="s">
        <v>70</v>
      </c>
      <c r="AI119" s="33" t="s">
        <v>70</v>
      </c>
      <c r="AJ119" s="33" t="s">
        <v>70</v>
      </c>
      <c r="AK119" s="33" t="s">
        <v>70</v>
      </c>
      <c r="AL119" s="33" t="s">
        <v>70</v>
      </c>
      <c r="AM119" s="61" t="s">
        <v>175</v>
      </c>
      <c r="AN119" s="26" t="s">
        <v>9</v>
      </c>
      <c r="AO119" s="26" t="s">
        <v>548</v>
      </c>
      <c r="AP119" s="26" t="s">
        <v>175</v>
      </c>
      <c r="AQ119" s="26" t="s">
        <v>548</v>
      </c>
      <c r="AR119" s="26" t="s">
        <v>548</v>
      </c>
      <c r="AS119" s="26" t="s">
        <v>175</v>
      </c>
      <c r="AT119" s="26" t="s">
        <v>175</v>
      </c>
      <c r="AU119" s="26" t="s">
        <v>548</v>
      </c>
      <c r="AV119" s="26">
        <v>8</v>
      </c>
    </row>
    <row r="120" spans="1:48" ht="14" customHeight="1">
      <c r="A120" s="27">
        <v>119</v>
      </c>
      <c r="B120" s="27" t="s">
        <v>629</v>
      </c>
      <c r="C120" s="28">
        <v>2011</v>
      </c>
      <c r="D120" s="26" t="s">
        <v>18</v>
      </c>
      <c r="E120" s="26" t="s">
        <v>566</v>
      </c>
      <c r="F120" s="2" t="s">
        <v>175</v>
      </c>
      <c r="G120" s="2" t="s">
        <v>84</v>
      </c>
      <c r="H120" s="2" t="s">
        <v>30</v>
      </c>
      <c r="I120" s="2" t="s">
        <v>548</v>
      </c>
      <c r="J120" s="2" t="s">
        <v>604</v>
      </c>
      <c r="K120" s="2" t="s">
        <v>548</v>
      </c>
      <c r="L120" s="2" t="s">
        <v>548</v>
      </c>
      <c r="M120" s="2" t="s">
        <v>175</v>
      </c>
      <c r="N120" s="2" t="s">
        <v>62</v>
      </c>
      <c r="O120" s="2" t="s">
        <v>43</v>
      </c>
      <c r="P120" s="2" t="s">
        <v>621</v>
      </c>
      <c r="Q120" s="2" t="s">
        <v>606</v>
      </c>
      <c r="R120" s="79" t="s">
        <v>613</v>
      </c>
      <c r="S120" s="88">
        <v>0.84375</v>
      </c>
      <c r="T120" s="61">
        <v>32</v>
      </c>
      <c r="U120" s="2">
        <v>1</v>
      </c>
      <c r="V120" s="26">
        <v>1</v>
      </c>
      <c r="W120" s="26">
        <v>1</v>
      </c>
      <c r="X120" s="26">
        <v>1</v>
      </c>
      <c r="Y120" s="26">
        <v>1</v>
      </c>
      <c r="Z120" s="26">
        <v>0</v>
      </c>
      <c r="AA120" s="26">
        <v>0</v>
      </c>
      <c r="AB120" s="26">
        <v>0</v>
      </c>
      <c r="AC120" s="26">
        <v>0.15625</v>
      </c>
      <c r="AD120" s="26">
        <v>0.3125</v>
      </c>
      <c r="AE120" s="26">
        <v>0.34375</v>
      </c>
      <c r="AF120" s="26">
        <v>0.1875</v>
      </c>
      <c r="AG120" s="33" t="s">
        <v>70</v>
      </c>
      <c r="AH120" s="33" t="s">
        <v>70</v>
      </c>
      <c r="AI120" s="33" t="s">
        <v>70</v>
      </c>
      <c r="AJ120" s="33" t="s">
        <v>70</v>
      </c>
      <c r="AK120" s="33" t="s">
        <v>70</v>
      </c>
      <c r="AL120" s="33" t="s">
        <v>70</v>
      </c>
      <c r="AM120" s="61" t="s">
        <v>175</v>
      </c>
      <c r="AN120" s="26" t="s">
        <v>9</v>
      </c>
      <c r="AO120" s="26" t="s">
        <v>548</v>
      </c>
      <c r="AP120" s="26" t="s">
        <v>175</v>
      </c>
      <c r="AQ120" s="26" t="s">
        <v>548</v>
      </c>
      <c r="AR120" s="26" t="s">
        <v>548</v>
      </c>
      <c r="AS120" s="26" t="s">
        <v>175</v>
      </c>
      <c r="AT120" s="26" t="s">
        <v>175</v>
      </c>
      <c r="AU120" s="26" t="s">
        <v>548</v>
      </c>
      <c r="AV120" s="26">
        <v>8</v>
      </c>
    </row>
    <row r="121" spans="1:48" ht="14" customHeight="1">
      <c r="A121" s="27">
        <v>120</v>
      </c>
      <c r="B121" s="27" t="s">
        <v>333</v>
      </c>
      <c r="C121" s="27">
        <v>1993</v>
      </c>
      <c r="D121" s="26" t="s">
        <v>35</v>
      </c>
      <c r="E121" s="26" t="s">
        <v>564</v>
      </c>
      <c r="F121" s="77" t="s">
        <v>175</v>
      </c>
      <c r="G121" s="2" t="s">
        <v>147</v>
      </c>
      <c r="H121" s="2" t="s">
        <v>275</v>
      </c>
      <c r="I121" s="2" t="s">
        <v>548</v>
      </c>
      <c r="J121" s="2" t="s">
        <v>604</v>
      </c>
      <c r="K121" s="2" t="s">
        <v>548</v>
      </c>
      <c r="L121" s="2" t="s">
        <v>548</v>
      </c>
      <c r="M121" s="2" t="s">
        <v>175</v>
      </c>
      <c r="N121" s="2" t="s">
        <v>70</v>
      </c>
      <c r="O121" s="2" t="s">
        <v>209</v>
      </c>
      <c r="P121" s="2" t="s">
        <v>612</v>
      </c>
      <c r="Q121" s="2" t="s">
        <v>42</v>
      </c>
      <c r="R121" s="79" t="s">
        <v>613</v>
      </c>
      <c r="S121" s="88">
        <v>0.214</v>
      </c>
      <c r="T121" s="26">
        <v>388</v>
      </c>
      <c r="U121" s="77">
        <v>1</v>
      </c>
      <c r="V121" s="26">
        <v>0</v>
      </c>
      <c r="W121" s="26">
        <v>1</v>
      </c>
      <c r="X121" s="26">
        <v>1</v>
      </c>
      <c r="Y121" s="26">
        <v>0</v>
      </c>
      <c r="Z121" s="26">
        <v>0</v>
      </c>
      <c r="AA121" s="26">
        <v>0</v>
      </c>
      <c r="AB121" s="26">
        <v>0</v>
      </c>
      <c r="AC121" s="33" t="s">
        <v>70</v>
      </c>
      <c r="AD121" s="33" t="s">
        <v>70</v>
      </c>
      <c r="AE121" s="33" t="s">
        <v>70</v>
      </c>
      <c r="AF121" s="33" t="s">
        <v>70</v>
      </c>
      <c r="AG121" s="26">
        <v>487</v>
      </c>
      <c r="AH121" s="26" t="s">
        <v>70</v>
      </c>
      <c r="AI121" s="26" t="s">
        <v>70</v>
      </c>
      <c r="AJ121" s="26" t="s">
        <v>181</v>
      </c>
      <c r="AK121" s="26">
        <v>1151</v>
      </c>
      <c r="AL121" s="26" t="s">
        <v>70</v>
      </c>
      <c r="AM121" s="35" t="s">
        <v>548</v>
      </c>
      <c r="AN121" s="32" t="s">
        <v>274</v>
      </c>
      <c r="AO121" s="35" t="s">
        <v>548</v>
      </c>
      <c r="AP121" s="35" t="s">
        <v>548</v>
      </c>
      <c r="AQ121" s="35" t="s">
        <v>548</v>
      </c>
      <c r="AR121" s="35" t="s">
        <v>548</v>
      </c>
      <c r="AS121" s="26" t="s">
        <v>175</v>
      </c>
      <c r="AT121" s="26" t="s">
        <v>70</v>
      </c>
      <c r="AU121" s="26" t="s">
        <v>70</v>
      </c>
      <c r="AV121" s="26">
        <v>5</v>
      </c>
    </row>
    <row r="122" spans="1:48" ht="14" customHeight="1">
      <c r="A122" s="27">
        <v>121</v>
      </c>
      <c r="B122" s="27" t="s">
        <v>335</v>
      </c>
      <c r="C122" s="27">
        <v>1992</v>
      </c>
      <c r="D122" s="26" t="s">
        <v>222</v>
      </c>
      <c r="E122" s="26" t="s">
        <v>563</v>
      </c>
      <c r="F122" s="77" t="s">
        <v>175</v>
      </c>
      <c r="G122" s="2" t="s">
        <v>105</v>
      </c>
      <c r="H122" s="2" t="s">
        <v>24</v>
      </c>
      <c r="I122" s="2" t="s">
        <v>548</v>
      </c>
      <c r="J122" s="2" t="s">
        <v>189</v>
      </c>
      <c r="K122" s="2" t="s">
        <v>548</v>
      </c>
      <c r="L122" s="2" t="s">
        <v>548</v>
      </c>
      <c r="M122" s="2" t="s">
        <v>175</v>
      </c>
      <c r="N122" s="2" t="s">
        <v>210</v>
      </c>
      <c r="O122" s="2" t="s">
        <v>43</v>
      </c>
      <c r="P122" s="2" t="s">
        <v>210</v>
      </c>
      <c r="Q122" s="2" t="s">
        <v>42</v>
      </c>
      <c r="R122" s="79" t="s">
        <v>613</v>
      </c>
      <c r="S122" s="2">
        <v>0</v>
      </c>
      <c r="T122" s="26">
        <v>29</v>
      </c>
      <c r="U122" s="77">
        <v>1</v>
      </c>
      <c r="V122" s="26">
        <v>0</v>
      </c>
      <c r="W122" s="26">
        <v>0</v>
      </c>
      <c r="X122" s="26">
        <v>1</v>
      </c>
      <c r="Y122" s="26">
        <v>0</v>
      </c>
      <c r="Z122" s="26">
        <v>0</v>
      </c>
      <c r="AA122" s="26">
        <v>0</v>
      </c>
      <c r="AB122" s="26">
        <v>0</v>
      </c>
      <c r="AC122" s="26" t="s">
        <v>70</v>
      </c>
      <c r="AD122" s="26" t="s">
        <v>70</v>
      </c>
      <c r="AE122" s="26" t="s">
        <v>70</v>
      </c>
      <c r="AF122" s="26" t="s">
        <v>70</v>
      </c>
      <c r="AG122" s="33">
        <v>0</v>
      </c>
      <c r="AH122" s="26" t="s">
        <v>70</v>
      </c>
      <c r="AI122" s="26" t="s">
        <v>70</v>
      </c>
      <c r="AJ122" s="26" t="s">
        <v>70</v>
      </c>
      <c r="AK122" s="26" t="s">
        <v>70</v>
      </c>
      <c r="AL122" s="26" t="s">
        <v>70</v>
      </c>
      <c r="AM122" s="35" t="s">
        <v>548</v>
      </c>
      <c r="AN122" s="26" t="s">
        <v>274</v>
      </c>
      <c r="AO122" s="35" t="s">
        <v>548</v>
      </c>
      <c r="AP122" s="26" t="s">
        <v>548</v>
      </c>
      <c r="AQ122" s="26" t="s">
        <v>548</v>
      </c>
      <c r="AR122" s="26" t="s">
        <v>548</v>
      </c>
      <c r="AS122" s="26" t="s">
        <v>175</v>
      </c>
      <c r="AT122" s="26" t="s">
        <v>70</v>
      </c>
      <c r="AU122" s="26" t="s">
        <v>70</v>
      </c>
      <c r="AV122" s="26">
        <v>4</v>
      </c>
    </row>
    <row r="123" spans="1:48" ht="14" customHeight="1">
      <c r="A123" s="27">
        <v>122</v>
      </c>
      <c r="B123" s="27" t="s">
        <v>335</v>
      </c>
      <c r="C123" s="27">
        <v>1992</v>
      </c>
      <c r="D123" s="26" t="s">
        <v>222</v>
      </c>
      <c r="E123" s="26" t="s">
        <v>563</v>
      </c>
      <c r="F123" s="77" t="s">
        <v>175</v>
      </c>
      <c r="G123" s="2" t="s">
        <v>105</v>
      </c>
      <c r="H123" s="2" t="s">
        <v>24</v>
      </c>
      <c r="I123" s="2" t="s">
        <v>548</v>
      </c>
      <c r="J123" s="2" t="s">
        <v>189</v>
      </c>
      <c r="K123" s="2" t="s">
        <v>548</v>
      </c>
      <c r="L123" s="2" t="s">
        <v>548</v>
      </c>
      <c r="M123" s="2" t="s">
        <v>175</v>
      </c>
      <c r="N123" s="2" t="s">
        <v>210</v>
      </c>
      <c r="O123" s="2" t="s">
        <v>43</v>
      </c>
      <c r="P123" s="2" t="s">
        <v>618</v>
      </c>
      <c r="Q123" s="2" t="s">
        <v>42</v>
      </c>
      <c r="R123" s="79" t="s">
        <v>613</v>
      </c>
      <c r="S123" s="2" t="s">
        <v>70</v>
      </c>
      <c r="T123" s="26">
        <v>58</v>
      </c>
      <c r="U123" s="77">
        <v>1</v>
      </c>
      <c r="V123" s="26">
        <v>0</v>
      </c>
      <c r="W123" s="26">
        <v>0</v>
      </c>
      <c r="X123" s="26">
        <v>1</v>
      </c>
      <c r="Y123" s="26">
        <v>0</v>
      </c>
      <c r="Z123" s="26">
        <v>0</v>
      </c>
      <c r="AA123" s="26">
        <v>0</v>
      </c>
      <c r="AB123" s="26">
        <v>0</v>
      </c>
      <c r="AC123" s="26" t="s">
        <v>70</v>
      </c>
      <c r="AD123" s="26" t="s">
        <v>70</v>
      </c>
      <c r="AE123" s="26" t="s">
        <v>70</v>
      </c>
      <c r="AF123" s="26" t="s">
        <v>70</v>
      </c>
      <c r="AG123" s="33">
        <v>208.9</v>
      </c>
      <c r="AH123" s="26" t="s">
        <v>70</v>
      </c>
      <c r="AI123" s="26" t="s">
        <v>70</v>
      </c>
      <c r="AJ123" s="26" t="s">
        <v>70</v>
      </c>
      <c r="AK123" s="26" t="s">
        <v>70</v>
      </c>
      <c r="AL123" s="26" t="s">
        <v>70</v>
      </c>
      <c r="AM123" s="35" t="s">
        <v>548</v>
      </c>
      <c r="AN123" s="26" t="s">
        <v>274</v>
      </c>
      <c r="AO123" s="35" t="s">
        <v>548</v>
      </c>
      <c r="AP123" s="26" t="s">
        <v>548</v>
      </c>
      <c r="AQ123" s="26" t="s">
        <v>548</v>
      </c>
      <c r="AR123" s="26" t="s">
        <v>548</v>
      </c>
      <c r="AS123" s="26" t="s">
        <v>175</v>
      </c>
      <c r="AT123" s="26" t="s">
        <v>70</v>
      </c>
      <c r="AU123" s="26" t="s">
        <v>70</v>
      </c>
      <c r="AV123" s="26">
        <v>4</v>
      </c>
    </row>
    <row r="124" spans="1:48" ht="14" customHeight="1">
      <c r="A124" s="27">
        <v>123</v>
      </c>
      <c r="B124" s="27" t="s">
        <v>336</v>
      </c>
      <c r="C124" s="27">
        <v>2013</v>
      </c>
      <c r="D124" s="26" t="s">
        <v>27</v>
      </c>
      <c r="E124" s="26" t="s">
        <v>563</v>
      </c>
      <c r="F124" s="77" t="s">
        <v>175</v>
      </c>
      <c r="G124" s="2" t="s">
        <v>84</v>
      </c>
      <c r="H124" s="2" t="s">
        <v>24</v>
      </c>
      <c r="I124" s="2" t="s">
        <v>548</v>
      </c>
      <c r="J124" s="2" t="s">
        <v>603</v>
      </c>
      <c r="K124" s="2" t="s">
        <v>548</v>
      </c>
      <c r="L124" s="2" t="s">
        <v>548</v>
      </c>
      <c r="M124" s="2" t="s">
        <v>175</v>
      </c>
      <c r="N124" s="2" t="s">
        <v>210</v>
      </c>
      <c r="O124" s="2" t="s">
        <v>43</v>
      </c>
      <c r="P124" s="2" t="s">
        <v>210</v>
      </c>
      <c r="Q124" s="2" t="s">
        <v>42</v>
      </c>
      <c r="R124" s="102" t="s">
        <v>614</v>
      </c>
      <c r="S124" s="2">
        <v>0.37</v>
      </c>
      <c r="T124" s="26">
        <v>92</v>
      </c>
      <c r="U124" s="77">
        <v>1</v>
      </c>
      <c r="V124" s="26">
        <v>0</v>
      </c>
      <c r="W124" s="26">
        <v>1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 t="s">
        <v>70</v>
      </c>
      <c r="AD124" s="26" t="s">
        <v>70</v>
      </c>
      <c r="AE124" s="26" t="s">
        <v>70</v>
      </c>
      <c r="AF124" s="26" t="s">
        <v>70</v>
      </c>
      <c r="AG124" s="26" t="s">
        <v>70</v>
      </c>
      <c r="AH124" s="26" t="s">
        <v>70</v>
      </c>
      <c r="AI124" s="26" t="s">
        <v>70</v>
      </c>
      <c r="AJ124" s="26" t="s">
        <v>70</v>
      </c>
      <c r="AK124" s="26" t="s">
        <v>70</v>
      </c>
      <c r="AL124" s="26" t="s">
        <v>70</v>
      </c>
      <c r="AM124" s="35" t="s">
        <v>175</v>
      </c>
      <c r="AN124" s="32" t="s">
        <v>9</v>
      </c>
      <c r="AO124" s="35" t="s">
        <v>175</v>
      </c>
      <c r="AP124" s="35" t="s">
        <v>175</v>
      </c>
      <c r="AQ124" s="35" t="s">
        <v>548</v>
      </c>
      <c r="AR124" s="35" t="s">
        <v>548</v>
      </c>
      <c r="AS124" s="26" t="s">
        <v>175</v>
      </c>
      <c r="AT124" s="26" t="s">
        <v>548</v>
      </c>
      <c r="AU124" s="40" t="s">
        <v>548</v>
      </c>
      <c r="AV124" s="26">
        <v>5</v>
      </c>
    </row>
    <row r="125" spans="1:48" ht="14" customHeight="1">
      <c r="A125" s="27">
        <v>124</v>
      </c>
      <c r="B125" s="27" t="s">
        <v>337</v>
      </c>
      <c r="C125" s="27">
        <v>2009</v>
      </c>
      <c r="D125" s="26" t="s">
        <v>18</v>
      </c>
      <c r="E125" s="26" t="s">
        <v>566</v>
      </c>
      <c r="F125" s="77" t="s">
        <v>175</v>
      </c>
      <c r="G125" s="2" t="s">
        <v>84</v>
      </c>
      <c r="H125" s="2" t="s">
        <v>30</v>
      </c>
      <c r="I125" s="2" t="s">
        <v>548</v>
      </c>
      <c r="J125" s="2" t="s">
        <v>604</v>
      </c>
      <c r="K125" s="2" t="s">
        <v>548</v>
      </c>
      <c r="L125" s="2" t="s">
        <v>548</v>
      </c>
      <c r="M125" s="2" t="s">
        <v>175</v>
      </c>
      <c r="N125" s="2" t="s">
        <v>62</v>
      </c>
      <c r="O125" s="2" t="s">
        <v>43</v>
      </c>
      <c r="P125" s="2" t="s">
        <v>62</v>
      </c>
      <c r="Q125" s="26" t="s">
        <v>606</v>
      </c>
      <c r="R125" s="102" t="s">
        <v>614</v>
      </c>
      <c r="S125" s="88">
        <v>0</v>
      </c>
      <c r="T125" s="26">
        <v>47</v>
      </c>
      <c r="U125" s="77">
        <v>1</v>
      </c>
      <c r="V125" s="26">
        <v>0</v>
      </c>
      <c r="W125" s="26">
        <v>1</v>
      </c>
      <c r="X125" s="26">
        <v>1</v>
      </c>
      <c r="Y125" s="26">
        <v>1</v>
      </c>
      <c r="Z125" s="26">
        <v>0</v>
      </c>
      <c r="AA125" s="26">
        <v>0</v>
      </c>
      <c r="AB125" s="26">
        <v>1</v>
      </c>
      <c r="AC125" s="33" t="s">
        <v>70</v>
      </c>
      <c r="AD125" s="33" t="s">
        <v>70</v>
      </c>
      <c r="AE125" s="33" t="s">
        <v>70</v>
      </c>
      <c r="AF125" s="33" t="s">
        <v>70</v>
      </c>
      <c r="AG125" s="33">
        <v>879.5</v>
      </c>
      <c r="AH125" s="26" t="s">
        <v>70</v>
      </c>
      <c r="AI125" s="26" t="s">
        <v>70</v>
      </c>
      <c r="AJ125" s="26" t="s">
        <v>70</v>
      </c>
      <c r="AK125" s="26" t="s">
        <v>70</v>
      </c>
      <c r="AL125" s="26" t="s">
        <v>70</v>
      </c>
      <c r="AM125" s="26" t="s">
        <v>175</v>
      </c>
      <c r="AN125" s="26" t="s">
        <v>274</v>
      </c>
      <c r="AO125" s="35" t="s">
        <v>548</v>
      </c>
      <c r="AP125" s="35" t="s">
        <v>175</v>
      </c>
      <c r="AQ125" s="35" t="s">
        <v>548</v>
      </c>
      <c r="AR125" s="35" t="s">
        <v>548</v>
      </c>
      <c r="AS125" s="26" t="s">
        <v>175</v>
      </c>
      <c r="AT125" s="26" t="s">
        <v>548</v>
      </c>
      <c r="AU125" s="40" t="s">
        <v>175</v>
      </c>
      <c r="AV125" s="26">
        <v>8</v>
      </c>
    </row>
    <row r="126" spans="1:48" ht="14" customHeight="1">
      <c r="A126" s="27">
        <v>125</v>
      </c>
      <c r="B126" s="27" t="s">
        <v>337</v>
      </c>
      <c r="C126" s="27">
        <v>2009</v>
      </c>
      <c r="D126" s="26" t="s">
        <v>18</v>
      </c>
      <c r="E126" s="26" t="s">
        <v>566</v>
      </c>
      <c r="F126" s="77" t="s">
        <v>175</v>
      </c>
      <c r="G126" s="2" t="s">
        <v>84</v>
      </c>
      <c r="H126" s="2" t="s">
        <v>30</v>
      </c>
      <c r="I126" s="2" t="s">
        <v>548</v>
      </c>
      <c r="J126" s="2" t="s">
        <v>604</v>
      </c>
      <c r="K126" s="2" t="s">
        <v>548</v>
      </c>
      <c r="L126" s="2" t="s">
        <v>548</v>
      </c>
      <c r="M126" s="2" t="s">
        <v>175</v>
      </c>
      <c r="N126" s="2" t="s">
        <v>62</v>
      </c>
      <c r="O126" s="2" t="s">
        <v>43</v>
      </c>
      <c r="P126" s="2" t="s">
        <v>621</v>
      </c>
      <c r="Q126" s="2" t="s">
        <v>42</v>
      </c>
      <c r="R126" s="102" t="s">
        <v>614</v>
      </c>
      <c r="S126" s="88">
        <f>15/47</f>
        <v>0.31914893617021278</v>
      </c>
      <c r="T126" s="26">
        <v>50</v>
      </c>
      <c r="U126" s="77">
        <v>1</v>
      </c>
      <c r="V126" s="26">
        <v>0</v>
      </c>
      <c r="W126" s="26">
        <v>1</v>
      </c>
      <c r="X126" s="26">
        <v>1</v>
      </c>
      <c r="Y126" s="26">
        <v>1</v>
      </c>
      <c r="Z126" s="26">
        <v>0</v>
      </c>
      <c r="AA126" s="26">
        <v>0</v>
      </c>
      <c r="AB126" s="26">
        <v>1</v>
      </c>
      <c r="AC126" s="33" t="s">
        <v>70</v>
      </c>
      <c r="AD126" s="33" t="s">
        <v>70</v>
      </c>
      <c r="AE126" s="33" t="s">
        <v>70</v>
      </c>
      <c r="AF126" s="33" t="s">
        <v>70</v>
      </c>
      <c r="AG126" s="33">
        <v>548.9</v>
      </c>
      <c r="AH126" s="26" t="s">
        <v>70</v>
      </c>
      <c r="AI126" s="26" t="s">
        <v>70</v>
      </c>
      <c r="AJ126" s="26" t="s">
        <v>70</v>
      </c>
      <c r="AK126" s="26" t="s">
        <v>70</v>
      </c>
      <c r="AL126" s="26" t="s">
        <v>70</v>
      </c>
      <c r="AM126" s="26" t="s">
        <v>175</v>
      </c>
      <c r="AN126" s="26" t="s">
        <v>274</v>
      </c>
      <c r="AO126" s="35" t="s">
        <v>548</v>
      </c>
      <c r="AP126" s="35" t="s">
        <v>175</v>
      </c>
      <c r="AQ126" s="35" t="s">
        <v>548</v>
      </c>
      <c r="AR126" s="35" t="s">
        <v>548</v>
      </c>
      <c r="AS126" s="26" t="s">
        <v>175</v>
      </c>
      <c r="AT126" s="26" t="s">
        <v>548</v>
      </c>
      <c r="AU126" s="40" t="s">
        <v>175</v>
      </c>
      <c r="AV126" s="26">
        <v>8</v>
      </c>
    </row>
    <row r="127" spans="1:48" ht="14" customHeight="1">
      <c r="A127" s="27">
        <v>126</v>
      </c>
      <c r="B127" s="27" t="s">
        <v>338</v>
      </c>
      <c r="C127" s="37">
        <v>2012</v>
      </c>
      <c r="D127" s="26" t="s">
        <v>25</v>
      </c>
      <c r="E127" s="26" t="s">
        <v>565</v>
      </c>
      <c r="F127" s="77" t="s">
        <v>175</v>
      </c>
      <c r="G127" s="2" t="s">
        <v>105</v>
      </c>
      <c r="H127" s="2" t="s">
        <v>24</v>
      </c>
      <c r="I127" s="2" t="s">
        <v>548</v>
      </c>
      <c r="J127" s="2" t="s">
        <v>604</v>
      </c>
      <c r="K127" s="2" t="s">
        <v>548</v>
      </c>
      <c r="L127" s="2" t="s">
        <v>548</v>
      </c>
      <c r="M127" s="2" t="s">
        <v>175</v>
      </c>
      <c r="N127" s="2" t="s">
        <v>210</v>
      </c>
      <c r="O127" s="2" t="s">
        <v>43</v>
      </c>
      <c r="P127" s="2" t="s">
        <v>210</v>
      </c>
      <c r="Q127" s="2" t="s">
        <v>42</v>
      </c>
      <c r="R127" s="102" t="s">
        <v>614</v>
      </c>
      <c r="S127" s="2">
        <f>22/T127</f>
        <v>0.29333333333333333</v>
      </c>
      <c r="T127" s="26">
        <v>75</v>
      </c>
      <c r="U127" s="77">
        <v>1</v>
      </c>
      <c r="V127" s="26">
        <v>1</v>
      </c>
      <c r="W127" s="26">
        <v>1</v>
      </c>
      <c r="X127" s="26">
        <v>1</v>
      </c>
      <c r="Y127" s="26">
        <v>1</v>
      </c>
      <c r="Z127" s="26">
        <v>1</v>
      </c>
      <c r="AA127" s="26">
        <v>0</v>
      </c>
      <c r="AB127" s="26">
        <v>0</v>
      </c>
      <c r="AC127" s="26" t="s">
        <v>70</v>
      </c>
      <c r="AD127" s="26" t="s">
        <v>70</v>
      </c>
      <c r="AE127" s="26" t="s">
        <v>70</v>
      </c>
      <c r="AF127" s="26" t="s">
        <v>70</v>
      </c>
      <c r="AG127" s="33" t="s">
        <v>70</v>
      </c>
      <c r="AH127" s="33" t="s">
        <v>70</v>
      </c>
      <c r="AI127" s="33" t="s">
        <v>70</v>
      </c>
      <c r="AJ127" s="26" t="s">
        <v>207</v>
      </c>
      <c r="AK127" s="33" t="s">
        <v>70</v>
      </c>
      <c r="AL127" s="33" t="s">
        <v>70</v>
      </c>
      <c r="AM127" s="35" t="s">
        <v>175</v>
      </c>
      <c r="AN127" s="26" t="s">
        <v>274</v>
      </c>
      <c r="AO127" s="35" t="s">
        <v>548</v>
      </c>
      <c r="AP127" s="35" t="s">
        <v>548</v>
      </c>
      <c r="AQ127" s="35" t="s">
        <v>548</v>
      </c>
      <c r="AR127" s="35" t="s">
        <v>548</v>
      </c>
      <c r="AS127" s="26" t="s">
        <v>175</v>
      </c>
      <c r="AT127" s="26" t="s">
        <v>70</v>
      </c>
      <c r="AU127" s="26" t="s">
        <v>70</v>
      </c>
      <c r="AV127" s="26">
        <v>9</v>
      </c>
    </row>
    <row r="128" spans="1:48" ht="14" customHeight="1">
      <c r="A128" s="27">
        <v>127</v>
      </c>
      <c r="B128" s="27" t="s">
        <v>339</v>
      </c>
      <c r="C128" s="37">
        <v>2012</v>
      </c>
      <c r="D128" s="26" t="s">
        <v>69</v>
      </c>
      <c r="E128" s="26" t="s">
        <v>565</v>
      </c>
      <c r="F128" s="77" t="s">
        <v>175</v>
      </c>
      <c r="G128" s="2" t="s">
        <v>106</v>
      </c>
      <c r="H128" s="2" t="s">
        <v>30</v>
      </c>
      <c r="I128" s="2" t="s">
        <v>548</v>
      </c>
      <c r="J128" s="2" t="s">
        <v>604</v>
      </c>
      <c r="K128" s="2" t="s">
        <v>548</v>
      </c>
      <c r="L128" s="2" t="s">
        <v>548</v>
      </c>
      <c r="M128" s="2" t="s">
        <v>175</v>
      </c>
      <c r="N128" s="2" t="s">
        <v>48</v>
      </c>
      <c r="O128" s="2" t="s">
        <v>209</v>
      </c>
      <c r="P128" s="2" t="s">
        <v>48</v>
      </c>
      <c r="Q128" s="2" t="s">
        <v>42</v>
      </c>
      <c r="R128" s="102" t="s">
        <v>614</v>
      </c>
      <c r="S128" s="2">
        <f>84*0.024/T128</f>
        <v>7.6653992395437267E-3</v>
      </c>
      <c r="T128" s="26">
        <f>84+110+69</f>
        <v>263</v>
      </c>
      <c r="U128" s="77">
        <v>1</v>
      </c>
      <c r="V128" s="26">
        <v>0</v>
      </c>
      <c r="W128" s="26">
        <v>1</v>
      </c>
      <c r="X128" s="26">
        <v>1</v>
      </c>
      <c r="Y128" s="26">
        <v>0</v>
      </c>
      <c r="Z128" s="26">
        <v>0</v>
      </c>
      <c r="AA128" s="26">
        <v>0</v>
      </c>
      <c r="AB128" s="26">
        <v>0</v>
      </c>
      <c r="AC128" s="26" t="s">
        <v>70</v>
      </c>
      <c r="AD128" s="26" t="s">
        <v>70</v>
      </c>
      <c r="AE128" s="26" t="s">
        <v>70</v>
      </c>
      <c r="AF128" s="26" t="s">
        <v>70</v>
      </c>
      <c r="AG128" s="26" t="s">
        <v>70</v>
      </c>
      <c r="AH128" s="26" t="s">
        <v>70</v>
      </c>
      <c r="AI128" s="26" t="s">
        <v>70</v>
      </c>
      <c r="AJ128" s="26" t="s">
        <v>70</v>
      </c>
      <c r="AK128" s="26" t="s">
        <v>70</v>
      </c>
      <c r="AL128" s="26" t="s">
        <v>70</v>
      </c>
      <c r="AM128" s="35" t="s">
        <v>548</v>
      </c>
      <c r="AN128" s="26" t="s">
        <v>274</v>
      </c>
      <c r="AO128" s="35" t="s">
        <v>548</v>
      </c>
      <c r="AP128" s="35" t="s">
        <v>548</v>
      </c>
      <c r="AQ128" s="35" t="s">
        <v>548</v>
      </c>
      <c r="AR128" s="35" t="s">
        <v>548</v>
      </c>
      <c r="AS128" s="26" t="s">
        <v>175</v>
      </c>
      <c r="AT128" s="26" t="s">
        <v>70</v>
      </c>
      <c r="AU128" s="26" t="s">
        <v>70</v>
      </c>
      <c r="AV128" s="26">
        <v>5</v>
      </c>
    </row>
    <row r="129" spans="1:2089" ht="14" customHeight="1">
      <c r="A129" s="27">
        <v>128</v>
      </c>
      <c r="B129" s="27" t="s">
        <v>340</v>
      </c>
      <c r="C129" s="27">
        <v>2008</v>
      </c>
      <c r="D129" s="26" t="s">
        <v>69</v>
      </c>
      <c r="E129" s="26" t="s">
        <v>565</v>
      </c>
      <c r="F129" s="77" t="s">
        <v>175</v>
      </c>
      <c r="G129" s="2" t="s">
        <v>106</v>
      </c>
      <c r="H129" s="2" t="s">
        <v>30</v>
      </c>
      <c r="I129" s="2" t="s">
        <v>548</v>
      </c>
      <c r="J129" s="2" t="s">
        <v>603</v>
      </c>
      <c r="K129" s="2" t="s">
        <v>548</v>
      </c>
      <c r="L129" s="2" t="s">
        <v>548</v>
      </c>
      <c r="M129" s="2" t="s">
        <v>175</v>
      </c>
      <c r="N129" s="2" t="s">
        <v>48</v>
      </c>
      <c r="O129" s="2" t="s">
        <v>209</v>
      </c>
      <c r="P129" s="2" t="s">
        <v>48</v>
      </c>
      <c r="Q129" s="2" t="s">
        <v>42</v>
      </c>
      <c r="R129" s="102" t="s">
        <v>614</v>
      </c>
      <c r="S129" s="2">
        <f>2/T129</f>
        <v>2.3809523809523808E-2</v>
      </c>
      <c r="T129" s="26">
        <v>84</v>
      </c>
      <c r="U129" s="77">
        <v>1</v>
      </c>
      <c r="V129" s="26">
        <v>0</v>
      </c>
      <c r="W129" s="26">
        <v>1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 t="s">
        <v>70</v>
      </c>
      <c r="AD129" s="26" t="s">
        <v>70</v>
      </c>
      <c r="AE129" s="26" t="s">
        <v>70</v>
      </c>
      <c r="AF129" s="26" t="s">
        <v>70</v>
      </c>
      <c r="AG129" s="26" t="s">
        <v>70</v>
      </c>
      <c r="AH129" s="26" t="s">
        <v>70</v>
      </c>
      <c r="AI129" s="26" t="s">
        <v>70</v>
      </c>
      <c r="AJ129" s="26" t="s">
        <v>70</v>
      </c>
      <c r="AK129" s="26" t="s">
        <v>70</v>
      </c>
      <c r="AL129" s="26" t="s">
        <v>70</v>
      </c>
      <c r="AM129" s="35" t="s">
        <v>548</v>
      </c>
      <c r="AN129" s="26" t="s">
        <v>274</v>
      </c>
      <c r="AO129" s="35" t="s">
        <v>175</v>
      </c>
      <c r="AP129" s="35" t="s">
        <v>548</v>
      </c>
      <c r="AQ129" s="35" t="s">
        <v>548</v>
      </c>
      <c r="AR129" s="35" t="s">
        <v>548</v>
      </c>
      <c r="AS129" s="26" t="s">
        <v>175</v>
      </c>
      <c r="AT129" s="26" t="s">
        <v>70</v>
      </c>
      <c r="AU129" s="26" t="s">
        <v>70</v>
      </c>
      <c r="AV129" s="26">
        <v>4</v>
      </c>
    </row>
    <row r="130" spans="1:2089" ht="14" customHeight="1">
      <c r="A130" s="27">
        <v>129</v>
      </c>
      <c r="B130" s="27" t="s">
        <v>340</v>
      </c>
      <c r="C130" s="27">
        <v>2008</v>
      </c>
      <c r="D130" s="26" t="s">
        <v>69</v>
      </c>
      <c r="E130" s="26" t="s">
        <v>565</v>
      </c>
      <c r="F130" s="77" t="s">
        <v>175</v>
      </c>
      <c r="G130" s="2" t="s">
        <v>106</v>
      </c>
      <c r="H130" s="2" t="s">
        <v>30</v>
      </c>
      <c r="I130" s="2" t="s">
        <v>548</v>
      </c>
      <c r="J130" s="2" t="s">
        <v>603</v>
      </c>
      <c r="K130" s="2" t="s">
        <v>548</v>
      </c>
      <c r="L130" s="2" t="s">
        <v>548</v>
      </c>
      <c r="M130" s="2" t="s">
        <v>175</v>
      </c>
      <c r="N130" s="2" t="s">
        <v>48</v>
      </c>
      <c r="O130" s="2" t="s">
        <v>209</v>
      </c>
      <c r="P130" s="2" t="s">
        <v>48</v>
      </c>
      <c r="Q130" s="2" t="s">
        <v>42</v>
      </c>
      <c r="R130" s="102" t="s">
        <v>614</v>
      </c>
      <c r="S130" s="2">
        <v>0</v>
      </c>
      <c r="T130" s="26">
        <v>110</v>
      </c>
      <c r="U130" s="77">
        <v>1</v>
      </c>
      <c r="V130" s="26">
        <v>0</v>
      </c>
      <c r="W130" s="26">
        <v>1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 t="s">
        <v>70</v>
      </c>
      <c r="AD130" s="26" t="s">
        <v>70</v>
      </c>
      <c r="AE130" s="26" t="s">
        <v>70</v>
      </c>
      <c r="AF130" s="26" t="s">
        <v>70</v>
      </c>
      <c r="AG130" s="26" t="s">
        <v>70</v>
      </c>
      <c r="AH130" s="26" t="s">
        <v>70</v>
      </c>
      <c r="AI130" s="26" t="s">
        <v>70</v>
      </c>
      <c r="AJ130" s="26" t="s">
        <v>70</v>
      </c>
      <c r="AK130" s="26" t="s">
        <v>70</v>
      </c>
      <c r="AL130" s="26" t="s">
        <v>70</v>
      </c>
      <c r="AM130" s="35" t="s">
        <v>548</v>
      </c>
      <c r="AN130" s="26" t="s">
        <v>274</v>
      </c>
      <c r="AO130" s="35" t="s">
        <v>175</v>
      </c>
      <c r="AP130" s="35" t="s">
        <v>548</v>
      </c>
      <c r="AQ130" s="35" t="s">
        <v>548</v>
      </c>
      <c r="AR130" s="35" t="s">
        <v>548</v>
      </c>
      <c r="AS130" s="26" t="s">
        <v>175</v>
      </c>
      <c r="AT130" s="26" t="s">
        <v>70</v>
      </c>
      <c r="AU130" s="26" t="s">
        <v>70</v>
      </c>
      <c r="AV130" s="26">
        <v>4</v>
      </c>
    </row>
    <row r="131" spans="1:2089" ht="14" customHeight="1">
      <c r="A131" s="27">
        <v>130</v>
      </c>
      <c r="B131" s="27" t="s">
        <v>341</v>
      </c>
      <c r="C131" s="27">
        <v>2013</v>
      </c>
      <c r="D131" s="26" t="s">
        <v>27</v>
      </c>
      <c r="E131" s="26" t="s">
        <v>563</v>
      </c>
      <c r="F131" s="77" t="s">
        <v>175</v>
      </c>
      <c r="G131" s="2" t="s">
        <v>84</v>
      </c>
      <c r="H131" s="2" t="s">
        <v>24</v>
      </c>
      <c r="I131" s="2" t="s">
        <v>548</v>
      </c>
      <c r="J131" s="2" t="s">
        <v>604</v>
      </c>
      <c r="K131" s="2" t="s">
        <v>548</v>
      </c>
      <c r="L131" s="2" t="s">
        <v>548</v>
      </c>
      <c r="M131" s="2" t="s">
        <v>175</v>
      </c>
      <c r="N131" s="2" t="s">
        <v>210</v>
      </c>
      <c r="O131" s="2" t="s">
        <v>43</v>
      </c>
      <c r="P131" s="2" t="s">
        <v>210</v>
      </c>
      <c r="Q131" s="2" t="s">
        <v>42</v>
      </c>
      <c r="R131" s="102" t="s">
        <v>614</v>
      </c>
      <c r="S131" s="2">
        <f>20/T131</f>
        <v>0.4</v>
      </c>
      <c r="T131" s="26">
        <v>50</v>
      </c>
      <c r="U131" s="77">
        <v>1</v>
      </c>
      <c r="V131" s="26">
        <v>1</v>
      </c>
      <c r="W131" s="26">
        <v>1</v>
      </c>
      <c r="X131" s="26">
        <v>1</v>
      </c>
      <c r="Y131" s="26">
        <v>1</v>
      </c>
      <c r="Z131" s="26">
        <v>0</v>
      </c>
      <c r="AA131" s="26">
        <v>0</v>
      </c>
      <c r="AB131" s="26">
        <v>0</v>
      </c>
      <c r="AC131" s="26" t="s">
        <v>70</v>
      </c>
      <c r="AD131" s="26" t="s">
        <v>70</v>
      </c>
      <c r="AE131" s="26" t="s">
        <v>70</v>
      </c>
      <c r="AF131" s="26" t="s">
        <v>70</v>
      </c>
      <c r="AG131" s="33">
        <v>85.5</v>
      </c>
      <c r="AH131" s="33" t="s">
        <v>70</v>
      </c>
      <c r="AI131" s="33" t="s">
        <v>70</v>
      </c>
      <c r="AJ131" s="26" t="s">
        <v>239</v>
      </c>
      <c r="AK131" s="33">
        <v>434.78</v>
      </c>
      <c r="AL131" s="33" t="s">
        <v>70</v>
      </c>
      <c r="AM131" s="35" t="s">
        <v>175</v>
      </c>
      <c r="AN131" s="26" t="s">
        <v>274</v>
      </c>
      <c r="AO131" s="35" t="s">
        <v>548</v>
      </c>
      <c r="AP131" s="35" t="s">
        <v>548</v>
      </c>
      <c r="AQ131" s="35" t="s">
        <v>548</v>
      </c>
      <c r="AR131" s="35" t="s">
        <v>548</v>
      </c>
      <c r="AS131" s="26" t="s">
        <v>175</v>
      </c>
      <c r="AT131" s="26" t="s">
        <v>70</v>
      </c>
      <c r="AU131" s="26" t="s">
        <v>70</v>
      </c>
      <c r="AV131" s="26">
        <v>8</v>
      </c>
    </row>
    <row r="132" spans="1:2089" ht="14" customHeight="1">
      <c r="A132" s="27">
        <v>131</v>
      </c>
      <c r="B132" s="27" t="s">
        <v>342</v>
      </c>
      <c r="C132" s="27">
        <v>2010</v>
      </c>
      <c r="D132" s="26" t="s">
        <v>57</v>
      </c>
      <c r="E132" s="26" t="s">
        <v>566</v>
      </c>
      <c r="F132" s="77" t="s">
        <v>175</v>
      </c>
      <c r="G132" s="2" t="s">
        <v>84</v>
      </c>
      <c r="H132" s="2" t="s">
        <v>24</v>
      </c>
      <c r="I132" s="2" t="s">
        <v>548</v>
      </c>
      <c r="J132" s="2" t="s">
        <v>604</v>
      </c>
      <c r="K132" s="2" t="s">
        <v>548</v>
      </c>
      <c r="L132" s="2" t="s">
        <v>548</v>
      </c>
      <c r="M132" s="2" t="s">
        <v>175</v>
      </c>
      <c r="N132" s="2" t="s">
        <v>609</v>
      </c>
      <c r="O132" s="2" t="s">
        <v>60</v>
      </c>
      <c r="P132" s="2" t="s">
        <v>609</v>
      </c>
      <c r="Q132" s="2" t="s">
        <v>42</v>
      </c>
      <c r="R132" s="102" t="s">
        <v>614</v>
      </c>
      <c r="S132" s="88">
        <v>0.88600000000000001</v>
      </c>
      <c r="T132" s="26">
        <v>158</v>
      </c>
      <c r="U132" s="77">
        <v>1</v>
      </c>
      <c r="V132" s="26">
        <v>0</v>
      </c>
      <c r="W132" s="26">
        <v>1</v>
      </c>
      <c r="X132" s="26">
        <v>1</v>
      </c>
      <c r="Y132" s="26">
        <v>1</v>
      </c>
      <c r="Z132" s="26">
        <v>0</v>
      </c>
      <c r="AA132" s="26">
        <v>1</v>
      </c>
      <c r="AB132" s="26">
        <v>1</v>
      </c>
      <c r="AC132" s="45">
        <f>18/(45+47+39+18)</f>
        <v>0.12080536912751678</v>
      </c>
      <c r="AD132" s="45">
        <f>39/(45+47+39+18)</f>
        <v>0.26174496644295303</v>
      </c>
      <c r="AE132" s="45">
        <f>47/(45+47+39+18)</f>
        <v>0.31543624161073824</v>
      </c>
      <c r="AF132" s="45">
        <f>45/(45+47+39+18)</f>
        <v>0.30201342281879195</v>
      </c>
      <c r="AG132" s="33" t="s">
        <v>70</v>
      </c>
      <c r="AH132" s="33" t="s">
        <v>70</v>
      </c>
      <c r="AI132" s="33" t="s">
        <v>70</v>
      </c>
      <c r="AJ132" s="36" t="s">
        <v>182</v>
      </c>
      <c r="AK132" s="33" t="s">
        <v>70</v>
      </c>
      <c r="AL132" s="33" t="s">
        <v>70</v>
      </c>
      <c r="AM132" s="35" t="s">
        <v>175</v>
      </c>
      <c r="AN132" s="26" t="s">
        <v>274</v>
      </c>
      <c r="AO132" s="35" t="s">
        <v>175</v>
      </c>
      <c r="AP132" s="35" t="s">
        <v>548</v>
      </c>
      <c r="AQ132" s="35" t="s">
        <v>175</v>
      </c>
      <c r="AR132" s="35" t="s">
        <v>548</v>
      </c>
      <c r="AS132" s="26" t="s">
        <v>175</v>
      </c>
      <c r="AT132" s="26" t="s">
        <v>70</v>
      </c>
      <c r="AU132" s="26" t="s">
        <v>70</v>
      </c>
      <c r="AV132" s="26">
        <v>9</v>
      </c>
    </row>
    <row r="133" spans="1:2089" s="41" customFormat="1" ht="14" customHeight="1">
      <c r="A133" s="27">
        <v>132</v>
      </c>
      <c r="B133" s="31" t="s">
        <v>343</v>
      </c>
      <c r="C133" s="66">
        <v>2010</v>
      </c>
      <c r="D133" s="67" t="s">
        <v>12</v>
      </c>
      <c r="E133" s="26" t="s">
        <v>566</v>
      </c>
      <c r="F133" s="81" t="s">
        <v>175</v>
      </c>
      <c r="G133" s="81" t="s">
        <v>106</v>
      </c>
      <c r="H133" s="2" t="s">
        <v>24</v>
      </c>
      <c r="I133" s="81" t="s">
        <v>548</v>
      </c>
      <c r="J133" s="2" t="s">
        <v>189</v>
      </c>
      <c r="K133" s="81" t="s">
        <v>548</v>
      </c>
      <c r="L133" s="2" t="s">
        <v>548</v>
      </c>
      <c r="M133" s="81" t="s">
        <v>175</v>
      </c>
      <c r="N133" s="81" t="s">
        <v>70</v>
      </c>
      <c r="O133" s="2" t="s">
        <v>209</v>
      </c>
      <c r="P133" s="2" t="s">
        <v>612</v>
      </c>
      <c r="Q133" s="2" t="s">
        <v>42</v>
      </c>
      <c r="R133" s="102" t="s">
        <v>614</v>
      </c>
      <c r="S133" s="91">
        <v>1</v>
      </c>
      <c r="T133" s="69">
        <v>151</v>
      </c>
      <c r="U133" s="81">
        <v>1</v>
      </c>
      <c r="V133" s="67">
        <v>0</v>
      </c>
      <c r="W133" s="67">
        <v>1</v>
      </c>
      <c r="X133" s="67">
        <v>1</v>
      </c>
      <c r="Y133" s="67">
        <v>0</v>
      </c>
      <c r="Z133" s="67">
        <v>0</v>
      </c>
      <c r="AA133" s="67">
        <v>0</v>
      </c>
      <c r="AB133" s="67">
        <v>0</v>
      </c>
      <c r="AC133" s="68" t="s">
        <v>70</v>
      </c>
      <c r="AD133" s="68" t="s">
        <v>70</v>
      </c>
      <c r="AE133" s="68" t="s">
        <v>70</v>
      </c>
      <c r="AF133" s="68" t="s">
        <v>70</v>
      </c>
      <c r="AG133" s="68" t="s">
        <v>70</v>
      </c>
      <c r="AH133" s="68" t="s">
        <v>70</v>
      </c>
      <c r="AI133" s="68" t="s">
        <v>70</v>
      </c>
      <c r="AJ133" s="68" t="s">
        <v>70</v>
      </c>
      <c r="AK133" s="68" t="s">
        <v>70</v>
      </c>
      <c r="AL133" s="68" t="s">
        <v>70</v>
      </c>
      <c r="AM133" s="69" t="s">
        <v>175</v>
      </c>
      <c r="AN133" s="26" t="s">
        <v>617</v>
      </c>
      <c r="AO133" s="67" t="s">
        <v>548</v>
      </c>
      <c r="AP133" s="67" t="s">
        <v>548</v>
      </c>
      <c r="AQ133" s="67" t="s">
        <v>548</v>
      </c>
      <c r="AR133" s="67" t="s">
        <v>548</v>
      </c>
      <c r="AS133" s="67" t="s">
        <v>175</v>
      </c>
      <c r="AT133" s="26" t="s">
        <v>70</v>
      </c>
      <c r="AU133" s="26" t="s">
        <v>70</v>
      </c>
      <c r="AV133" s="26">
        <v>6</v>
      </c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6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6"/>
      <c r="LG133" s="26"/>
      <c r="LH133" s="26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MD133" s="26"/>
      <c r="ME133" s="26"/>
      <c r="MF133" s="26"/>
      <c r="MG133" s="26"/>
      <c r="MH133" s="26"/>
      <c r="MI133" s="26"/>
      <c r="MJ133" s="26"/>
      <c r="MK133" s="26"/>
      <c r="ML133" s="26"/>
      <c r="MM133" s="26"/>
      <c r="MN133" s="26"/>
      <c r="MO133" s="26"/>
      <c r="MP133" s="26"/>
      <c r="MQ133" s="26"/>
      <c r="MR133" s="26"/>
      <c r="MS133" s="26"/>
      <c r="MT133" s="26"/>
      <c r="MU133" s="26"/>
      <c r="MV133" s="26"/>
      <c r="MW133" s="26"/>
      <c r="MX133" s="26"/>
      <c r="MY133" s="26"/>
      <c r="MZ133" s="26"/>
      <c r="NA133" s="26"/>
      <c r="NB133" s="26"/>
      <c r="NC133" s="26"/>
      <c r="ND133" s="26"/>
      <c r="NE133" s="26"/>
      <c r="NF133" s="26"/>
      <c r="NG133" s="26"/>
      <c r="NH133" s="26"/>
      <c r="NI133" s="26"/>
      <c r="NJ133" s="26"/>
      <c r="NK133" s="26"/>
      <c r="NL133" s="26"/>
      <c r="NM133" s="26"/>
      <c r="NN133" s="26"/>
      <c r="NO133" s="26"/>
      <c r="NP133" s="26"/>
      <c r="NQ133" s="26"/>
      <c r="NR133" s="26"/>
      <c r="NS133" s="26"/>
      <c r="NT133" s="26"/>
      <c r="NU133" s="26"/>
      <c r="NV133" s="26"/>
      <c r="NW133" s="26"/>
      <c r="NX133" s="26"/>
      <c r="NY133" s="26"/>
      <c r="NZ133" s="26"/>
      <c r="OA133" s="26"/>
      <c r="OB133" s="26"/>
      <c r="OC133" s="26"/>
      <c r="OD133" s="26"/>
      <c r="OE133" s="26"/>
      <c r="OF133" s="26"/>
      <c r="OG133" s="26"/>
      <c r="OH133" s="26"/>
      <c r="OI133" s="26"/>
      <c r="OJ133" s="26"/>
      <c r="OK133" s="26"/>
      <c r="OL133" s="26"/>
      <c r="OM133" s="26"/>
      <c r="ON133" s="26"/>
      <c r="OO133" s="26"/>
      <c r="OP133" s="26"/>
      <c r="OQ133" s="26"/>
      <c r="OR133" s="26"/>
      <c r="OS133" s="26"/>
      <c r="OT133" s="26"/>
      <c r="OU133" s="26"/>
      <c r="OV133" s="26"/>
      <c r="OW133" s="26"/>
      <c r="OX133" s="26"/>
      <c r="OY133" s="26"/>
      <c r="OZ133" s="26"/>
      <c r="PA133" s="26"/>
      <c r="PB133" s="26"/>
      <c r="PC133" s="26"/>
      <c r="PD133" s="26"/>
      <c r="PE133" s="26"/>
      <c r="PF133" s="26"/>
      <c r="PG133" s="26"/>
      <c r="PH133" s="26"/>
      <c r="PI133" s="26"/>
      <c r="PJ133" s="26"/>
      <c r="PK133" s="26"/>
      <c r="PL133" s="26"/>
      <c r="PM133" s="26"/>
      <c r="PN133" s="26"/>
      <c r="PO133" s="26"/>
      <c r="PP133" s="26"/>
      <c r="PQ133" s="26"/>
      <c r="PR133" s="26"/>
      <c r="PS133" s="26"/>
      <c r="PT133" s="26"/>
      <c r="PU133" s="26"/>
      <c r="PV133" s="26"/>
      <c r="PW133" s="26"/>
      <c r="PX133" s="26"/>
      <c r="PY133" s="26"/>
      <c r="PZ133" s="26"/>
      <c r="QA133" s="26"/>
      <c r="QB133" s="26"/>
      <c r="QC133" s="26"/>
      <c r="QD133" s="26"/>
      <c r="QE133" s="26"/>
      <c r="QF133" s="26"/>
      <c r="QG133" s="26"/>
      <c r="QH133" s="26"/>
      <c r="QI133" s="26"/>
      <c r="QJ133" s="26"/>
      <c r="QK133" s="26"/>
      <c r="QL133" s="26"/>
      <c r="QM133" s="26"/>
      <c r="QN133" s="26"/>
      <c r="QO133" s="26"/>
      <c r="QP133" s="26"/>
      <c r="QQ133" s="26"/>
      <c r="QR133" s="26"/>
      <c r="QS133" s="26"/>
      <c r="QT133" s="26"/>
      <c r="QU133" s="26"/>
      <c r="QV133" s="26"/>
      <c r="QW133" s="26"/>
      <c r="QX133" s="26"/>
      <c r="QY133" s="26"/>
      <c r="QZ133" s="26"/>
      <c r="RA133" s="26"/>
      <c r="RB133" s="26"/>
      <c r="RC133" s="26"/>
      <c r="RD133" s="26"/>
      <c r="RE133" s="26"/>
      <c r="RF133" s="26"/>
      <c r="RG133" s="26"/>
      <c r="RH133" s="26"/>
      <c r="RI133" s="26"/>
      <c r="RJ133" s="26"/>
      <c r="RK133" s="26"/>
      <c r="RL133" s="26"/>
      <c r="RM133" s="26"/>
      <c r="RN133" s="26"/>
      <c r="RO133" s="26"/>
      <c r="RP133" s="26"/>
      <c r="RQ133" s="26"/>
      <c r="RR133" s="26"/>
      <c r="RS133" s="26"/>
      <c r="RT133" s="26"/>
      <c r="RU133" s="26"/>
      <c r="RV133" s="26"/>
      <c r="RW133" s="26"/>
      <c r="RX133" s="26"/>
      <c r="RY133" s="26"/>
      <c r="RZ133" s="26"/>
      <c r="SA133" s="26"/>
      <c r="SB133" s="26"/>
      <c r="SC133" s="26"/>
      <c r="SD133" s="26"/>
      <c r="SE133" s="26"/>
      <c r="SF133" s="26"/>
      <c r="SG133" s="26"/>
      <c r="SH133" s="26"/>
      <c r="SI133" s="26"/>
      <c r="SJ133" s="26"/>
      <c r="SK133" s="26"/>
      <c r="SL133" s="26"/>
      <c r="SM133" s="26"/>
      <c r="SN133" s="26"/>
      <c r="SO133" s="26"/>
      <c r="SP133" s="26"/>
      <c r="SQ133" s="26"/>
      <c r="SR133" s="26"/>
      <c r="SS133" s="26"/>
      <c r="ST133" s="26"/>
      <c r="SU133" s="26"/>
      <c r="SV133" s="26"/>
      <c r="SW133" s="26"/>
      <c r="SX133" s="26"/>
      <c r="SY133" s="26"/>
      <c r="SZ133" s="26"/>
      <c r="TA133" s="26"/>
      <c r="TB133" s="26"/>
      <c r="TC133" s="26"/>
      <c r="TD133" s="26"/>
      <c r="TE133" s="26"/>
      <c r="TF133" s="26"/>
      <c r="TG133" s="26"/>
      <c r="TH133" s="26"/>
      <c r="TI133" s="26"/>
      <c r="TJ133" s="26"/>
      <c r="TK133" s="26"/>
      <c r="TL133" s="26"/>
      <c r="TM133" s="26"/>
      <c r="TN133" s="26"/>
      <c r="TO133" s="26"/>
      <c r="TP133" s="26"/>
      <c r="TQ133" s="26"/>
      <c r="TR133" s="26"/>
      <c r="TS133" s="26"/>
      <c r="TT133" s="26"/>
      <c r="TU133" s="26"/>
      <c r="TV133" s="26"/>
      <c r="TW133" s="26"/>
      <c r="TX133" s="26"/>
      <c r="TY133" s="26"/>
      <c r="TZ133" s="26"/>
      <c r="UA133" s="26"/>
      <c r="UB133" s="26"/>
      <c r="UC133" s="26"/>
      <c r="UD133" s="26"/>
      <c r="UE133" s="26"/>
      <c r="UF133" s="26"/>
      <c r="UG133" s="26"/>
      <c r="UH133" s="26"/>
      <c r="UI133" s="26"/>
      <c r="UJ133" s="26"/>
      <c r="UK133" s="26"/>
      <c r="UL133" s="26"/>
      <c r="UM133" s="26"/>
      <c r="UN133" s="26"/>
      <c r="UO133" s="26"/>
      <c r="UP133" s="26"/>
      <c r="UQ133" s="26"/>
      <c r="UR133" s="26"/>
      <c r="US133" s="26"/>
      <c r="UT133" s="26"/>
      <c r="UU133" s="26"/>
      <c r="UV133" s="26"/>
      <c r="UW133" s="26"/>
      <c r="UX133" s="26"/>
      <c r="UY133" s="26"/>
      <c r="UZ133" s="26"/>
      <c r="VA133" s="26"/>
      <c r="VB133" s="26"/>
      <c r="VC133" s="26"/>
      <c r="VD133" s="26"/>
      <c r="VE133" s="26"/>
      <c r="VF133" s="26"/>
      <c r="VG133" s="26"/>
      <c r="VH133" s="26"/>
      <c r="VI133" s="26"/>
      <c r="VJ133" s="26"/>
      <c r="VK133" s="26"/>
      <c r="VL133" s="26"/>
      <c r="VM133" s="26"/>
      <c r="VN133" s="26"/>
      <c r="VO133" s="26"/>
      <c r="VP133" s="26"/>
      <c r="VQ133" s="26"/>
      <c r="VR133" s="26"/>
      <c r="VS133" s="26"/>
      <c r="VT133" s="26"/>
      <c r="VU133" s="26"/>
      <c r="VV133" s="26"/>
      <c r="VW133" s="26"/>
      <c r="VX133" s="26"/>
      <c r="VY133" s="26"/>
      <c r="VZ133" s="26"/>
      <c r="WA133" s="26"/>
      <c r="WB133" s="26"/>
      <c r="WC133" s="26"/>
      <c r="WD133" s="26"/>
      <c r="WE133" s="26"/>
      <c r="WF133" s="26"/>
      <c r="WG133" s="26"/>
      <c r="WH133" s="26"/>
      <c r="WI133" s="26"/>
      <c r="WJ133" s="26"/>
      <c r="WK133" s="26"/>
      <c r="WL133" s="26"/>
      <c r="WM133" s="26"/>
      <c r="WN133" s="26"/>
      <c r="WO133" s="26"/>
      <c r="WP133" s="26"/>
      <c r="WQ133" s="26"/>
      <c r="WR133" s="26"/>
      <c r="WS133" s="26"/>
      <c r="WT133" s="26"/>
      <c r="WU133" s="26"/>
      <c r="WV133" s="26"/>
      <c r="WW133" s="26"/>
      <c r="WX133" s="26"/>
      <c r="WY133" s="26"/>
      <c r="WZ133" s="26"/>
      <c r="XA133" s="26"/>
      <c r="XB133" s="26"/>
      <c r="XC133" s="26"/>
      <c r="XD133" s="26"/>
      <c r="XE133" s="26"/>
      <c r="XF133" s="26"/>
      <c r="XG133" s="26"/>
      <c r="XH133" s="26"/>
      <c r="XI133" s="26"/>
      <c r="XJ133" s="26"/>
      <c r="XK133" s="26"/>
      <c r="XL133" s="26"/>
      <c r="XM133" s="26"/>
      <c r="XN133" s="26"/>
      <c r="XO133" s="26"/>
      <c r="XP133" s="26"/>
      <c r="XQ133" s="26"/>
      <c r="XR133" s="26"/>
      <c r="XS133" s="26"/>
      <c r="XT133" s="26"/>
      <c r="XU133" s="26"/>
      <c r="XV133" s="26"/>
      <c r="XW133" s="26"/>
      <c r="XX133" s="26"/>
      <c r="XY133" s="26"/>
      <c r="XZ133" s="26"/>
      <c r="YA133" s="26"/>
      <c r="YB133" s="26"/>
      <c r="YC133" s="26"/>
      <c r="YD133" s="26"/>
      <c r="YE133" s="26"/>
      <c r="YF133" s="26"/>
      <c r="YG133" s="26"/>
      <c r="YH133" s="26"/>
      <c r="YI133" s="26"/>
      <c r="YJ133" s="26"/>
      <c r="YK133" s="26"/>
      <c r="YL133" s="26"/>
      <c r="YM133" s="26"/>
      <c r="YN133" s="26"/>
      <c r="YO133" s="26"/>
      <c r="YP133" s="26"/>
      <c r="YQ133" s="26"/>
      <c r="YR133" s="26"/>
      <c r="YS133" s="26"/>
      <c r="YT133" s="26"/>
      <c r="YU133" s="26"/>
      <c r="YV133" s="26"/>
      <c r="YW133" s="26"/>
      <c r="YX133" s="26"/>
      <c r="YY133" s="26"/>
      <c r="YZ133" s="26"/>
      <c r="ZA133" s="26"/>
      <c r="ZB133" s="26"/>
      <c r="ZC133" s="26"/>
      <c r="ZD133" s="26"/>
      <c r="ZE133" s="26"/>
      <c r="ZF133" s="26"/>
      <c r="ZG133" s="26"/>
      <c r="ZH133" s="26"/>
      <c r="ZI133" s="26"/>
      <c r="ZJ133" s="26"/>
      <c r="ZK133" s="26"/>
      <c r="ZL133" s="26"/>
      <c r="ZM133" s="26"/>
      <c r="ZN133" s="26"/>
      <c r="ZO133" s="26"/>
      <c r="ZP133" s="26"/>
      <c r="ZQ133" s="26"/>
      <c r="ZR133" s="26"/>
      <c r="ZS133" s="26"/>
      <c r="ZT133" s="26"/>
      <c r="ZU133" s="26"/>
      <c r="ZV133" s="26"/>
      <c r="ZW133" s="26"/>
      <c r="ZX133" s="26"/>
      <c r="ZY133" s="26"/>
      <c r="ZZ133" s="26"/>
      <c r="AAA133" s="26"/>
      <c r="AAB133" s="26"/>
      <c r="AAC133" s="26"/>
      <c r="AAD133" s="26"/>
      <c r="AAE133" s="26"/>
      <c r="AAF133" s="26"/>
      <c r="AAG133" s="26"/>
      <c r="AAH133" s="26"/>
      <c r="AAI133" s="26"/>
      <c r="AAJ133" s="26"/>
      <c r="AAK133" s="26"/>
      <c r="AAL133" s="26"/>
      <c r="AAM133" s="26"/>
      <c r="AAN133" s="26"/>
      <c r="AAO133" s="26"/>
      <c r="AAP133" s="26"/>
      <c r="AAQ133" s="26"/>
      <c r="AAR133" s="26"/>
      <c r="AAS133" s="26"/>
      <c r="AAT133" s="26"/>
      <c r="AAU133" s="26"/>
      <c r="AAV133" s="26"/>
      <c r="AAW133" s="26"/>
      <c r="AAX133" s="26"/>
      <c r="AAY133" s="26"/>
      <c r="AAZ133" s="26"/>
      <c r="ABA133" s="26"/>
      <c r="ABB133" s="26"/>
      <c r="ABC133" s="26"/>
      <c r="ABD133" s="26"/>
      <c r="ABE133" s="26"/>
      <c r="ABF133" s="26"/>
      <c r="ABG133" s="26"/>
      <c r="ABH133" s="26"/>
      <c r="ABI133" s="26"/>
      <c r="ABJ133" s="26"/>
      <c r="ABK133" s="26"/>
      <c r="ABL133" s="26"/>
      <c r="ABM133" s="26"/>
      <c r="ABN133" s="26"/>
      <c r="ABO133" s="26"/>
      <c r="ABP133" s="26"/>
      <c r="ABQ133" s="26"/>
      <c r="ABR133" s="26"/>
      <c r="ABS133" s="26"/>
      <c r="ABT133" s="26"/>
      <c r="ABU133" s="26"/>
      <c r="ABV133" s="26"/>
      <c r="ABW133" s="26"/>
      <c r="ABX133" s="26"/>
      <c r="ABY133" s="26"/>
      <c r="ABZ133" s="26"/>
      <c r="ACA133" s="26"/>
      <c r="ACB133" s="26"/>
      <c r="ACC133" s="26"/>
      <c r="ACD133" s="26"/>
      <c r="ACE133" s="26"/>
      <c r="ACF133" s="26"/>
      <c r="ACG133" s="26"/>
      <c r="ACH133" s="26"/>
      <c r="ACI133" s="26"/>
      <c r="ACJ133" s="26"/>
      <c r="ACK133" s="26"/>
      <c r="ACL133" s="26"/>
      <c r="ACM133" s="26"/>
      <c r="ACN133" s="26"/>
      <c r="ACO133" s="26"/>
      <c r="ACP133" s="26"/>
      <c r="ACQ133" s="26"/>
      <c r="ACR133" s="26"/>
      <c r="ACS133" s="26"/>
      <c r="ACT133" s="26"/>
      <c r="ACU133" s="26"/>
      <c r="ACV133" s="26"/>
      <c r="ACW133" s="26"/>
      <c r="ACX133" s="26"/>
      <c r="ACY133" s="26"/>
      <c r="ACZ133" s="26"/>
      <c r="ADA133" s="26"/>
      <c r="ADB133" s="26"/>
      <c r="ADC133" s="26"/>
      <c r="ADD133" s="26"/>
      <c r="ADE133" s="26"/>
      <c r="ADF133" s="26"/>
      <c r="ADG133" s="26"/>
      <c r="ADH133" s="26"/>
      <c r="ADI133" s="26"/>
      <c r="ADJ133" s="26"/>
      <c r="ADK133" s="26"/>
      <c r="ADL133" s="26"/>
      <c r="ADM133" s="26"/>
      <c r="ADN133" s="26"/>
      <c r="ADO133" s="26"/>
      <c r="ADP133" s="26"/>
      <c r="ADQ133" s="26"/>
      <c r="ADR133" s="26"/>
      <c r="ADS133" s="26"/>
      <c r="ADT133" s="26"/>
      <c r="ADU133" s="26"/>
      <c r="ADV133" s="26"/>
      <c r="ADW133" s="26"/>
      <c r="ADX133" s="26"/>
      <c r="ADY133" s="26"/>
      <c r="ADZ133" s="26"/>
      <c r="AEA133" s="26"/>
      <c r="AEB133" s="26"/>
      <c r="AEC133" s="26"/>
      <c r="AED133" s="26"/>
      <c r="AEE133" s="26"/>
      <c r="AEF133" s="26"/>
      <c r="AEG133" s="26"/>
      <c r="AEH133" s="26"/>
      <c r="AEI133" s="26"/>
      <c r="AEJ133" s="26"/>
      <c r="AEK133" s="26"/>
      <c r="AEL133" s="26"/>
      <c r="AEM133" s="26"/>
      <c r="AEN133" s="26"/>
      <c r="AEO133" s="26"/>
      <c r="AEP133" s="26"/>
      <c r="AEQ133" s="26"/>
      <c r="AER133" s="26"/>
      <c r="AES133" s="26"/>
      <c r="AET133" s="26"/>
      <c r="AEU133" s="26"/>
      <c r="AEV133" s="26"/>
      <c r="AEW133" s="26"/>
      <c r="AEX133" s="26"/>
      <c r="AEY133" s="26"/>
      <c r="AEZ133" s="26"/>
      <c r="AFA133" s="26"/>
      <c r="AFB133" s="26"/>
      <c r="AFC133" s="26"/>
      <c r="AFD133" s="26"/>
      <c r="AFE133" s="26"/>
      <c r="AFF133" s="26"/>
      <c r="AFG133" s="26"/>
      <c r="AFH133" s="26"/>
      <c r="AFI133" s="26"/>
      <c r="AFJ133" s="26"/>
      <c r="AFK133" s="26"/>
      <c r="AFL133" s="26"/>
      <c r="AFM133" s="26"/>
      <c r="AFN133" s="26"/>
      <c r="AFO133" s="26"/>
      <c r="AFP133" s="26"/>
      <c r="AFQ133" s="26"/>
      <c r="AFR133" s="26"/>
      <c r="AFS133" s="26"/>
      <c r="AFT133" s="26"/>
      <c r="AFU133" s="26"/>
      <c r="AFV133" s="26"/>
      <c r="AFW133" s="26"/>
      <c r="AFX133" s="26"/>
      <c r="AFY133" s="26"/>
      <c r="AFZ133" s="26"/>
      <c r="AGA133" s="26"/>
      <c r="AGB133" s="26"/>
      <c r="AGC133" s="26"/>
      <c r="AGD133" s="26"/>
      <c r="AGE133" s="26"/>
      <c r="AGF133" s="26"/>
      <c r="AGG133" s="26"/>
      <c r="AGH133" s="26"/>
      <c r="AGI133" s="26"/>
      <c r="AGJ133" s="26"/>
      <c r="AGK133" s="26"/>
      <c r="AGL133" s="26"/>
      <c r="AGM133" s="26"/>
      <c r="AGN133" s="26"/>
      <c r="AGO133" s="26"/>
      <c r="AGP133" s="26"/>
      <c r="AGQ133" s="26"/>
      <c r="AGR133" s="26"/>
      <c r="AGS133" s="26"/>
      <c r="AGT133" s="26"/>
      <c r="AGU133" s="26"/>
      <c r="AGV133" s="26"/>
      <c r="AGW133" s="26"/>
      <c r="AGX133" s="26"/>
      <c r="AGY133" s="26"/>
      <c r="AGZ133" s="26"/>
      <c r="AHA133" s="26"/>
      <c r="AHB133" s="26"/>
      <c r="AHC133" s="26"/>
      <c r="AHD133" s="26"/>
      <c r="AHE133" s="26"/>
      <c r="AHF133" s="26"/>
      <c r="AHG133" s="26"/>
      <c r="AHH133" s="26"/>
      <c r="AHI133" s="26"/>
      <c r="AHJ133" s="26"/>
      <c r="AHK133" s="26"/>
      <c r="AHL133" s="26"/>
      <c r="AHM133" s="26"/>
      <c r="AHN133" s="26"/>
      <c r="AHO133" s="26"/>
      <c r="AHP133" s="26"/>
      <c r="AHQ133" s="26"/>
      <c r="AHR133" s="26"/>
      <c r="AHS133" s="26"/>
      <c r="AHT133" s="26"/>
      <c r="AHU133" s="26"/>
      <c r="AHV133" s="26"/>
      <c r="AHW133" s="26"/>
      <c r="AHX133" s="26"/>
      <c r="AHY133" s="26"/>
      <c r="AHZ133" s="26"/>
      <c r="AIA133" s="26"/>
      <c r="AIB133" s="26"/>
      <c r="AIC133" s="26"/>
      <c r="AID133" s="26"/>
      <c r="AIE133" s="26"/>
      <c r="AIF133" s="26"/>
      <c r="AIG133" s="26"/>
      <c r="AIH133" s="26"/>
      <c r="AII133" s="26"/>
      <c r="AIJ133" s="26"/>
      <c r="AIK133" s="26"/>
      <c r="AIL133" s="26"/>
      <c r="AIM133" s="26"/>
      <c r="AIN133" s="26"/>
      <c r="AIO133" s="26"/>
      <c r="AIP133" s="26"/>
      <c r="AIQ133" s="26"/>
      <c r="AIR133" s="26"/>
      <c r="AIS133" s="26"/>
      <c r="AIT133" s="26"/>
      <c r="AIU133" s="26"/>
      <c r="AIV133" s="26"/>
      <c r="AIW133" s="26"/>
      <c r="AIX133" s="26"/>
      <c r="AIY133" s="26"/>
      <c r="AIZ133" s="26"/>
      <c r="AJA133" s="26"/>
      <c r="AJB133" s="26"/>
      <c r="AJC133" s="26"/>
      <c r="AJD133" s="26"/>
      <c r="AJE133" s="26"/>
      <c r="AJF133" s="26"/>
      <c r="AJG133" s="26"/>
      <c r="AJH133" s="26"/>
      <c r="AJI133" s="26"/>
      <c r="AJJ133" s="26"/>
      <c r="AJK133" s="26"/>
      <c r="AJL133" s="26"/>
      <c r="AJM133" s="26"/>
      <c r="AJN133" s="26"/>
      <c r="AJO133" s="26"/>
      <c r="AJP133" s="26"/>
      <c r="AJQ133" s="26"/>
      <c r="AJR133" s="26"/>
      <c r="AJS133" s="26"/>
      <c r="AJT133" s="26"/>
      <c r="AJU133" s="26"/>
      <c r="AJV133" s="26"/>
      <c r="AJW133" s="26"/>
      <c r="AJX133" s="26"/>
      <c r="AJY133" s="26"/>
      <c r="AJZ133" s="26"/>
      <c r="AKA133" s="26"/>
      <c r="AKB133" s="26"/>
      <c r="AKC133" s="26"/>
      <c r="AKD133" s="26"/>
      <c r="AKE133" s="26"/>
      <c r="AKF133" s="26"/>
      <c r="AKG133" s="26"/>
      <c r="AKH133" s="26"/>
      <c r="AKI133" s="26"/>
      <c r="AKJ133" s="26"/>
      <c r="AKK133" s="26"/>
      <c r="AKL133" s="26"/>
      <c r="AKM133" s="26"/>
      <c r="AKN133" s="26"/>
      <c r="AKO133" s="26"/>
      <c r="AKP133" s="26"/>
      <c r="AKQ133" s="26"/>
      <c r="AKR133" s="26"/>
      <c r="AKS133" s="26"/>
      <c r="AKT133" s="26"/>
      <c r="AKU133" s="26"/>
      <c r="AKV133" s="26"/>
      <c r="AKW133" s="26"/>
      <c r="AKX133" s="26"/>
      <c r="AKY133" s="26"/>
      <c r="AKZ133" s="26"/>
      <c r="ALA133" s="26"/>
      <c r="ALB133" s="26"/>
      <c r="ALC133" s="26"/>
      <c r="ALD133" s="26"/>
      <c r="ALE133" s="26"/>
      <c r="ALF133" s="26"/>
      <c r="ALG133" s="26"/>
      <c r="ALH133" s="26"/>
      <c r="ALI133" s="26"/>
      <c r="ALJ133" s="26"/>
      <c r="ALK133" s="26"/>
      <c r="ALL133" s="26"/>
      <c r="ALM133" s="26"/>
      <c r="ALN133" s="26"/>
      <c r="ALO133" s="26"/>
      <c r="ALP133" s="26"/>
      <c r="ALQ133" s="26"/>
      <c r="ALR133" s="26"/>
      <c r="ALS133" s="26"/>
      <c r="ALT133" s="26"/>
      <c r="ALU133" s="26"/>
      <c r="ALV133" s="26"/>
      <c r="ALW133" s="26"/>
      <c r="ALX133" s="26"/>
      <c r="ALY133" s="26"/>
      <c r="ALZ133" s="26"/>
      <c r="AMA133" s="26"/>
      <c r="AMB133" s="26"/>
      <c r="AMC133" s="26"/>
      <c r="AMD133" s="26"/>
      <c r="AME133" s="26"/>
      <c r="AMF133" s="26"/>
      <c r="AMG133" s="26"/>
      <c r="AMH133" s="26"/>
      <c r="AMI133" s="26"/>
      <c r="AMJ133" s="26"/>
      <c r="AMK133" s="26"/>
      <c r="AML133" s="26"/>
      <c r="AMM133" s="26"/>
      <c r="AMN133" s="26"/>
      <c r="AMO133" s="26"/>
      <c r="AMP133" s="26"/>
      <c r="AMQ133" s="26"/>
      <c r="AMR133" s="26"/>
      <c r="AMS133" s="26"/>
      <c r="AMT133" s="26"/>
      <c r="AMU133" s="26"/>
      <c r="AMV133" s="26"/>
      <c r="AMW133" s="26"/>
      <c r="AMX133" s="26"/>
      <c r="AMY133" s="26"/>
      <c r="AMZ133" s="26"/>
      <c r="ANA133" s="26"/>
      <c r="ANB133" s="26"/>
      <c r="ANC133" s="26"/>
      <c r="AND133" s="26"/>
      <c r="ANE133" s="26"/>
      <c r="ANF133" s="26"/>
      <c r="ANG133" s="26"/>
      <c r="ANH133" s="26"/>
      <c r="ANI133" s="26"/>
      <c r="ANJ133" s="26"/>
      <c r="ANK133" s="26"/>
      <c r="ANL133" s="26"/>
      <c r="ANM133" s="26"/>
      <c r="ANN133" s="26"/>
      <c r="ANO133" s="26"/>
      <c r="ANP133" s="26"/>
      <c r="ANQ133" s="26"/>
      <c r="ANR133" s="26"/>
      <c r="ANS133" s="26"/>
      <c r="ANT133" s="26"/>
      <c r="ANU133" s="26"/>
      <c r="ANV133" s="26"/>
      <c r="ANW133" s="26"/>
      <c r="ANX133" s="26"/>
      <c r="ANY133" s="26"/>
      <c r="ANZ133" s="26"/>
      <c r="AOA133" s="26"/>
      <c r="AOB133" s="26"/>
      <c r="AOC133" s="26"/>
      <c r="AOD133" s="26"/>
      <c r="AOE133" s="26"/>
      <c r="AOF133" s="26"/>
      <c r="AOG133" s="26"/>
      <c r="AOH133" s="26"/>
      <c r="AOI133" s="26"/>
      <c r="AOJ133" s="26"/>
      <c r="AOK133" s="26"/>
      <c r="AOL133" s="26"/>
      <c r="AOM133" s="26"/>
      <c r="AON133" s="26"/>
      <c r="AOO133" s="26"/>
      <c r="AOP133" s="26"/>
      <c r="AOQ133" s="26"/>
      <c r="AOR133" s="26"/>
      <c r="AOS133" s="26"/>
      <c r="AOT133" s="26"/>
      <c r="AOU133" s="26"/>
      <c r="AOV133" s="26"/>
      <c r="AOW133" s="26"/>
      <c r="AOX133" s="26"/>
      <c r="AOY133" s="26"/>
      <c r="AOZ133" s="26"/>
      <c r="APA133" s="26"/>
      <c r="APB133" s="26"/>
      <c r="APC133" s="26"/>
      <c r="APD133" s="26"/>
      <c r="APE133" s="26"/>
      <c r="APF133" s="26"/>
      <c r="APG133" s="26"/>
      <c r="APH133" s="26"/>
      <c r="API133" s="26"/>
      <c r="APJ133" s="26"/>
      <c r="APK133" s="26"/>
      <c r="APL133" s="26"/>
      <c r="APM133" s="26"/>
      <c r="APN133" s="26"/>
      <c r="APO133" s="26"/>
      <c r="APP133" s="26"/>
      <c r="APQ133" s="26"/>
      <c r="APR133" s="26"/>
      <c r="APS133" s="26"/>
      <c r="APT133" s="26"/>
      <c r="APU133" s="26"/>
      <c r="APV133" s="26"/>
      <c r="APW133" s="26"/>
      <c r="APX133" s="26"/>
      <c r="APY133" s="26"/>
      <c r="APZ133" s="26"/>
      <c r="AQA133" s="26"/>
      <c r="AQB133" s="26"/>
      <c r="AQC133" s="26"/>
      <c r="AQD133" s="26"/>
      <c r="AQE133" s="26"/>
      <c r="AQF133" s="26"/>
      <c r="AQG133" s="26"/>
      <c r="AQH133" s="26"/>
      <c r="AQI133" s="26"/>
      <c r="AQJ133" s="26"/>
      <c r="AQK133" s="26"/>
      <c r="AQL133" s="26"/>
      <c r="AQM133" s="26"/>
      <c r="AQN133" s="26"/>
      <c r="AQO133" s="26"/>
      <c r="AQP133" s="26"/>
      <c r="AQQ133" s="26"/>
      <c r="AQR133" s="26"/>
      <c r="AQS133" s="26"/>
      <c r="AQT133" s="26"/>
      <c r="AQU133" s="26"/>
      <c r="AQV133" s="26"/>
      <c r="AQW133" s="26"/>
      <c r="AQX133" s="26"/>
      <c r="AQY133" s="26"/>
      <c r="AQZ133" s="26"/>
      <c r="ARA133" s="26"/>
      <c r="ARB133" s="26"/>
      <c r="ARC133" s="26"/>
      <c r="ARD133" s="26"/>
      <c r="ARE133" s="26"/>
      <c r="ARF133" s="26"/>
      <c r="ARG133" s="26"/>
      <c r="ARH133" s="26"/>
      <c r="ARI133" s="26"/>
      <c r="ARJ133" s="26"/>
      <c r="ARK133" s="26"/>
      <c r="ARL133" s="26"/>
      <c r="ARM133" s="26"/>
      <c r="ARN133" s="26"/>
      <c r="ARO133" s="26"/>
      <c r="ARP133" s="26"/>
      <c r="ARQ133" s="26"/>
      <c r="ARR133" s="26"/>
      <c r="ARS133" s="26"/>
      <c r="ART133" s="26"/>
      <c r="ARU133" s="26"/>
      <c r="ARV133" s="26"/>
      <c r="ARW133" s="26"/>
      <c r="ARX133" s="26"/>
      <c r="ARY133" s="26"/>
      <c r="ARZ133" s="26"/>
      <c r="ASA133" s="26"/>
      <c r="ASB133" s="26"/>
      <c r="ASC133" s="26"/>
      <c r="ASD133" s="26"/>
      <c r="ASE133" s="26"/>
      <c r="ASF133" s="26"/>
      <c r="ASG133" s="26"/>
      <c r="ASH133" s="26"/>
      <c r="ASI133" s="26"/>
      <c r="ASJ133" s="26"/>
      <c r="ASK133" s="26"/>
      <c r="ASL133" s="26"/>
      <c r="ASM133" s="26"/>
      <c r="ASN133" s="26"/>
      <c r="ASO133" s="26"/>
      <c r="ASP133" s="26"/>
      <c r="ASQ133" s="26"/>
      <c r="ASR133" s="26"/>
      <c r="ASS133" s="26"/>
      <c r="AST133" s="26"/>
      <c r="ASU133" s="26"/>
      <c r="ASV133" s="26"/>
      <c r="ASW133" s="26"/>
      <c r="ASX133" s="26"/>
      <c r="ASY133" s="26"/>
      <c r="ASZ133" s="26"/>
      <c r="ATA133" s="26"/>
      <c r="ATB133" s="26"/>
      <c r="ATC133" s="26"/>
      <c r="ATD133" s="26"/>
      <c r="ATE133" s="26"/>
      <c r="ATF133" s="26"/>
      <c r="ATG133" s="26"/>
      <c r="ATH133" s="26"/>
      <c r="ATI133" s="26"/>
      <c r="ATJ133" s="26"/>
      <c r="ATK133" s="26"/>
      <c r="ATL133" s="26"/>
      <c r="ATM133" s="26"/>
      <c r="ATN133" s="26"/>
      <c r="ATO133" s="26"/>
      <c r="ATP133" s="26"/>
      <c r="ATQ133" s="26"/>
      <c r="ATR133" s="26"/>
      <c r="ATS133" s="26"/>
      <c r="ATT133" s="26"/>
      <c r="ATU133" s="26"/>
      <c r="ATV133" s="26"/>
      <c r="ATW133" s="26"/>
      <c r="ATX133" s="26"/>
      <c r="ATY133" s="26"/>
      <c r="ATZ133" s="26"/>
      <c r="AUA133" s="26"/>
      <c r="AUB133" s="26"/>
      <c r="AUC133" s="26"/>
      <c r="AUD133" s="26"/>
      <c r="AUE133" s="26"/>
      <c r="AUF133" s="26"/>
      <c r="AUG133" s="26"/>
      <c r="AUH133" s="26"/>
      <c r="AUI133" s="26"/>
      <c r="AUJ133" s="26"/>
      <c r="AUK133" s="26"/>
      <c r="AUL133" s="26"/>
      <c r="AUM133" s="26"/>
      <c r="AUN133" s="26"/>
      <c r="AUO133" s="26"/>
      <c r="AUP133" s="26"/>
      <c r="AUQ133" s="26"/>
      <c r="AUR133" s="26"/>
      <c r="AUS133" s="26"/>
      <c r="AUT133" s="26"/>
      <c r="AUU133" s="26"/>
      <c r="AUV133" s="26"/>
      <c r="AUW133" s="26"/>
      <c r="AUX133" s="26"/>
      <c r="AUY133" s="26"/>
      <c r="AUZ133" s="26"/>
      <c r="AVA133" s="26"/>
      <c r="AVB133" s="26"/>
      <c r="AVC133" s="26"/>
      <c r="AVD133" s="26"/>
      <c r="AVE133" s="26"/>
      <c r="AVF133" s="26"/>
      <c r="AVG133" s="26"/>
      <c r="AVH133" s="26"/>
      <c r="AVI133" s="26"/>
      <c r="AVJ133" s="26"/>
      <c r="AVK133" s="26"/>
      <c r="AVL133" s="26"/>
      <c r="AVM133" s="26"/>
      <c r="AVN133" s="26"/>
      <c r="AVO133" s="26"/>
      <c r="AVP133" s="26"/>
      <c r="AVQ133" s="26"/>
      <c r="AVR133" s="26"/>
      <c r="AVS133" s="26"/>
      <c r="AVT133" s="26"/>
      <c r="AVU133" s="26"/>
      <c r="AVV133" s="26"/>
      <c r="AVW133" s="26"/>
      <c r="AVX133" s="26"/>
      <c r="AVY133" s="26"/>
      <c r="AVZ133" s="26"/>
      <c r="AWA133" s="26"/>
      <c r="AWB133" s="26"/>
      <c r="AWC133" s="26"/>
      <c r="AWD133" s="26"/>
      <c r="AWE133" s="26"/>
      <c r="AWF133" s="26"/>
      <c r="AWG133" s="26"/>
      <c r="AWH133" s="26"/>
      <c r="AWI133" s="26"/>
      <c r="AWJ133" s="26"/>
      <c r="AWK133" s="26"/>
      <c r="AWL133" s="26"/>
      <c r="AWM133" s="26"/>
      <c r="AWN133" s="26"/>
      <c r="AWO133" s="26"/>
      <c r="AWP133" s="26"/>
      <c r="AWQ133" s="26"/>
      <c r="AWR133" s="26"/>
      <c r="AWS133" s="26"/>
      <c r="AWT133" s="26"/>
      <c r="AWU133" s="26"/>
      <c r="AWV133" s="26"/>
      <c r="AWW133" s="26"/>
      <c r="AWX133" s="26"/>
      <c r="AWY133" s="26"/>
      <c r="AWZ133" s="26"/>
      <c r="AXA133" s="26"/>
      <c r="AXB133" s="26"/>
      <c r="AXC133" s="26"/>
      <c r="AXD133" s="26"/>
      <c r="AXE133" s="26"/>
      <c r="AXF133" s="26"/>
      <c r="AXG133" s="26"/>
      <c r="AXH133" s="26"/>
      <c r="AXI133" s="26"/>
      <c r="AXJ133" s="26"/>
      <c r="AXK133" s="26"/>
      <c r="AXL133" s="26"/>
      <c r="AXM133" s="26"/>
      <c r="AXN133" s="26"/>
      <c r="AXO133" s="26"/>
      <c r="AXP133" s="26"/>
      <c r="AXQ133" s="26"/>
      <c r="AXR133" s="26"/>
      <c r="AXS133" s="26"/>
      <c r="AXT133" s="26"/>
      <c r="AXU133" s="26"/>
      <c r="AXV133" s="26"/>
      <c r="AXW133" s="26"/>
      <c r="AXX133" s="26"/>
      <c r="AXY133" s="26"/>
      <c r="AXZ133" s="26"/>
      <c r="AYA133" s="26"/>
      <c r="AYB133" s="26"/>
      <c r="AYC133" s="26"/>
      <c r="AYD133" s="26"/>
      <c r="AYE133" s="26"/>
      <c r="AYF133" s="26"/>
      <c r="AYG133" s="26"/>
      <c r="AYH133" s="26"/>
      <c r="AYI133" s="26"/>
      <c r="AYJ133" s="26"/>
      <c r="AYK133" s="26"/>
      <c r="AYL133" s="26"/>
      <c r="AYM133" s="26"/>
      <c r="AYN133" s="26"/>
      <c r="AYO133" s="26"/>
      <c r="AYP133" s="26"/>
      <c r="AYQ133" s="26"/>
      <c r="AYR133" s="26"/>
      <c r="AYS133" s="26"/>
      <c r="AYT133" s="26"/>
      <c r="AYU133" s="26"/>
      <c r="AYV133" s="26"/>
      <c r="AYW133" s="26"/>
      <c r="AYX133" s="26"/>
      <c r="AYY133" s="26"/>
      <c r="AYZ133" s="26"/>
      <c r="AZA133" s="26"/>
      <c r="AZB133" s="26"/>
      <c r="AZC133" s="26"/>
      <c r="AZD133" s="26"/>
      <c r="AZE133" s="26"/>
      <c r="AZF133" s="26"/>
      <c r="AZG133" s="26"/>
      <c r="AZH133" s="26"/>
      <c r="AZI133" s="26"/>
      <c r="AZJ133" s="26"/>
      <c r="AZK133" s="26"/>
      <c r="AZL133" s="26"/>
      <c r="AZM133" s="26"/>
      <c r="AZN133" s="26"/>
      <c r="AZO133" s="26"/>
      <c r="AZP133" s="26"/>
      <c r="AZQ133" s="26"/>
      <c r="AZR133" s="26"/>
      <c r="AZS133" s="26"/>
      <c r="AZT133" s="26"/>
      <c r="AZU133" s="26"/>
      <c r="AZV133" s="26"/>
      <c r="AZW133" s="26"/>
      <c r="AZX133" s="26"/>
      <c r="AZY133" s="26"/>
      <c r="AZZ133" s="26"/>
      <c r="BAA133" s="26"/>
      <c r="BAB133" s="26"/>
      <c r="BAC133" s="26"/>
      <c r="BAD133" s="26"/>
      <c r="BAE133" s="26"/>
      <c r="BAF133" s="26"/>
      <c r="BAG133" s="26"/>
      <c r="BAH133" s="26"/>
      <c r="BAI133" s="26"/>
      <c r="BAJ133" s="26"/>
      <c r="BAK133" s="26"/>
      <c r="BAL133" s="26"/>
      <c r="BAM133" s="26"/>
      <c r="BAN133" s="26"/>
      <c r="BAO133" s="26"/>
      <c r="BAP133" s="26"/>
      <c r="BAQ133" s="26"/>
      <c r="BAR133" s="26"/>
      <c r="BAS133" s="26"/>
      <c r="BAT133" s="26"/>
      <c r="BAU133" s="26"/>
      <c r="BAV133" s="26"/>
      <c r="BAW133" s="26"/>
      <c r="BAX133" s="26"/>
      <c r="BAY133" s="26"/>
      <c r="BAZ133" s="26"/>
      <c r="BBA133" s="26"/>
      <c r="BBB133" s="26"/>
      <c r="BBC133" s="26"/>
      <c r="BBD133" s="26"/>
      <c r="BBE133" s="26"/>
      <c r="BBF133" s="26"/>
      <c r="BBG133" s="26"/>
      <c r="BBH133" s="26"/>
      <c r="BBI133" s="26"/>
      <c r="BBJ133" s="26"/>
      <c r="BBK133" s="26"/>
      <c r="BBL133" s="26"/>
      <c r="BBM133" s="26"/>
      <c r="BBN133" s="26"/>
      <c r="BBO133" s="26"/>
      <c r="BBP133" s="26"/>
      <c r="BBQ133" s="26"/>
      <c r="BBR133" s="26"/>
      <c r="BBS133" s="26"/>
      <c r="BBT133" s="26"/>
      <c r="BBU133" s="26"/>
      <c r="BBV133" s="26"/>
      <c r="BBW133" s="26"/>
      <c r="BBX133" s="26"/>
      <c r="BBY133" s="26"/>
      <c r="BBZ133" s="26"/>
      <c r="BCA133" s="26"/>
      <c r="BCB133" s="26"/>
      <c r="BCC133" s="26"/>
      <c r="BCD133" s="26"/>
      <c r="BCE133" s="26"/>
      <c r="BCF133" s="26"/>
      <c r="BCG133" s="26"/>
      <c r="BCH133" s="26"/>
      <c r="BCI133" s="26"/>
      <c r="BCJ133" s="26"/>
      <c r="BCK133" s="26"/>
      <c r="BCL133" s="26"/>
      <c r="BCM133" s="26"/>
      <c r="BCN133" s="26"/>
      <c r="BCO133" s="26"/>
      <c r="BCP133" s="26"/>
      <c r="BCQ133" s="26"/>
      <c r="BCR133" s="26"/>
      <c r="BCS133" s="26"/>
      <c r="BCT133" s="26"/>
      <c r="BCU133" s="26"/>
      <c r="BCV133" s="26"/>
      <c r="BCW133" s="26"/>
      <c r="BCX133" s="26"/>
      <c r="BCY133" s="26"/>
      <c r="BCZ133" s="26"/>
      <c r="BDA133" s="26"/>
      <c r="BDB133" s="26"/>
      <c r="BDC133" s="26"/>
      <c r="BDD133" s="26"/>
      <c r="BDE133" s="26"/>
      <c r="BDF133" s="26"/>
      <c r="BDG133" s="26"/>
      <c r="BDH133" s="26"/>
      <c r="BDI133" s="26"/>
      <c r="BDJ133" s="26"/>
      <c r="BDK133" s="26"/>
      <c r="BDL133" s="26"/>
      <c r="BDM133" s="26"/>
      <c r="BDN133" s="26"/>
      <c r="BDO133" s="26"/>
      <c r="BDP133" s="26"/>
      <c r="BDQ133" s="26"/>
      <c r="BDR133" s="26"/>
      <c r="BDS133" s="26"/>
      <c r="BDT133" s="26"/>
      <c r="BDU133" s="26"/>
      <c r="BDV133" s="26"/>
      <c r="BDW133" s="26"/>
      <c r="BDX133" s="26"/>
      <c r="BDY133" s="26"/>
      <c r="BDZ133" s="26"/>
      <c r="BEA133" s="26"/>
      <c r="BEB133" s="26"/>
      <c r="BEC133" s="26"/>
      <c r="BED133" s="26"/>
      <c r="BEE133" s="26"/>
      <c r="BEF133" s="26"/>
      <c r="BEG133" s="26"/>
      <c r="BEH133" s="26"/>
      <c r="BEI133" s="26"/>
      <c r="BEJ133" s="26"/>
      <c r="BEK133" s="26"/>
      <c r="BEL133" s="26"/>
      <c r="BEM133" s="26"/>
      <c r="BEN133" s="26"/>
      <c r="BEO133" s="26"/>
      <c r="BEP133" s="26"/>
      <c r="BEQ133" s="26"/>
      <c r="BER133" s="26"/>
      <c r="BES133" s="26"/>
      <c r="BET133" s="26"/>
      <c r="BEU133" s="26"/>
      <c r="BEV133" s="26"/>
      <c r="BEW133" s="26"/>
      <c r="BEX133" s="26"/>
      <c r="BEY133" s="26"/>
      <c r="BEZ133" s="26"/>
      <c r="BFA133" s="26"/>
      <c r="BFB133" s="26"/>
      <c r="BFC133" s="26"/>
      <c r="BFD133" s="26"/>
      <c r="BFE133" s="26"/>
      <c r="BFF133" s="26"/>
      <c r="BFG133" s="26"/>
      <c r="BFH133" s="26"/>
      <c r="BFI133" s="26"/>
      <c r="BFJ133" s="26"/>
      <c r="BFK133" s="26"/>
      <c r="BFL133" s="26"/>
      <c r="BFM133" s="26"/>
      <c r="BFN133" s="26"/>
      <c r="BFO133" s="26"/>
      <c r="BFP133" s="26"/>
      <c r="BFQ133" s="26"/>
      <c r="BFR133" s="26"/>
      <c r="BFS133" s="26"/>
      <c r="BFT133" s="26"/>
      <c r="BFU133" s="26"/>
      <c r="BFV133" s="26"/>
      <c r="BFW133" s="26"/>
      <c r="BFX133" s="26"/>
      <c r="BFY133" s="26"/>
      <c r="BFZ133" s="26"/>
      <c r="BGA133" s="26"/>
      <c r="BGB133" s="26"/>
      <c r="BGC133" s="26"/>
      <c r="BGD133" s="26"/>
      <c r="BGE133" s="26"/>
      <c r="BGF133" s="26"/>
      <c r="BGG133" s="26"/>
      <c r="BGH133" s="26"/>
      <c r="BGI133" s="26"/>
      <c r="BGJ133" s="26"/>
      <c r="BGK133" s="26"/>
      <c r="BGL133" s="26"/>
      <c r="BGM133" s="26"/>
      <c r="BGN133" s="26"/>
      <c r="BGO133" s="26"/>
      <c r="BGP133" s="26"/>
      <c r="BGQ133" s="26"/>
      <c r="BGR133" s="26"/>
      <c r="BGS133" s="26"/>
      <c r="BGT133" s="26"/>
      <c r="BGU133" s="26"/>
      <c r="BGV133" s="26"/>
      <c r="BGW133" s="26"/>
      <c r="BGX133" s="26"/>
      <c r="BGY133" s="26"/>
      <c r="BGZ133" s="26"/>
      <c r="BHA133" s="26"/>
      <c r="BHB133" s="26"/>
      <c r="BHC133" s="26"/>
      <c r="BHD133" s="26"/>
      <c r="BHE133" s="26"/>
      <c r="BHF133" s="26"/>
      <c r="BHG133" s="26"/>
      <c r="BHH133" s="26"/>
      <c r="BHI133" s="26"/>
      <c r="BHJ133" s="26"/>
      <c r="BHK133" s="26"/>
      <c r="BHL133" s="26"/>
      <c r="BHM133" s="26"/>
      <c r="BHN133" s="26"/>
      <c r="BHO133" s="26"/>
      <c r="BHP133" s="26"/>
      <c r="BHQ133" s="26"/>
      <c r="BHR133" s="26"/>
      <c r="BHS133" s="26"/>
      <c r="BHT133" s="26"/>
      <c r="BHU133" s="26"/>
      <c r="BHV133" s="26"/>
      <c r="BHW133" s="26"/>
      <c r="BHX133" s="26"/>
      <c r="BHY133" s="26"/>
      <c r="BHZ133" s="26"/>
      <c r="BIA133" s="26"/>
      <c r="BIB133" s="26"/>
      <c r="BIC133" s="26"/>
      <c r="BID133" s="26"/>
      <c r="BIE133" s="26"/>
      <c r="BIF133" s="26"/>
      <c r="BIG133" s="26"/>
      <c r="BIH133" s="26"/>
      <c r="BII133" s="26"/>
      <c r="BIJ133" s="26"/>
      <c r="BIK133" s="26"/>
      <c r="BIL133" s="26"/>
      <c r="BIM133" s="26"/>
      <c r="BIN133" s="26"/>
      <c r="BIO133" s="26"/>
      <c r="BIP133" s="26"/>
      <c r="BIQ133" s="26"/>
      <c r="BIR133" s="26"/>
      <c r="BIS133" s="26"/>
      <c r="BIT133" s="26"/>
      <c r="BIU133" s="26"/>
      <c r="BIV133" s="26"/>
      <c r="BIW133" s="26"/>
      <c r="BIX133" s="26"/>
      <c r="BIY133" s="26"/>
      <c r="BIZ133" s="26"/>
      <c r="BJA133" s="26"/>
      <c r="BJB133" s="26"/>
      <c r="BJC133" s="26"/>
      <c r="BJD133" s="26"/>
      <c r="BJE133" s="26"/>
      <c r="BJF133" s="26"/>
      <c r="BJG133" s="26"/>
      <c r="BJH133" s="26"/>
      <c r="BJI133" s="26"/>
      <c r="BJJ133" s="26"/>
      <c r="BJK133" s="26"/>
      <c r="BJL133" s="26"/>
      <c r="BJM133" s="26"/>
      <c r="BJN133" s="26"/>
      <c r="BJO133" s="26"/>
      <c r="BJP133" s="26"/>
      <c r="BJQ133" s="26"/>
      <c r="BJR133" s="26"/>
      <c r="BJS133" s="26"/>
      <c r="BJT133" s="26"/>
      <c r="BJU133" s="26"/>
      <c r="BJV133" s="26"/>
      <c r="BJW133" s="26"/>
      <c r="BJX133" s="26"/>
      <c r="BJY133" s="26"/>
      <c r="BJZ133" s="26"/>
      <c r="BKA133" s="26"/>
      <c r="BKB133" s="26"/>
      <c r="BKC133" s="26"/>
      <c r="BKD133" s="26"/>
      <c r="BKE133" s="26"/>
      <c r="BKF133" s="26"/>
      <c r="BKG133" s="26"/>
      <c r="BKH133" s="26"/>
      <c r="BKI133" s="26"/>
      <c r="BKJ133" s="26"/>
      <c r="BKK133" s="26"/>
      <c r="BKL133" s="26"/>
      <c r="BKM133" s="26"/>
      <c r="BKN133" s="26"/>
      <c r="BKO133" s="26"/>
      <c r="BKP133" s="26"/>
      <c r="BKQ133" s="26"/>
      <c r="BKR133" s="26"/>
      <c r="BKS133" s="26"/>
      <c r="BKT133" s="26"/>
      <c r="BKU133" s="26"/>
      <c r="BKV133" s="26"/>
      <c r="BKW133" s="26"/>
      <c r="BKX133" s="26"/>
      <c r="BKY133" s="26"/>
      <c r="BKZ133" s="26"/>
      <c r="BLA133" s="26"/>
      <c r="BLB133" s="26"/>
      <c r="BLC133" s="26"/>
      <c r="BLD133" s="26"/>
      <c r="BLE133" s="26"/>
      <c r="BLF133" s="26"/>
      <c r="BLG133" s="26"/>
      <c r="BLH133" s="26"/>
      <c r="BLI133" s="26"/>
      <c r="BLJ133" s="26"/>
      <c r="BLK133" s="26"/>
      <c r="BLL133" s="26"/>
      <c r="BLM133" s="26"/>
      <c r="BLN133" s="26"/>
      <c r="BLO133" s="26"/>
      <c r="BLP133" s="26"/>
      <c r="BLQ133" s="26"/>
      <c r="BLR133" s="26"/>
      <c r="BLS133" s="26"/>
      <c r="BLT133" s="26"/>
      <c r="BLU133" s="26"/>
      <c r="BLV133" s="26"/>
      <c r="BLW133" s="26"/>
      <c r="BLX133" s="26"/>
      <c r="BLY133" s="26"/>
      <c r="BLZ133" s="26"/>
      <c r="BMA133" s="26"/>
      <c r="BMB133" s="26"/>
      <c r="BMC133" s="26"/>
      <c r="BMD133" s="26"/>
      <c r="BME133" s="26"/>
      <c r="BMF133" s="26"/>
      <c r="BMG133" s="26"/>
      <c r="BMH133" s="26"/>
      <c r="BMI133" s="26"/>
      <c r="BMJ133" s="26"/>
      <c r="BMK133" s="26"/>
      <c r="BML133" s="26"/>
      <c r="BMM133" s="26"/>
      <c r="BMN133" s="26"/>
      <c r="BMO133" s="26"/>
      <c r="BMP133" s="26"/>
      <c r="BMQ133" s="26"/>
      <c r="BMR133" s="26"/>
      <c r="BMS133" s="26"/>
      <c r="BMT133" s="26"/>
      <c r="BMU133" s="26"/>
      <c r="BMV133" s="26"/>
      <c r="BMW133" s="26"/>
      <c r="BMX133" s="26"/>
      <c r="BMY133" s="26"/>
      <c r="BMZ133" s="26"/>
      <c r="BNA133" s="26"/>
      <c r="BNB133" s="26"/>
      <c r="BNC133" s="26"/>
      <c r="BND133" s="26"/>
      <c r="BNE133" s="26"/>
      <c r="BNF133" s="26"/>
      <c r="BNG133" s="26"/>
      <c r="BNH133" s="26"/>
      <c r="BNI133" s="26"/>
      <c r="BNJ133" s="26"/>
      <c r="BNK133" s="26"/>
      <c r="BNL133" s="26"/>
      <c r="BNM133" s="26"/>
      <c r="BNN133" s="26"/>
      <c r="BNO133" s="26"/>
      <c r="BNP133" s="26"/>
      <c r="BNQ133" s="26"/>
      <c r="BNR133" s="26"/>
      <c r="BNS133" s="26"/>
      <c r="BNT133" s="26"/>
      <c r="BNU133" s="26"/>
      <c r="BNV133" s="26"/>
      <c r="BNW133" s="26"/>
      <c r="BNX133" s="26"/>
      <c r="BNY133" s="26"/>
      <c r="BNZ133" s="26"/>
      <c r="BOA133" s="26"/>
      <c r="BOB133" s="26"/>
      <c r="BOC133" s="26"/>
      <c r="BOD133" s="26"/>
      <c r="BOE133" s="26"/>
      <c r="BOF133" s="26"/>
      <c r="BOG133" s="26"/>
      <c r="BOH133" s="26"/>
      <c r="BOI133" s="26"/>
      <c r="BOJ133" s="26"/>
      <c r="BOK133" s="26"/>
      <c r="BOL133" s="26"/>
      <c r="BOM133" s="26"/>
      <c r="BON133" s="26"/>
      <c r="BOO133" s="26"/>
      <c r="BOP133" s="26"/>
      <c r="BOQ133" s="26"/>
      <c r="BOR133" s="26"/>
      <c r="BOS133" s="26"/>
      <c r="BOT133" s="26"/>
      <c r="BOU133" s="26"/>
      <c r="BOV133" s="26"/>
      <c r="BOW133" s="26"/>
      <c r="BOX133" s="26"/>
      <c r="BOY133" s="26"/>
      <c r="BOZ133" s="26"/>
      <c r="BPA133" s="26"/>
      <c r="BPB133" s="26"/>
      <c r="BPC133" s="26"/>
      <c r="BPD133" s="26"/>
      <c r="BPE133" s="26"/>
      <c r="BPF133" s="26"/>
      <c r="BPG133" s="26"/>
      <c r="BPH133" s="26"/>
      <c r="BPI133" s="26"/>
      <c r="BPJ133" s="26"/>
      <c r="BPK133" s="26"/>
      <c r="BPL133" s="26"/>
      <c r="BPM133" s="26"/>
      <c r="BPN133" s="26"/>
      <c r="BPO133" s="26"/>
      <c r="BPP133" s="26"/>
      <c r="BPQ133" s="26"/>
      <c r="BPR133" s="26"/>
      <c r="BPS133" s="26"/>
      <c r="BPT133" s="26"/>
      <c r="BPU133" s="26"/>
      <c r="BPV133" s="26"/>
      <c r="BPW133" s="26"/>
      <c r="BPX133" s="26"/>
      <c r="BPY133" s="26"/>
      <c r="BPZ133" s="26"/>
      <c r="BQA133" s="26"/>
      <c r="BQB133" s="26"/>
      <c r="BQC133" s="26"/>
      <c r="BQD133" s="26"/>
      <c r="BQE133" s="26"/>
      <c r="BQF133" s="26"/>
      <c r="BQG133" s="26"/>
      <c r="BQH133" s="26"/>
      <c r="BQI133" s="26"/>
      <c r="BQJ133" s="26"/>
      <c r="BQK133" s="26"/>
      <c r="BQL133" s="26"/>
      <c r="BQM133" s="26"/>
      <c r="BQN133" s="26"/>
      <c r="BQO133" s="26"/>
      <c r="BQP133" s="26"/>
      <c r="BQQ133" s="26"/>
      <c r="BQR133" s="26"/>
      <c r="BQS133" s="26"/>
      <c r="BQT133" s="26"/>
      <c r="BQU133" s="26"/>
      <c r="BQV133" s="26"/>
      <c r="BQW133" s="26"/>
      <c r="BQX133" s="26"/>
      <c r="BQY133" s="26"/>
      <c r="BQZ133" s="26"/>
      <c r="BRA133" s="26"/>
      <c r="BRB133" s="26"/>
      <c r="BRC133" s="26"/>
      <c r="BRD133" s="26"/>
      <c r="BRE133" s="26"/>
      <c r="BRF133" s="26"/>
      <c r="BRG133" s="26"/>
      <c r="BRH133" s="26"/>
      <c r="BRI133" s="26"/>
      <c r="BRJ133" s="26"/>
      <c r="BRK133" s="26"/>
      <c r="BRL133" s="26"/>
      <c r="BRM133" s="26"/>
      <c r="BRN133" s="26"/>
      <c r="BRO133" s="26"/>
      <c r="BRP133" s="26"/>
      <c r="BRQ133" s="26"/>
      <c r="BRR133" s="26"/>
      <c r="BRS133" s="26"/>
      <c r="BRT133" s="26"/>
      <c r="BRU133" s="26"/>
      <c r="BRV133" s="26"/>
      <c r="BRW133" s="26"/>
      <c r="BRX133" s="26"/>
      <c r="BRY133" s="26"/>
      <c r="BRZ133" s="26"/>
      <c r="BSA133" s="26"/>
      <c r="BSB133" s="26"/>
      <c r="BSC133" s="26"/>
      <c r="BSD133" s="26"/>
      <c r="BSE133" s="26"/>
      <c r="BSF133" s="26"/>
      <c r="BSG133" s="26"/>
      <c r="BSH133" s="26"/>
      <c r="BSI133" s="26"/>
      <c r="BSJ133" s="26"/>
      <c r="BSK133" s="26"/>
      <c r="BSL133" s="26"/>
      <c r="BSM133" s="26"/>
      <c r="BSN133" s="26"/>
      <c r="BSO133" s="26"/>
      <c r="BSP133" s="26"/>
      <c r="BSQ133" s="26"/>
      <c r="BSR133" s="26"/>
      <c r="BSS133" s="26"/>
      <c r="BST133" s="26"/>
      <c r="BSU133" s="26"/>
      <c r="BSV133" s="26"/>
      <c r="BSW133" s="26"/>
      <c r="BSX133" s="26"/>
      <c r="BSY133" s="26"/>
      <c r="BSZ133" s="26"/>
      <c r="BTA133" s="26"/>
      <c r="BTB133" s="26"/>
      <c r="BTC133" s="26"/>
      <c r="BTD133" s="26"/>
      <c r="BTE133" s="26"/>
      <c r="BTF133" s="26"/>
      <c r="BTG133" s="26"/>
      <c r="BTH133" s="26"/>
      <c r="BTI133" s="26"/>
      <c r="BTJ133" s="26"/>
      <c r="BTK133" s="26"/>
      <c r="BTL133" s="26"/>
      <c r="BTM133" s="26"/>
      <c r="BTN133" s="26"/>
      <c r="BTO133" s="26"/>
      <c r="BTP133" s="26"/>
      <c r="BTQ133" s="26"/>
      <c r="BTR133" s="26"/>
      <c r="BTS133" s="26"/>
      <c r="BTT133" s="26"/>
      <c r="BTU133" s="26"/>
      <c r="BTV133" s="26"/>
      <c r="BTW133" s="26"/>
      <c r="BTX133" s="26"/>
      <c r="BTY133" s="26"/>
      <c r="BTZ133" s="26"/>
      <c r="BUA133" s="26"/>
      <c r="BUB133" s="26"/>
      <c r="BUC133" s="26"/>
      <c r="BUD133" s="26"/>
      <c r="BUE133" s="26"/>
      <c r="BUF133" s="26"/>
      <c r="BUG133" s="26"/>
      <c r="BUH133" s="26"/>
      <c r="BUI133" s="26"/>
      <c r="BUJ133" s="26"/>
      <c r="BUK133" s="26"/>
      <c r="BUL133" s="26"/>
      <c r="BUM133" s="26"/>
      <c r="BUN133" s="26"/>
      <c r="BUO133" s="26"/>
      <c r="BUP133" s="26"/>
      <c r="BUQ133" s="26"/>
      <c r="BUR133" s="26"/>
      <c r="BUS133" s="26"/>
      <c r="BUT133" s="26"/>
      <c r="BUU133" s="26"/>
      <c r="BUV133" s="26"/>
      <c r="BUW133" s="26"/>
      <c r="BUX133" s="26"/>
      <c r="BUY133" s="26"/>
      <c r="BUZ133" s="26"/>
      <c r="BVA133" s="26"/>
      <c r="BVB133" s="26"/>
      <c r="BVC133" s="26"/>
      <c r="BVD133" s="26"/>
      <c r="BVE133" s="26"/>
      <c r="BVF133" s="26"/>
      <c r="BVG133" s="26"/>
      <c r="BVH133" s="26"/>
      <c r="BVI133" s="26"/>
      <c r="BVJ133" s="26"/>
      <c r="BVK133" s="26"/>
      <c r="BVL133" s="26"/>
      <c r="BVM133" s="26"/>
      <c r="BVN133" s="26"/>
      <c r="BVO133" s="26"/>
      <c r="BVP133" s="26"/>
      <c r="BVQ133" s="26"/>
      <c r="BVR133" s="26"/>
      <c r="BVS133" s="26"/>
      <c r="BVT133" s="26"/>
      <c r="BVU133" s="26"/>
      <c r="BVV133" s="26"/>
      <c r="BVW133" s="26"/>
      <c r="BVX133" s="26"/>
      <c r="BVY133" s="26"/>
      <c r="BVZ133" s="26"/>
      <c r="BWA133" s="26"/>
      <c r="BWB133" s="26"/>
      <c r="BWC133" s="26"/>
      <c r="BWD133" s="26"/>
      <c r="BWE133" s="26"/>
      <c r="BWF133" s="26"/>
      <c r="BWG133" s="26"/>
      <c r="BWH133" s="26"/>
      <c r="BWI133" s="26"/>
      <c r="BWJ133" s="26"/>
      <c r="BWK133" s="26"/>
      <c r="BWL133" s="26"/>
      <c r="BWM133" s="26"/>
      <c r="BWN133" s="26"/>
      <c r="BWO133" s="26"/>
      <c r="BWP133" s="26"/>
      <c r="BWQ133" s="26"/>
      <c r="BWR133" s="26"/>
      <c r="BWS133" s="26"/>
      <c r="BWT133" s="26"/>
      <c r="BWU133" s="26"/>
      <c r="BWV133" s="26"/>
      <c r="BWW133" s="26"/>
      <c r="BWX133" s="26"/>
      <c r="BWY133" s="26"/>
      <c r="BWZ133" s="26"/>
      <c r="BXA133" s="26"/>
      <c r="BXB133" s="26"/>
      <c r="BXC133" s="26"/>
      <c r="BXD133" s="26"/>
      <c r="BXE133" s="26"/>
      <c r="BXF133" s="26"/>
      <c r="BXG133" s="26"/>
      <c r="BXH133" s="26"/>
      <c r="BXI133" s="26"/>
      <c r="BXJ133" s="26"/>
      <c r="BXK133" s="26"/>
      <c r="BXL133" s="26"/>
      <c r="BXM133" s="26"/>
      <c r="BXN133" s="26"/>
      <c r="BXO133" s="26"/>
      <c r="BXP133" s="26"/>
      <c r="BXQ133" s="26"/>
      <c r="BXR133" s="26"/>
      <c r="BXS133" s="26"/>
      <c r="BXT133" s="26"/>
      <c r="BXU133" s="26"/>
      <c r="BXV133" s="26"/>
      <c r="BXW133" s="26"/>
      <c r="BXX133" s="26"/>
      <c r="BXY133" s="26"/>
      <c r="BXZ133" s="26"/>
      <c r="BYA133" s="26"/>
      <c r="BYB133" s="26"/>
      <c r="BYC133" s="26"/>
      <c r="BYD133" s="26"/>
      <c r="BYE133" s="26"/>
      <c r="BYF133" s="26"/>
      <c r="BYG133" s="26"/>
      <c r="BYH133" s="26"/>
      <c r="BYI133" s="26"/>
      <c r="BYJ133" s="26"/>
      <c r="BYK133" s="26"/>
      <c r="BYL133" s="26"/>
      <c r="BYM133" s="26"/>
      <c r="BYN133" s="26"/>
      <c r="BYO133" s="26"/>
      <c r="BYP133" s="26"/>
      <c r="BYQ133" s="26"/>
      <c r="BYR133" s="26"/>
      <c r="BYS133" s="26"/>
      <c r="BYT133" s="26"/>
      <c r="BYU133" s="26"/>
      <c r="BYV133" s="26"/>
      <c r="BYW133" s="26"/>
      <c r="BYX133" s="26"/>
      <c r="BYY133" s="26"/>
      <c r="BYZ133" s="26"/>
      <c r="BZA133" s="26"/>
      <c r="BZB133" s="26"/>
      <c r="BZC133" s="26"/>
      <c r="BZD133" s="26"/>
      <c r="BZE133" s="26"/>
      <c r="BZF133" s="26"/>
      <c r="BZG133" s="26"/>
      <c r="BZH133" s="26"/>
      <c r="BZI133" s="26"/>
      <c r="BZJ133" s="26"/>
      <c r="BZK133" s="26"/>
      <c r="BZL133" s="26"/>
      <c r="BZM133" s="26"/>
      <c r="BZN133" s="26"/>
      <c r="BZO133" s="26"/>
      <c r="BZP133" s="26"/>
      <c r="BZQ133" s="26"/>
      <c r="BZR133" s="26"/>
      <c r="BZS133" s="26"/>
      <c r="BZT133" s="26"/>
      <c r="BZU133" s="26"/>
      <c r="BZV133" s="26"/>
      <c r="BZW133" s="26"/>
      <c r="BZX133" s="26"/>
      <c r="BZY133" s="26"/>
      <c r="BZZ133" s="26"/>
      <c r="CAA133" s="26"/>
      <c r="CAB133" s="26"/>
      <c r="CAC133" s="26"/>
      <c r="CAD133" s="26"/>
      <c r="CAE133" s="26"/>
      <c r="CAF133" s="26"/>
      <c r="CAG133" s="26"/>
      <c r="CAH133" s="26"/>
      <c r="CAI133" s="26"/>
      <c r="CAJ133" s="26"/>
      <c r="CAK133" s="26"/>
      <c r="CAL133" s="26"/>
      <c r="CAM133" s="26"/>
      <c r="CAN133" s="26"/>
      <c r="CAO133" s="26"/>
      <c r="CAP133" s="26"/>
      <c r="CAQ133" s="26"/>
      <c r="CAR133" s="26"/>
      <c r="CAS133" s="26"/>
      <c r="CAT133" s="26"/>
      <c r="CAU133" s="26"/>
      <c r="CAV133" s="26"/>
      <c r="CAW133" s="26"/>
      <c r="CAX133" s="26"/>
      <c r="CAY133" s="26"/>
      <c r="CAZ133" s="26"/>
      <c r="CBA133" s="26"/>
      <c r="CBB133" s="26"/>
      <c r="CBC133" s="26"/>
      <c r="CBD133" s="26"/>
      <c r="CBE133" s="26"/>
      <c r="CBF133" s="26"/>
      <c r="CBG133" s="26"/>
      <c r="CBH133" s="26"/>
      <c r="CBI133" s="26"/>
    </row>
    <row r="134" spans="1:2089" ht="14" customHeight="1">
      <c r="A134" s="27">
        <v>133</v>
      </c>
      <c r="B134" s="31" t="s">
        <v>343</v>
      </c>
      <c r="C134" s="66">
        <v>2010</v>
      </c>
      <c r="D134" s="67" t="s">
        <v>12</v>
      </c>
      <c r="E134" s="26" t="s">
        <v>566</v>
      </c>
      <c r="F134" s="81" t="s">
        <v>175</v>
      </c>
      <c r="G134" s="81" t="s">
        <v>106</v>
      </c>
      <c r="H134" s="2" t="s">
        <v>24</v>
      </c>
      <c r="I134" s="81" t="s">
        <v>548</v>
      </c>
      <c r="J134" s="2" t="s">
        <v>189</v>
      </c>
      <c r="K134" s="81" t="s">
        <v>548</v>
      </c>
      <c r="L134" s="2" t="s">
        <v>548</v>
      </c>
      <c r="M134" s="81" t="s">
        <v>175</v>
      </c>
      <c r="N134" s="2" t="s">
        <v>209</v>
      </c>
      <c r="O134" s="2" t="s">
        <v>209</v>
      </c>
      <c r="P134" s="2" t="s">
        <v>620</v>
      </c>
      <c r="Q134" s="2" t="s">
        <v>42</v>
      </c>
      <c r="R134" s="102" t="s">
        <v>614</v>
      </c>
      <c r="S134" s="91">
        <f>1-(5/138)</f>
        <v>0.96376811594202894</v>
      </c>
      <c r="T134" s="69">
        <v>151</v>
      </c>
      <c r="U134" s="81">
        <v>1</v>
      </c>
      <c r="V134" s="67">
        <v>0</v>
      </c>
      <c r="W134" s="67">
        <v>1</v>
      </c>
      <c r="X134" s="67">
        <v>1</v>
      </c>
      <c r="Y134" s="67">
        <v>0</v>
      </c>
      <c r="Z134" s="67">
        <v>0</v>
      </c>
      <c r="AA134" s="67">
        <v>0</v>
      </c>
      <c r="AB134" s="67">
        <v>0</v>
      </c>
      <c r="AC134" s="68" t="s">
        <v>70</v>
      </c>
      <c r="AD134" s="68" t="s">
        <v>70</v>
      </c>
      <c r="AE134" s="68" t="s">
        <v>70</v>
      </c>
      <c r="AF134" s="68" t="s">
        <v>70</v>
      </c>
      <c r="AG134" s="68" t="s">
        <v>70</v>
      </c>
      <c r="AH134" s="68" t="s">
        <v>70</v>
      </c>
      <c r="AI134" s="68" t="s">
        <v>70</v>
      </c>
      <c r="AJ134" s="68" t="s">
        <v>70</v>
      </c>
      <c r="AK134" s="68" t="s">
        <v>70</v>
      </c>
      <c r="AL134" s="68" t="s">
        <v>70</v>
      </c>
      <c r="AM134" s="69" t="s">
        <v>175</v>
      </c>
      <c r="AN134" s="26" t="s">
        <v>617</v>
      </c>
      <c r="AO134" s="67" t="s">
        <v>548</v>
      </c>
      <c r="AP134" s="67" t="s">
        <v>548</v>
      </c>
      <c r="AQ134" s="67" t="s">
        <v>548</v>
      </c>
      <c r="AR134" s="67" t="s">
        <v>548</v>
      </c>
      <c r="AS134" s="67" t="s">
        <v>175</v>
      </c>
      <c r="AT134" s="26" t="s">
        <v>70</v>
      </c>
      <c r="AU134" s="26" t="s">
        <v>70</v>
      </c>
      <c r="AV134" s="26">
        <v>6</v>
      </c>
    </row>
    <row r="135" spans="1:2089" ht="14" customHeight="1">
      <c r="A135" s="27">
        <v>134</v>
      </c>
      <c r="B135" s="27" t="s">
        <v>344</v>
      </c>
      <c r="C135" s="27">
        <v>2010</v>
      </c>
      <c r="D135" s="26" t="s">
        <v>18</v>
      </c>
      <c r="E135" s="26" t="s">
        <v>566</v>
      </c>
      <c r="F135" s="77" t="s">
        <v>175</v>
      </c>
      <c r="G135" s="2" t="s">
        <v>84</v>
      </c>
      <c r="H135" s="2" t="s">
        <v>24</v>
      </c>
      <c r="I135" s="2" t="s">
        <v>548</v>
      </c>
      <c r="J135" s="2" t="s">
        <v>189</v>
      </c>
      <c r="K135" s="2" t="s">
        <v>548</v>
      </c>
      <c r="L135" s="2" t="s">
        <v>548</v>
      </c>
      <c r="M135" s="2" t="s">
        <v>175</v>
      </c>
      <c r="N135" s="2" t="s">
        <v>62</v>
      </c>
      <c r="O135" s="2" t="s">
        <v>43</v>
      </c>
      <c r="P135" s="2" t="s">
        <v>62</v>
      </c>
      <c r="Q135" s="26" t="s">
        <v>607</v>
      </c>
      <c r="R135" s="79" t="s">
        <v>613</v>
      </c>
      <c r="S135" s="2" t="s">
        <v>70</v>
      </c>
      <c r="T135" s="26">
        <v>11</v>
      </c>
      <c r="U135" s="77">
        <v>1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33" t="s">
        <v>70</v>
      </c>
      <c r="AD135" s="33" t="s">
        <v>70</v>
      </c>
      <c r="AE135" s="33" t="s">
        <v>70</v>
      </c>
      <c r="AF135" s="33" t="s">
        <v>70</v>
      </c>
      <c r="AG135" s="33" t="s">
        <v>70</v>
      </c>
      <c r="AH135" s="33" t="s">
        <v>70</v>
      </c>
      <c r="AI135" s="33" t="s">
        <v>70</v>
      </c>
      <c r="AJ135" s="33" t="s">
        <v>70</v>
      </c>
      <c r="AK135" s="33" t="s">
        <v>70</v>
      </c>
      <c r="AL135" s="26" t="s">
        <v>70</v>
      </c>
      <c r="AM135" s="35" t="s">
        <v>548</v>
      </c>
      <c r="AN135" s="26" t="s">
        <v>274</v>
      </c>
      <c r="AO135" s="35" t="s">
        <v>548</v>
      </c>
      <c r="AP135" s="35" t="s">
        <v>548</v>
      </c>
      <c r="AQ135" s="35" t="s">
        <v>548</v>
      </c>
      <c r="AR135" s="35" t="s">
        <v>548</v>
      </c>
      <c r="AS135" s="26" t="s">
        <v>175</v>
      </c>
      <c r="AT135" s="26" t="s">
        <v>70</v>
      </c>
      <c r="AU135" s="26" t="s">
        <v>70</v>
      </c>
      <c r="AV135" s="26">
        <v>3</v>
      </c>
    </row>
    <row r="136" spans="1:2089" ht="14" customHeight="1">
      <c r="A136" s="27">
        <v>135</v>
      </c>
      <c r="B136" s="27" t="s">
        <v>345</v>
      </c>
      <c r="C136" s="27">
        <v>1995</v>
      </c>
      <c r="D136" s="26" t="s">
        <v>67</v>
      </c>
      <c r="E136" s="26" t="s">
        <v>565</v>
      </c>
      <c r="F136" s="77" t="s">
        <v>175</v>
      </c>
      <c r="G136" s="2" t="s">
        <v>106</v>
      </c>
      <c r="H136" s="2" t="s">
        <v>30</v>
      </c>
      <c r="I136" s="2" t="s">
        <v>175</v>
      </c>
      <c r="J136" s="2" t="s">
        <v>604</v>
      </c>
      <c r="K136" s="2" t="s">
        <v>175</v>
      </c>
      <c r="L136" s="2" t="s">
        <v>175</v>
      </c>
      <c r="M136" s="2" t="s">
        <v>175</v>
      </c>
      <c r="N136" s="2" t="s">
        <v>62</v>
      </c>
      <c r="O136" s="2" t="s">
        <v>43</v>
      </c>
      <c r="P136" s="2" t="s">
        <v>62</v>
      </c>
      <c r="Q136" s="26" t="s">
        <v>606</v>
      </c>
      <c r="R136" s="79" t="s">
        <v>613</v>
      </c>
      <c r="S136" s="2">
        <v>0</v>
      </c>
      <c r="T136" s="26">
        <v>283</v>
      </c>
      <c r="U136" s="77">
        <v>1</v>
      </c>
      <c r="V136" s="26">
        <v>0</v>
      </c>
      <c r="W136" s="26">
        <v>0</v>
      </c>
      <c r="X136" s="26">
        <v>1</v>
      </c>
      <c r="Y136" s="26">
        <v>0</v>
      </c>
      <c r="Z136" s="26">
        <v>0</v>
      </c>
      <c r="AA136" s="26">
        <v>0</v>
      </c>
      <c r="AB136" s="26">
        <v>0</v>
      </c>
      <c r="AC136" s="26" t="s">
        <v>70</v>
      </c>
      <c r="AD136" s="26" t="s">
        <v>70</v>
      </c>
      <c r="AE136" s="26" t="s">
        <v>70</v>
      </c>
      <c r="AF136" s="26" t="s">
        <v>70</v>
      </c>
      <c r="AG136" s="26" t="s">
        <v>70</v>
      </c>
      <c r="AH136" s="26" t="s">
        <v>70</v>
      </c>
      <c r="AI136" s="26" t="s">
        <v>70</v>
      </c>
      <c r="AJ136" s="26" t="s">
        <v>70</v>
      </c>
      <c r="AK136" s="26" t="s">
        <v>70</v>
      </c>
      <c r="AL136" s="26" t="s">
        <v>70</v>
      </c>
      <c r="AM136" s="35" t="s">
        <v>548</v>
      </c>
      <c r="AN136" s="26" t="s">
        <v>274</v>
      </c>
      <c r="AO136" s="26" t="s">
        <v>548</v>
      </c>
      <c r="AP136" s="26" t="s">
        <v>548</v>
      </c>
      <c r="AQ136" s="26" t="s">
        <v>548</v>
      </c>
      <c r="AR136" s="26" t="s">
        <v>548</v>
      </c>
      <c r="AS136" s="26" t="s">
        <v>175</v>
      </c>
      <c r="AT136" s="26" t="s">
        <v>70</v>
      </c>
      <c r="AU136" s="26" t="s">
        <v>70</v>
      </c>
      <c r="AV136" s="26">
        <v>7</v>
      </c>
    </row>
    <row r="137" spans="1:2089" s="59" customFormat="1" ht="14" customHeight="1">
      <c r="A137" s="27">
        <v>136</v>
      </c>
      <c r="B137" s="27" t="s">
        <v>346</v>
      </c>
      <c r="C137" s="27">
        <v>2006</v>
      </c>
      <c r="D137" s="26" t="s">
        <v>69</v>
      </c>
      <c r="E137" s="26" t="s">
        <v>565</v>
      </c>
      <c r="F137" s="77" t="s">
        <v>175</v>
      </c>
      <c r="G137" s="2" t="s">
        <v>106</v>
      </c>
      <c r="H137" s="2" t="s">
        <v>30</v>
      </c>
      <c r="I137" s="2" t="s">
        <v>548</v>
      </c>
      <c r="J137" s="2" t="s">
        <v>604</v>
      </c>
      <c r="K137" s="2" t="s">
        <v>548</v>
      </c>
      <c r="L137" s="2" t="s">
        <v>548</v>
      </c>
      <c r="M137" s="2" t="s">
        <v>548</v>
      </c>
      <c r="N137" s="2" t="s">
        <v>48</v>
      </c>
      <c r="O137" s="2" t="s">
        <v>209</v>
      </c>
      <c r="P137" s="2" t="s">
        <v>48</v>
      </c>
      <c r="Q137" s="2" t="s">
        <v>42</v>
      </c>
      <c r="R137" s="102" t="s">
        <v>614</v>
      </c>
      <c r="S137" s="2">
        <v>0</v>
      </c>
      <c r="T137" s="26">
        <v>20</v>
      </c>
      <c r="U137" s="77">
        <v>1</v>
      </c>
      <c r="V137" s="26">
        <v>0</v>
      </c>
      <c r="W137" s="26">
        <v>1</v>
      </c>
      <c r="X137" s="26">
        <v>1</v>
      </c>
      <c r="Y137" s="26">
        <v>0</v>
      </c>
      <c r="Z137" s="26">
        <v>0</v>
      </c>
      <c r="AA137" s="26">
        <v>1</v>
      </c>
      <c r="AB137" s="26">
        <v>1</v>
      </c>
      <c r="AC137" s="26" t="s">
        <v>70</v>
      </c>
      <c r="AD137" s="26" t="s">
        <v>70</v>
      </c>
      <c r="AE137" s="26" t="s">
        <v>70</v>
      </c>
      <c r="AF137" s="26" t="s">
        <v>70</v>
      </c>
      <c r="AG137" s="33" t="s">
        <v>70</v>
      </c>
      <c r="AH137" s="33" t="s">
        <v>70</v>
      </c>
      <c r="AI137" s="33" t="s">
        <v>70</v>
      </c>
      <c r="AJ137" s="26" t="s">
        <v>70</v>
      </c>
      <c r="AK137" s="33" t="s">
        <v>70</v>
      </c>
      <c r="AL137" s="33" t="s">
        <v>70</v>
      </c>
      <c r="AM137" s="35" t="s">
        <v>175</v>
      </c>
      <c r="AN137" s="26" t="s">
        <v>274</v>
      </c>
      <c r="AO137" s="35" t="s">
        <v>548</v>
      </c>
      <c r="AP137" s="35" t="s">
        <v>548</v>
      </c>
      <c r="AQ137" s="35" t="s">
        <v>548</v>
      </c>
      <c r="AR137" s="35" t="s">
        <v>548</v>
      </c>
      <c r="AS137" s="26" t="s">
        <v>175</v>
      </c>
      <c r="AT137" s="26" t="s">
        <v>70</v>
      </c>
      <c r="AU137" s="26" t="s">
        <v>70</v>
      </c>
      <c r="AV137" s="26">
        <v>7</v>
      </c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6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6"/>
      <c r="JT137" s="26"/>
      <c r="JU137" s="26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  <c r="KO137" s="26"/>
      <c r="KP137" s="26"/>
      <c r="KQ137" s="26"/>
      <c r="KR137" s="26"/>
      <c r="KS137" s="26"/>
      <c r="KT137" s="26"/>
      <c r="KU137" s="26"/>
      <c r="KV137" s="26"/>
      <c r="KW137" s="26"/>
      <c r="KX137" s="26"/>
      <c r="KY137" s="26"/>
      <c r="KZ137" s="26"/>
      <c r="LA137" s="26"/>
      <c r="LB137" s="26"/>
      <c r="LC137" s="26"/>
      <c r="LD137" s="26"/>
      <c r="LE137" s="26"/>
      <c r="LF137" s="26"/>
      <c r="LG137" s="26"/>
      <c r="LH137" s="26"/>
      <c r="LI137" s="26"/>
      <c r="LJ137" s="26"/>
      <c r="LK137" s="26"/>
      <c r="LL137" s="26"/>
      <c r="LM137" s="26"/>
      <c r="LN137" s="26"/>
      <c r="LO137" s="26"/>
      <c r="LP137" s="26"/>
      <c r="LQ137" s="26"/>
      <c r="LR137" s="26"/>
      <c r="LS137" s="26"/>
      <c r="LT137" s="26"/>
      <c r="LU137" s="26"/>
      <c r="LV137" s="26"/>
      <c r="LW137" s="26"/>
      <c r="LX137" s="26"/>
      <c r="LY137" s="26"/>
      <c r="LZ137" s="26"/>
      <c r="MA137" s="26"/>
      <c r="MB137" s="26"/>
      <c r="MC137" s="26"/>
      <c r="MD137" s="26"/>
      <c r="ME137" s="26"/>
      <c r="MF137" s="26"/>
      <c r="MG137" s="26"/>
      <c r="MH137" s="26"/>
      <c r="MI137" s="26"/>
      <c r="MJ137" s="26"/>
      <c r="MK137" s="26"/>
      <c r="ML137" s="26"/>
      <c r="MM137" s="26"/>
      <c r="MN137" s="26"/>
      <c r="MO137" s="26"/>
      <c r="MP137" s="26"/>
      <c r="MQ137" s="26"/>
      <c r="MR137" s="26"/>
      <c r="MS137" s="26"/>
      <c r="MT137" s="26"/>
      <c r="MU137" s="26"/>
      <c r="MV137" s="26"/>
      <c r="MW137" s="26"/>
      <c r="MX137" s="26"/>
      <c r="MY137" s="26"/>
      <c r="MZ137" s="26"/>
      <c r="NA137" s="26"/>
      <c r="NB137" s="26"/>
      <c r="NC137" s="26"/>
      <c r="ND137" s="26"/>
      <c r="NE137" s="26"/>
      <c r="NF137" s="26"/>
      <c r="NG137" s="26"/>
      <c r="NH137" s="26"/>
      <c r="NI137" s="26"/>
      <c r="NJ137" s="26"/>
      <c r="NK137" s="26"/>
      <c r="NL137" s="26"/>
      <c r="NM137" s="26"/>
      <c r="NN137" s="26"/>
      <c r="NO137" s="26"/>
      <c r="NP137" s="26"/>
      <c r="NQ137" s="26"/>
      <c r="NR137" s="26"/>
      <c r="NS137" s="26"/>
      <c r="NT137" s="26"/>
      <c r="NU137" s="26"/>
      <c r="NV137" s="26"/>
      <c r="NW137" s="26"/>
      <c r="NX137" s="26"/>
      <c r="NY137" s="26"/>
      <c r="NZ137" s="26"/>
      <c r="OA137" s="26"/>
      <c r="OB137" s="26"/>
      <c r="OC137" s="26"/>
      <c r="OD137" s="26"/>
      <c r="OE137" s="26"/>
      <c r="OF137" s="26"/>
      <c r="OG137" s="26"/>
      <c r="OH137" s="26"/>
      <c r="OI137" s="26"/>
      <c r="OJ137" s="26"/>
      <c r="OK137" s="26"/>
      <c r="OL137" s="26"/>
      <c r="OM137" s="26"/>
      <c r="ON137" s="26"/>
      <c r="OO137" s="26"/>
      <c r="OP137" s="26"/>
      <c r="OQ137" s="26"/>
      <c r="OR137" s="26"/>
      <c r="OS137" s="26"/>
      <c r="OT137" s="26"/>
      <c r="OU137" s="26"/>
      <c r="OV137" s="26"/>
      <c r="OW137" s="26"/>
      <c r="OX137" s="26"/>
      <c r="OY137" s="26"/>
      <c r="OZ137" s="26"/>
      <c r="PA137" s="26"/>
      <c r="PB137" s="26"/>
      <c r="PC137" s="26"/>
      <c r="PD137" s="26"/>
      <c r="PE137" s="26"/>
      <c r="PF137" s="26"/>
      <c r="PG137" s="26"/>
      <c r="PH137" s="26"/>
      <c r="PI137" s="26"/>
      <c r="PJ137" s="26"/>
      <c r="PK137" s="26"/>
      <c r="PL137" s="26"/>
      <c r="PM137" s="26"/>
      <c r="PN137" s="26"/>
      <c r="PO137" s="26"/>
      <c r="PP137" s="26"/>
      <c r="PQ137" s="26"/>
      <c r="PR137" s="26"/>
      <c r="PS137" s="26"/>
      <c r="PT137" s="26"/>
      <c r="PU137" s="26"/>
      <c r="PV137" s="26"/>
      <c r="PW137" s="26"/>
      <c r="PX137" s="26"/>
      <c r="PY137" s="26"/>
      <c r="PZ137" s="26"/>
      <c r="QA137" s="26"/>
      <c r="QB137" s="26"/>
      <c r="QC137" s="26"/>
      <c r="QD137" s="26"/>
      <c r="QE137" s="26"/>
      <c r="QF137" s="26"/>
      <c r="QG137" s="26"/>
      <c r="QH137" s="26"/>
      <c r="QI137" s="26"/>
      <c r="QJ137" s="26"/>
      <c r="QK137" s="26"/>
      <c r="QL137" s="26"/>
      <c r="QM137" s="26"/>
      <c r="QN137" s="26"/>
      <c r="QO137" s="26"/>
      <c r="QP137" s="26"/>
      <c r="QQ137" s="26"/>
      <c r="QR137" s="26"/>
      <c r="QS137" s="26"/>
      <c r="QT137" s="26"/>
      <c r="QU137" s="26"/>
      <c r="QV137" s="26"/>
      <c r="QW137" s="26"/>
      <c r="QX137" s="26"/>
      <c r="QY137" s="26"/>
      <c r="QZ137" s="26"/>
      <c r="RA137" s="26"/>
      <c r="RB137" s="26"/>
      <c r="RC137" s="26"/>
      <c r="RD137" s="26"/>
      <c r="RE137" s="26"/>
      <c r="RF137" s="26"/>
      <c r="RG137" s="26"/>
      <c r="RH137" s="26"/>
      <c r="RI137" s="26"/>
      <c r="RJ137" s="26"/>
      <c r="RK137" s="26"/>
      <c r="RL137" s="26"/>
      <c r="RM137" s="26"/>
      <c r="RN137" s="26"/>
      <c r="RO137" s="26"/>
      <c r="RP137" s="26"/>
      <c r="RQ137" s="26"/>
      <c r="RR137" s="26"/>
      <c r="RS137" s="26"/>
      <c r="RT137" s="26"/>
      <c r="RU137" s="26"/>
      <c r="RV137" s="26"/>
      <c r="RW137" s="26"/>
      <c r="RX137" s="26"/>
      <c r="RY137" s="26"/>
      <c r="RZ137" s="26"/>
      <c r="SA137" s="26"/>
      <c r="SB137" s="26"/>
      <c r="SC137" s="26"/>
      <c r="SD137" s="26"/>
      <c r="SE137" s="26"/>
      <c r="SF137" s="26"/>
      <c r="SG137" s="26"/>
      <c r="SH137" s="26"/>
      <c r="SI137" s="26"/>
      <c r="SJ137" s="26"/>
      <c r="SK137" s="26"/>
      <c r="SL137" s="26"/>
      <c r="SM137" s="26"/>
      <c r="SN137" s="26"/>
      <c r="SO137" s="26"/>
      <c r="SP137" s="26"/>
      <c r="SQ137" s="26"/>
      <c r="SR137" s="26"/>
      <c r="SS137" s="26"/>
      <c r="ST137" s="26"/>
      <c r="SU137" s="26"/>
      <c r="SV137" s="26"/>
      <c r="SW137" s="26"/>
      <c r="SX137" s="26"/>
      <c r="SY137" s="26"/>
      <c r="SZ137" s="26"/>
      <c r="TA137" s="26"/>
      <c r="TB137" s="26"/>
      <c r="TC137" s="26"/>
      <c r="TD137" s="26"/>
      <c r="TE137" s="26"/>
      <c r="TF137" s="26"/>
      <c r="TG137" s="26"/>
      <c r="TH137" s="26"/>
      <c r="TI137" s="26"/>
      <c r="TJ137" s="26"/>
      <c r="TK137" s="26"/>
      <c r="TL137" s="26"/>
      <c r="TM137" s="26"/>
      <c r="TN137" s="26"/>
      <c r="TO137" s="26"/>
      <c r="TP137" s="26"/>
      <c r="TQ137" s="26"/>
      <c r="TR137" s="26"/>
      <c r="TS137" s="26"/>
      <c r="TT137" s="26"/>
      <c r="TU137" s="26"/>
      <c r="TV137" s="26"/>
      <c r="TW137" s="26"/>
      <c r="TX137" s="26"/>
      <c r="TY137" s="26"/>
      <c r="TZ137" s="26"/>
      <c r="UA137" s="26"/>
      <c r="UB137" s="26"/>
      <c r="UC137" s="26"/>
      <c r="UD137" s="26"/>
      <c r="UE137" s="26"/>
      <c r="UF137" s="26"/>
      <c r="UG137" s="26"/>
      <c r="UH137" s="26"/>
      <c r="UI137" s="26"/>
      <c r="UJ137" s="26"/>
      <c r="UK137" s="26"/>
      <c r="UL137" s="26"/>
      <c r="UM137" s="26"/>
      <c r="UN137" s="26"/>
      <c r="UO137" s="26"/>
      <c r="UP137" s="26"/>
      <c r="UQ137" s="26"/>
      <c r="UR137" s="26"/>
      <c r="US137" s="26"/>
      <c r="UT137" s="26"/>
      <c r="UU137" s="26"/>
      <c r="UV137" s="26"/>
      <c r="UW137" s="26"/>
      <c r="UX137" s="26"/>
      <c r="UY137" s="26"/>
      <c r="UZ137" s="26"/>
      <c r="VA137" s="26"/>
      <c r="VB137" s="26"/>
      <c r="VC137" s="26"/>
      <c r="VD137" s="26"/>
      <c r="VE137" s="26"/>
      <c r="VF137" s="26"/>
      <c r="VG137" s="26"/>
      <c r="VH137" s="26"/>
      <c r="VI137" s="26"/>
      <c r="VJ137" s="26"/>
      <c r="VK137" s="26"/>
      <c r="VL137" s="26"/>
      <c r="VM137" s="26"/>
      <c r="VN137" s="26"/>
      <c r="VO137" s="26"/>
      <c r="VP137" s="26"/>
      <c r="VQ137" s="26"/>
      <c r="VR137" s="26"/>
      <c r="VS137" s="26"/>
      <c r="VT137" s="26"/>
      <c r="VU137" s="26"/>
      <c r="VV137" s="26"/>
      <c r="VW137" s="26"/>
      <c r="VX137" s="26"/>
      <c r="VY137" s="26"/>
      <c r="VZ137" s="26"/>
      <c r="WA137" s="26"/>
      <c r="WB137" s="26"/>
      <c r="WC137" s="26"/>
      <c r="WD137" s="26"/>
      <c r="WE137" s="26"/>
      <c r="WF137" s="26"/>
      <c r="WG137" s="26"/>
      <c r="WH137" s="26"/>
      <c r="WI137" s="26"/>
      <c r="WJ137" s="26"/>
      <c r="WK137" s="26"/>
      <c r="WL137" s="26"/>
      <c r="WM137" s="26"/>
      <c r="WN137" s="26"/>
      <c r="WO137" s="26"/>
      <c r="WP137" s="26"/>
      <c r="WQ137" s="26"/>
      <c r="WR137" s="26"/>
      <c r="WS137" s="26"/>
      <c r="WT137" s="26"/>
      <c r="WU137" s="26"/>
      <c r="WV137" s="26"/>
      <c r="WW137" s="26"/>
      <c r="WX137" s="26"/>
      <c r="WY137" s="26"/>
      <c r="WZ137" s="26"/>
      <c r="XA137" s="26"/>
      <c r="XB137" s="26"/>
      <c r="XC137" s="26"/>
      <c r="XD137" s="26"/>
      <c r="XE137" s="26"/>
      <c r="XF137" s="26"/>
      <c r="XG137" s="26"/>
      <c r="XH137" s="26"/>
      <c r="XI137" s="26"/>
      <c r="XJ137" s="26"/>
      <c r="XK137" s="26"/>
      <c r="XL137" s="26"/>
      <c r="XM137" s="26"/>
      <c r="XN137" s="26"/>
      <c r="XO137" s="26"/>
      <c r="XP137" s="26"/>
      <c r="XQ137" s="26"/>
      <c r="XR137" s="26"/>
      <c r="XS137" s="26"/>
      <c r="XT137" s="26"/>
      <c r="XU137" s="26"/>
      <c r="XV137" s="26"/>
      <c r="XW137" s="26"/>
      <c r="XX137" s="26"/>
      <c r="XY137" s="26"/>
      <c r="XZ137" s="26"/>
      <c r="YA137" s="26"/>
      <c r="YB137" s="26"/>
      <c r="YC137" s="26"/>
      <c r="YD137" s="26"/>
      <c r="YE137" s="26"/>
      <c r="YF137" s="26"/>
      <c r="YG137" s="26"/>
      <c r="YH137" s="26"/>
      <c r="YI137" s="26"/>
      <c r="YJ137" s="26"/>
      <c r="YK137" s="26"/>
      <c r="YL137" s="26"/>
      <c r="YM137" s="26"/>
      <c r="YN137" s="26"/>
      <c r="YO137" s="26"/>
      <c r="YP137" s="26"/>
      <c r="YQ137" s="26"/>
      <c r="YR137" s="26"/>
      <c r="YS137" s="26"/>
      <c r="YT137" s="26"/>
      <c r="YU137" s="26"/>
      <c r="YV137" s="26"/>
      <c r="YW137" s="26"/>
      <c r="YX137" s="26"/>
      <c r="YY137" s="26"/>
      <c r="YZ137" s="26"/>
      <c r="ZA137" s="26"/>
      <c r="ZB137" s="26"/>
      <c r="ZC137" s="26"/>
      <c r="ZD137" s="26"/>
      <c r="ZE137" s="26"/>
      <c r="ZF137" s="26"/>
      <c r="ZG137" s="26"/>
      <c r="ZH137" s="26"/>
      <c r="ZI137" s="26"/>
      <c r="ZJ137" s="26"/>
      <c r="ZK137" s="26"/>
      <c r="ZL137" s="26"/>
      <c r="ZM137" s="26"/>
      <c r="ZN137" s="26"/>
      <c r="ZO137" s="26"/>
      <c r="ZP137" s="26"/>
      <c r="ZQ137" s="26"/>
      <c r="ZR137" s="26"/>
      <c r="ZS137" s="26"/>
      <c r="ZT137" s="26"/>
      <c r="ZU137" s="26"/>
      <c r="ZV137" s="26"/>
      <c r="ZW137" s="26"/>
      <c r="ZX137" s="26"/>
      <c r="ZY137" s="26"/>
      <c r="ZZ137" s="26"/>
      <c r="AAA137" s="26"/>
      <c r="AAB137" s="26"/>
      <c r="AAC137" s="26"/>
      <c r="AAD137" s="26"/>
      <c r="AAE137" s="26"/>
      <c r="AAF137" s="26"/>
      <c r="AAG137" s="26"/>
      <c r="AAH137" s="26"/>
      <c r="AAI137" s="26"/>
      <c r="AAJ137" s="26"/>
      <c r="AAK137" s="26"/>
      <c r="AAL137" s="26"/>
      <c r="AAM137" s="26"/>
      <c r="AAN137" s="26"/>
      <c r="AAO137" s="26"/>
      <c r="AAP137" s="26"/>
      <c r="AAQ137" s="26"/>
      <c r="AAR137" s="26"/>
      <c r="AAS137" s="26"/>
      <c r="AAT137" s="26"/>
      <c r="AAU137" s="26"/>
      <c r="AAV137" s="26"/>
      <c r="AAW137" s="26"/>
      <c r="AAX137" s="26"/>
      <c r="AAY137" s="26"/>
      <c r="AAZ137" s="26"/>
      <c r="ABA137" s="26"/>
      <c r="ABB137" s="26"/>
      <c r="ABC137" s="26"/>
      <c r="ABD137" s="26"/>
      <c r="ABE137" s="26"/>
      <c r="ABF137" s="26"/>
      <c r="ABG137" s="26"/>
      <c r="ABH137" s="26"/>
      <c r="ABI137" s="26"/>
      <c r="ABJ137" s="26"/>
      <c r="ABK137" s="26"/>
      <c r="ABL137" s="26"/>
      <c r="ABM137" s="26"/>
      <c r="ABN137" s="26"/>
      <c r="ABO137" s="26"/>
      <c r="ABP137" s="26"/>
      <c r="ABQ137" s="26"/>
      <c r="ABR137" s="26"/>
      <c r="ABS137" s="26"/>
      <c r="ABT137" s="26"/>
      <c r="ABU137" s="26"/>
      <c r="ABV137" s="26"/>
      <c r="ABW137" s="26"/>
      <c r="ABX137" s="26"/>
      <c r="ABY137" s="26"/>
      <c r="ABZ137" s="26"/>
      <c r="ACA137" s="26"/>
      <c r="ACB137" s="26"/>
      <c r="ACC137" s="26"/>
      <c r="ACD137" s="26"/>
      <c r="ACE137" s="26"/>
      <c r="ACF137" s="26"/>
      <c r="ACG137" s="26"/>
      <c r="ACH137" s="26"/>
      <c r="ACI137" s="26"/>
      <c r="ACJ137" s="26"/>
      <c r="ACK137" s="26"/>
      <c r="ACL137" s="26"/>
      <c r="ACM137" s="26"/>
      <c r="ACN137" s="26"/>
      <c r="ACO137" s="26"/>
      <c r="ACP137" s="26"/>
      <c r="ACQ137" s="26"/>
      <c r="ACR137" s="26"/>
      <c r="ACS137" s="26"/>
      <c r="ACT137" s="26"/>
      <c r="ACU137" s="26"/>
      <c r="ACV137" s="26"/>
      <c r="ACW137" s="26"/>
      <c r="ACX137" s="26"/>
      <c r="ACY137" s="26"/>
      <c r="ACZ137" s="26"/>
      <c r="ADA137" s="26"/>
      <c r="ADB137" s="26"/>
      <c r="ADC137" s="26"/>
      <c r="ADD137" s="26"/>
      <c r="ADE137" s="26"/>
      <c r="ADF137" s="26"/>
      <c r="ADG137" s="26"/>
      <c r="ADH137" s="26"/>
      <c r="ADI137" s="26"/>
      <c r="ADJ137" s="26"/>
      <c r="ADK137" s="26"/>
      <c r="ADL137" s="26"/>
      <c r="ADM137" s="26"/>
      <c r="ADN137" s="26"/>
      <c r="ADO137" s="26"/>
      <c r="ADP137" s="26"/>
      <c r="ADQ137" s="26"/>
      <c r="ADR137" s="26"/>
      <c r="ADS137" s="26"/>
      <c r="ADT137" s="26"/>
      <c r="ADU137" s="26"/>
      <c r="ADV137" s="26"/>
      <c r="ADW137" s="26"/>
      <c r="ADX137" s="26"/>
      <c r="ADY137" s="26"/>
      <c r="ADZ137" s="26"/>
      <c r="AEA137" s="26"/>
      <c r="AEB137" s="26"/>
      <c r="AEC137" s="26"/>
      <c r="AED137" s="26"/>
      <c r="AEE137" s="26"/>
      <c r="AEF137" s="26"/>
      <c r="AEG137" s="26"/>
      <c r="AEH137" s="26"/>
      <c r="AEI137" s="26"/>
      <c r="AEJ137" s="26"/>
      <c r="AEK137" s="26"/>
      <c r="AEL137" s="26"/>
      <c r="AEM137" s="26"/>
      <c r="AEN137" s="26"/>
      <c r="AEO137" s="26"/>
      <c r="AEP137" s="26"/>
      <c r="AEQ137" s="26"/>
      <c r="AER137" s="26"/>
      <c r="AES137" s="26"/>
      <c r="AET137" s="26"/>
      <c r="AEU137" s="26"/>
      <c r="AEV137" s="26"/>
      <c r="AEW137" s="26"/>
      <c r="AEX137" s="26"/>
      <c r="AEY137" s="26"/>
      <c r="AEZ137" s="26"/>
      <c r="AFA137" s="26"/>
      <c r="AFB137" s="26"/>
      <c r="AFC137" s="26"/>
      <c r="AFD137" s="26"/>
      <c r="AFE137" s="26"/>
      <c r="AFF137" s="26"/>
      <c r="AFG137" s="26"/>
      <c r="AFH137" s="26"/>
      <c r="AFI137" s="26"/>
      <c r="AFJ137" s="26"/>
      <c r="AFK137" s="26"/>
      <c r="AFL137" s="26"/>
      <c r="AFM137" s="26"/>
      <c r="AFN137" s="26"/>
      <c r="AFO137" s="26"/>
      <c r="AFP137" s="26"/>
      <c r="AFQ137" s="26"/>
      <c r="AFR137" s="26"/>
      <c r="AFS137" s="26"/>
      <c r="AFT137" s="26"/>
      <c r="AFU137" s="26"/>
      <c r="AFV137" s="26"/>
      <c r="AFW137" s="26"/>
      <c r="AFX137" s="26"/>
      <c r="AFY137" s="26"/>
      <c r="AFZ137" s="26"/>
      <c r="AGA137" s="26"/>
      <c r="AGB137" s="26"/>
      <c r="AGC137" s="26"/>
      <c r="AGD137" s="26"/>
      <c r="AGE137" s="26"/>
      <c r="AGF137" s="26"/>
      <c r="AGG137" s="26"/>
      <c r="AGH137" s="26"/>
      <c r="AGI137" s="26"/>
      <c r="AGJ137" s="26"/>
      <c r="AGK137" s="26"/>
      <c r="AGL137" s="26"/>
      <c r="AGM137" s="26"/>
      <c r="AGN137" s="26"/>
      <c r="AGO137" s="26"/>
      <c r="AGP137" s="26"/>
      <c r="AGQ137" s="26"/>
      <c r="AGR137" s="26"/>
      <c r="AGS137" s="26"/>
      <c r="AGT137" s="26"/>
      <c r="AGU137" s="26"/>
      <c r="AGV137" s="26"/>
      <c r="AGW137" s="26"/>
      <c r="AGX137" s="26"/>
      <c r="AGY137" s="26"/>
      <c r="AGZ137" s="26"/>
      <c r="AHA137" s="26"/>
      <c r="AHB137" s="26"/>
      <c r="AHC137" s="26"/>
      <c r="AHD137" s="26"/>
      <c r="AHE137" s="26"/>
      <c r="AHF137" s="26"/>
      <c r="AHG137" s="26"/>
      <c r="AHH137" s="26"/>
      <c r="AHI137" s="26"/>
      <c r="AHJ137" s="26"/>
      <c r="AHK137" s="26"/>
      <c r="AHL137" s="26"/>
      <c r="AHM137" s="26"/>
      <c r="AHN137" s="26"/>
      <c r="AHO137" s="26"/>
      <c r="AHP137" s="26"/>
      <c r="AHQ137" s="26"/>
      <c r="AHR137" s="26"/>
      <c r="AHS137" s="26"/>
      <c r="AHT137" s="26"/>
      <c r="AHU137" s="26"/>
      <c r="AHV137" s="26"/>
      <c r="AHW137" s="26"/>
      <c r="AHX137" s="26"/>
      <c r="AHY137" s="26"/>
      <c r="AHZ137" s="26"/>
      <c r="AIA137" s="26"/>
      <c r="AIB137" s="26"/>
      <c r="AIC137" s="26"/>
      <c r="AID137" s="26"/>
      <c r="AIE137" s="26"/>
      <c r="AIF137" s="26"/>
      <c r="AIG137" s="26"/>
      <c r="AIH137" s="26"/>
      <c r="AII137" s="26"/>
      <c r="AIJ137" s="26"/>
      <c r="AIK137" s="26"/>
      <c r="AIL137" s="26"/>
      <c r="AIM137" s="26"/>
      <c r="AIN137" s="26"/>
      <c r="AIO137" s="26"/>
      <c r="AIP137" s="26"/>
      <c r="AIQ137" s="26"/>
      <c r="AIR137" s="26"/>
      <c r="AIS137" s="26"/>
      <c r="AIT137" s="26"/>
      <c r="AIU137" s="26"/>
      <c r="AIV137" s="26"/>
      <c r="AIW137" s="26"/>
      <c r="AIX137" s="26"/>
      <c r="AIY137" s="26"/>
      <c r="AIZ137" s="26"/>
      <c r="AJA137" s="26"/>
      <c r="AJB137" s="26"/>
      <c r="AJC137" s="26"/>
      <c r="AJD137" s="26"/>
      <c r="AJE137" s="26"/>
      <c r="AJF137" s="26"/>
      <c r="AJG137" s="26"/>
      <c r="AJH137" s="26"/>
      <c r="AJI137" s="26"/>
      <c r="AJJ137" s="26"/>
      <c r="AJK137" s="26"/>
      <c r="AJL137" s="26"/>
      <c r="AJM137" s="26"/>
      <c r="AJN137" s="26"/>
      <c r="AJO137" s="26"/>
      <c r="AJP137" s="26"/>
      <c r="AJQ137" s="26"/>
      <c r="AJR137" s="26"/>
      <c r="AJS137" s="26"/>
      <c r="AJT137" s="26"/>
      <c r="AJU137" s="26"/>
      <c r="AJV137" s="26"/>
      <c r="AJW137" s="26"/>
      <c r="AJX137" s="26"/>
      <c r="AJY137" s="26"/>
      <c r="AJZ137" s="26"/>
      <c r="AKA137" s="26"/>
      <c r="AKB137" s="26"/>
      <c r="AKC137" s="26"/>
      <c r="AKD137" s="26"/>
      <c r="AKE137" s="26"/>
      <c r="AKF137" s="26"/>
      <c r="AKG137" s="26"/>
      <c r="AKH137" s="26"/>
      <c r="AKI137" s="26"/>
      <c r="AKJ137" s="26"/>
      <c r="AKK137" s="26"/>
      <c r="AKL137" s="26"/>
      <c r="AKM137" s="26"/>
      <c r="AKN137" s="26"/>
      <c r="AKO137" s="26"/>
      <c r="AKP137" s="26"/>
      <c r="AKQ137" s="26"/>
      <c r="AKR137" s="26"/>
      <c r="AKS137" s="26"/>
      <c r="AKT137" s="26"/>
      <c r="AKU137" s="26"/>
      <c r="AKV137" s="26"/>
      <c r="AKW137" s="26"/>
      <c r="AKX137" s="26"/>
      <c r="AKY137" s="26"/>
      <c r="AKZ137" s="26"/>
      <c r="ALA137" s="26"/>
      <c r="ALB137" s="26"/>
      <c r="ALC137" s="26"/>
      <c r="ALD137" s="26"/>
      <c r="ALE137" s="26"/>
      <c r="ALF137" s="26"/>
      <c r="ALG137" s="26"/>
      <c r="ALH137" s="26"/>
      <c r="ALI137" s="26"/>
      <c r="ALJ137" s="26"/>
      <c r="ALK137" s="26"/>
      <c r="ALL137" s="26"/>
      <c r="ALM137" s="26"/>
      <c r="ALN137" s="26"/>
      <c r="ALO137" s="26"/>
      <c r="ALP137" s="26"/>
      <c r="ALQ137" s="26"/>
      <c r="ALR137" s="26"/>
      <c r="ALS137" s="26"/>
      <c r="ALT137" s="26"/>
      <c r="ALU137" s="26"/>
      <c r="ALV137" s="26"/>
      <c r="ALW137" s="26"/>
      <c r="ALX137" s="26"/>
      <c r="ALY137" s="26"/>
      <c r="ALZ137" s="26"/>
      <c r="AMA137" s="26"/>
      <c r="AMB137" s="26"/>
      <c r="AMC137" s="26"/>
      <c r="AMD137" s="26"/>
      <c r="AME137" s="26"/>
      <c r="AMF137" s="26"/>
      <c r="AMG137" s="26"/>
      <c r="AMH137" s="26"/>
      <c r="AMI137" s="26"/>
      <c r="AMJ137" s="26"/>
      <c r="AMK137" s="26"/>
      <c r="AML137" s="26"/>
      <c r="AMM137" s="26"/>
      <c r="AMN137" s="26"/>
      <c r="AMO137" s="26"/>
      <c r="AMP137" s="26"/>
      <c r="AMQ137" s="26"/>
      <c r="AMR137" s="26"/>
      <c r="AMS137" s="26"/>
      <c r="AMT137" s="26"/>
      <c r="AMU137" s="26"/>
      <c r="AMV137" s="26"/>
      <c r="AMW137" s="26"/>
      <c r="AMX137" s="26"/>
      <c r="AMY137" s="26"/>
      <c r="AMZ137" s="26"/>
      <c r="ANA137" s="26"/>
      <c r="ANB137" s="26"/>
      <c r="ANC137" s="26"/>
      <c r="AND137" s="26"/>
      <c r="ANE137" s="26"/>
      <c r="ANF137" s="26"/>
      <c r="ANG137" s="26"/>
      <c r="ANH137" s="26"/>
      <c r="ANI137" s="26"/>
      <c r="ANJ137" s="26"/>
      <c r="ANK137" s="26"/>
      <c r="ANL137" s="26"/>
      <c r="ANM137" s="26"/>
      <c r="ANN137" s="26"/>
      <c r="ANO137" s="26"/>
      <c r="ANP137" s="26"/>
      <c r="ANQ137" s="26"/>
      <c r="ANR137" s="26"/>
      <c r="ANS137" s="26"/>
      <c r="ANT137" s="26"/>
      <c r="ANU137" s="26"/>
      <c r="ANV137" s="26"/>
      <c r="ANW137" s="26"/>
      <c r="ANX137" s="26"/>
      <c r="ANY137" s="26"/>
      <c r="ANZ137" s="26"/>
      <c r="AOA137" s="26"/>
      <c r="AOB137" s="26"/>
      <c r="AOC137" s="26"/>
      <c r="AOD137" s="26"/>
      <c r="AOE137" s="26"/>
      <c r="AOF137" s="26"/>
      <c r="AOG137" s="26"/>
      <c r="AOH137" s="26"/>
      <c r="AOI137" s="26"/>
      <c r="AOJ137" s="26"/>
      <c r="AOK137" s="26"/>
      <c r="AOL137" s="26"/>
      <c r="AOM137" s="26"/>
      <c r="AON137" s="26"/>
      <c r="AOO137" s="26"/>
      <c r="AOP137" s="26"/>
      <c r="AOQ137" s="26"/>
      <c r="AOR137" s="26"/>
      <c r="AOS137" s="26"/>
      <c r="AOT137" s="26"/>
      <c r="AOU137" s="26"/>
      <c r="AOV137" s="26"/>
      <c r="AOW137" s="26"/>
      <c r="AOX137" s="26"/>
      <c r="AOY137" s="26"/>
      <c r="AOZ137" s="26"/>
      <c r="APA137" s="26"/>
      <c r="APB137" s="26"/>
      <c r="APC137" s="26"/>
      <c r="APD137" s="26"/>
      <c r="APE137" s="26"/>
      <c r="APF137" s="26"/>
      <c r="APG137" s="26"/>
      <c r="APH137" s="26"/>
      <c r="API137" s="26"/>
      <c r="APJ137" s="26"/>
      <c r="APK137" s="26"/>
      <c r="APL137" s="26"/>
      <c r="APM137" s="26"/>
      <c r="APN137" s="26"/>
      <c r="APO137" s="26"/>
      <c r="APP137" s="26"/>
      <c r="APQ137" s="26"/>
      <c r="APR137" s="26"/>
      <c r="APS137" s="26"/>
      <c r="APT137" s="26"/>
      <c r="APU137" s="26"/>
      <c r="APV137" s="26"/>
      <c r="APW137" s="26"/>
      <c r="APX137" s="26"/>
      <c r="APY137" s="26"/>
      <c r="APZ137" s="26"/>
      <c r="AQA137" s="26"/>
      <c r="AQB137" s="26"/>
      <c r="AQC137" s="26"/>
      <c r="AQD137" s="26"/>
      <c r="AQE137" s="26"/>
      <c r="AQF137" s="26"/>
      <c r="AQG137" s="26"/>
      <c r="AQH137" s="26"/>
      <c r="AQI137" s="26"/>
      <c r="AQJ137" s="26"/>
      <c r="AQK137" s="26"/>
      <c r="AQL137" s="26"/>
      <c r="AQM137" s="26"/>
      <c r="AQN137" s="26"/>
      <c r="AQO137" s="26"/>
      <c r="AQP137" s="26"/>
      <c r="AQQ137" s="26"/>
      <c r="AQR137" s="26"/>
      <c r="AQS137" s="26"/>
      <c r="AQT137" s="26"/>
      <c r="AQU137" s="26"/>
      <c r="AQV137" s="26"/>
      <c r="AQW137" s="26"/>
      <c r="AQX137" s="26"/>
      <c r="AQY137" s="26"/>
      <c r="AQZ137" s="26"/>
      <c r="ARA137" s="26"/>
      <c r="ARB137" s="26"/>
      <c r="ARC137" s="26"/>
      <c r="ARD137" s="26"/>
      <c r="ARE137" s="26"/>
      <c r="ARF137" s="26"/>
      <c r="ARG137" s="26"/>
      <c r="ARH137" s="26"/>
      <c r="ARI137" s="26"/>
      <c r="ARJ137" s="26"/>
      <c r="ARK137" s="26"/>
      <c r="ARL137" s="26"/>
      <c r="ARM137" s="26"/>
      <c r="ARN137" s="26"/>
      <c r="ARO137" s="26"/>
      <c r="ARP137" s="26"/>
      <c r="ARQ137" s="26"/>
      <c r="ARR137" s="26"/>
      <c r="ARS137" s="26"/>
      <c r="ART137" s="26"/>
      <c r="ARU137" s="26"/>
      <c r="ARV137" s="26"/>
      <c r="ARW137" s="26"/>
      <c r="ARX137" s="26"/>
      <c r="ARY137" s="26"/>
      <c r="ARZ137" s="26"/>
      <c r="ASA137" s="26"/>
      <c r="ASB137" s="26"/>
      <c r="ASC137" s="26"/>
      <c r="ASD137" s="26"/>
      <c r="ASE137" s="26"/>
      <c r="ASF137" s="26"/>
      <c r="ASG137" s="26"/>
      <c r="ASH137" s="26"/>
      <c r="ASI137" s="26"/>
      <c r="ASJ137" s="26"/>
      <c r="ASK137" s="26"/>
      <c r="ASL137" s="26"/>
      <c r="ASM137" s="26"/>
      <c r="ASN137" s="26"/>
      <c r="ASO137" s="26"/>
      <c r="ASP137" s="26"/>
      <c r="ASQ137" s="26"/>
      <c r="ASR137" s="26"/>
      <c r="ASS137" s="26"/>
      <c r="AST137" s="26"/>
      <c r="ASU137" s="26"/>
      <c r="ASV137" s="26"/>
      <c r="ASW137" s="26"/>
      <c r="ASX137" s="26"/>
      <c r="ASY137" s="26"/>
      <c r="ASZ137" s="26"/>
      <c r="ATA137" s="26"/>
      <c r="ATB137" s="26"/>
      <c r="ATC137" s="26"/>
      <c r="ATD137" s="26"/>
      <c r="ATE137" s="26"/>
      <c r="ATF137" s="26"/>
      <c r="ATG137" s="26"/>
      <c r="ATH137" s="26"/>
      <c r="ATI137" s="26"/>
      <c r="ATJ137" s="26"/>
      <c r="ATK137" s="26"/>
      <c r="ATL137" s="26"/>
      <c r="ATM137" s="26"/>
      <c r="ATN137" s="26"/>
      <c r="ATO137" s="26"/>
      <c r="ATP137" s="26"/>
      <c r="ATQ137" s="26"/>
      <c r="ATR137" s="26"/>
      <c r="ATS137" s="26"/>
      <c r="ATT137" s="26"/>
      <c r="ATU137" s="26"/>
      <c r="ATV137" s="26"/>
      <c r="ATW137" s="26"/>
      <c r="ATX137" s="26"/>
      <c r="ATY137" s="26"/>
      <c r="ATZ137" s="26"/>
      <c r="AUA137" s="26"/>
      <c r="AUB137" s="26"/>
      <c r="AUC137" s="26"/>
      <c r="AUD137" s="26"/>
      <c r="AUE137" s="26"/>
      <c r="AUF137" s="26"/>
      <c r="AUG137" s="26"/>
      <c r="AUH137" s="26"/>
      <c r="AUI137" s="26"/>
      <c r="AUJ137" s="26"/>
      <c r="AUK137" s="26"/>
      <c r="AUL137" s="26"/>
      <c r="AUM137" s="26"/>
      <c r="AUN137" s="26"/>
      <c r="AUO137" s="26"/>
      <c r="AUP137" s="26"/>
      <c r="AUQ137" s="26"/>
      <c r="AUR137" s="26"/>
      <c r="AUS137" s="26"/>
      <c r="AUT137" s="26"/>
      <c r="AUU137" s="26"/>
      <c r="AUV137" s="26"/>
      <c r="AUW137" s="26"/>
      <c r="AUX137" s="26"/>
      <c r="AUY137" s="26"/>
      <c r="AUZ137" s="26"/>
      <c r="AVA137" s="26"/>
      <c r="AVB137" s="26"/>
      <c r="AVC137" s="26"/>
      <c r="AVD137" s="26"/>
      <c r="AVE137" s="26"/>
      <c r="AVF137" s="26"/>
      <c r="AVG137" s="26"/>
      <c r="AVH137" s="26"/>
      <c r="AVI137" s="26"/>
      <c r="AVJ137" s="26"/>
      <c r="AVK137" s="26"/>
      <c r="AVL137" s="26"/>
      <c r="AVM137" s="26"/>
      <c r="AVN137" s="26"/>
      <c r="AVO137" s="26"/>
      <c r="AVP137" s="26"/>
      <c r="AVQ137" s="26"/>
      <c r="AVR137" s="26"/>
      <c r="AVS137" s="26"/>
      <c r="AVT137" s="26"/>
      <c r="AVU137" s="26"/>
      <c r="AVV137" s="26"/>
      <c r="AVW137" s="26"/>
      <c r="AVX137" s="26"/>
      <c r="AVY137" s="26"/>
      <c r="AVZ137" s="26"/>
      <c r="AWA137" s="26"/>
      <c r="AWB137" s="26"/>
      <c r="AWC137" s="26"/>
      <c r="AWD137" s="26"/>
      <c r="AWE137" s="26"/>
      <c r="AWF137" s="26"/>
      <c r="AWG137" s="26"/>
      <c r="AWH137" s="26"/>
      <c r="AWI137" s="26"/>
      <c r="AWJ137" s="26"/>
      <c r="AWK137" s="26"/>
      <c r="AWL137" s="26"/>
      <c r="AWM137" s="26"/>
      <c r="AWN137" s="26"/>
      <c r="AWO137" s="26"/>
      <c r="AWP137" s="26"/>
      <c r="AWQ137" s="26"/>
      <c r="AWR137" s="26"/>
      <c r="AWS137" s="26"/>
      <c r="AWT137" s="26"/>
      <c r="AWU137" s="26"/>
      <c r="AWV137" s="26"/>
      <c r="AWW137" s="26"/>
      <c r="AWX137" s="26"/>
      <c r="AWY137" s="26"/>
      <c r="AWZ137" s="26"/>
      <c r="AXA137" s="26"/>
      <c r="AXB137" s="26"/>
      <c r="AXC137" s="26"/>
      <c r="AXD137" s="26"/>
      <c r="AXE137" s="26"/>
      <c r="AXF137" s="26"/>
      <c r="AXG137" s="26"/>
      <c r="AXH137" s="26"/>
      <c r="AXI137" s="26"/>
      <c r="AXJ137" s="26"/>
      <c r="AXK137" s="26"/>
      <c r="AXL137" s="26"/>
      <c r="AXM137" s="26"/>
      <c r="AXN137" s="26"/>
      <c r="AXO137" s="26"/>
      <c r="AXP137" s="26"/>
      <c r="AXQ137" s="26"/>
      <c r="AXR137" s="26"/>
      <c r="AXS137" s="26"/>
      <c r="AXT137" s="26"/>
      <c r="AXU137" s="26"/>
      <c r="AXV137" s="26"/>
      <c r="AXW137" s="26"/>
      <c r="AXX137" s="26"/>
      <c r="AXY137" s="26"/>
      <c r="AXZ137" s="26"/>
      <c r="AYA137" s="26"/>
      <c r="AYB137" s="26"/>
      <c r="AYC137" s="26"/>
      <c r="AYD137" s="26"/>
      <c r="AYE137" s="26"/>
      <c r="AYF137" s="26"/>
      <c r="AYG137" s="26"/>
      <c r="AYH137" s="26"/>
      <c r="AYI137" s="26"/>
      <c r="AYJ137" s="26"/>
      <c r="AYK137" s="26"/>
      <c r="AYL137" s="26"/>
      <c r="AYM137" s="26"/>
      <c r="AYN137" s="26"/>
      <c r="AYO137" s="26"/>
      <c r="AYP137" s="26"/>
      <c r="AYQ137" s="26"/>
      <c r="AYR137" s="26"/>
      <c r="AYS137" s="26"/>
      <c r="AYT137" s="26"/>
      <c r="AYU137" s="26"/>
      <c r="AYV137" s="26"/>
      <c r="AYW137" s="26"/>
      <c r="AYX137" s="26"/>
      <c r="AYY137" s="26"/>
      <c r="AYZ137" s="26"/>
      <c r="AZA137" s="26"/>
      <c r="AZB137" s="26"/>
      <c r="AZC137" s="26"/>
      <c r="AZD137" s="26"/>
      <c r="AZE137" s="26"/>
      <c r="AZF137" s="26"/>
      <c r="AZG137" s="26"/>
      <c r="AZH137" s="26"/>
      <c r="AZI137" s="26"/>
      <c r="AZJ137" s="26"/>
      <c r="AZK137" s="26"/>
      <c r="AZL137" s="26"/>
      <c r="AZM137" s="26"/>
      <c r="AZN137" s="26"/>
      <c r="AZO137" s="26"/>
      <c r="AZP137" s="26"/>
      <c r="AZQ137" s="26"/>
      <c r="AZR137" s="26"/>
      <c r="AZS137" s="26"/>
      <c r="AZT137" s="26"/>
      <c r="AZU137" s="26"/>
      <c r="AZV137" s="26"/>
      <c r="AZW137" s="26"/>
      <c r="AZX137" s="26"/>
      <c r="AZY137" s="26"/>
      <c r="AZZ137" s="26"/>
      <c r="BAA137" s="26"/>
      <c r="BAB137" s="26"/>
      <c r="BAC137" s="26"/>
      <c r="BAD137" s="26"/>
      <c r="BAE137" s="26"/>
      <c r="BAF137" s="26"/>
      <c r="BAG137" s="26"/>
      <c r="BAH137" s="26"/>
      <c r="BAI137" s="26"/>
      <c r="BAJ137" s="26"/>
      <c r="BAK137" s="26"/>
      <c r="BAL137" s="26"/>
      <c r="BAM137" s="26"/>
      <c r="BAN137" s="26"/>
      <c r="BAO137" s="26"/>
      <c r="BAP137" s="26"/>
      <c r="BAQ137" s="26"/>
      <c r="BAR137" s="26"/>
      <c r="BAS137" s="26"/>
      <c r="BAT137" s="26"/>
      <c r="BAU137" s="26"/>
      <c r="BAV137" s="26"/>
      <c r="BAW137" s="26"/>
      <c r="BAX137" s="26"/>
      <c r="BAY137" s="26"/>
      <c r="BAZ137" s="26"/>
      <c r="BBA137" s="26"/>
      <c r="BBB137" s="26"/>
      <c r="BBC137" s="26"/>
      <c r="BBD137" s="26"/>
      <c r="BBE137" s="26"/>
      <c r="BBF137" s="26"/>
      <c r="BBG137" s="26"/>
      <c r="BBH137" s="26"/>
      <c r="BBI137" s="26"/>
      <c r="BBJ137" s="26"/>
      <c r="BBK137" s="26"/>
      <c r="BBL137" s="26"/>
      <c r="BBM137" s="26"/>
      <c r="BBN137" s="26"/>
      <c r="BBO137" s="26"/>
      <c r="BBP137" s="26"/>
      <c r="BBQ137" s="26"/>
      <c r="BBR137" s="26"/>
      <c r="BBS137" s="26"/>
      <c r="BBT137" s="26"/>
      <c r="BBU137" s="26"/>
      <c r="BBV137" s="26"/>
      <c r="BBW137" s="26"/>
      <c r="BBX137" s="26"/>
      <c r="BBY137" s="26"/>
      <c r="BBZ137" s="26"/>
      <c r="BCA137" s="26"/>
      <c r="BCB137" s="26"/>
      <c r="BCC137" s="26"/>
      <c r="BCD137" s="26"/>
      <c r="BCE137" s="26"/>
      <c r="BCF137" s="26"/>
      <c r="BCG137" s="26"/>
      <c r="BCH137" s="26"/>
      <c r="BCI137" s="26"/>
      <c r="BCJ137" s="26"/>
      <c r="BCK137" s="26"/>
      <c r="BCL137" s="26"/>
      <c r="BCM137" s="26"/>
      <c r="BCN137" s="26"/>
      <c r="BCO137" s="26"/>
      <c r="BCP137" s="26"/>
      <c r="BCQ137" s="26"/>
      <c r="BCR137" s="26"/>
      <c r="BCS137" s="26"/>
      <c r="BCT137" s="26"/>
      <c r="BCU137" s="26"/>
      <c r="BCV137" s="26"/>
      <c r="BCW137" s="26"/>
      <c r="BCX137" s="26"/>
      <c r="BCY137" s="26"/>
      <c r="BCZ137" s="26"/>
      <c r="BDA137" s="26"/>
      <c r="BDB137" s="26"/>
      <c r="BDC137" s="26"/>
      <c r="BDD137" s="26"/>
      <c r="BDE137" s="26"/>
      <c r="BDF137" s="26"/>
      <c r="BDG137" s="26"/>
      <c r="BDH137" s="26"/>
      <c r="BDI137" s="26"/>
      <c r="BDJ137" s="26"/>
      <c r="BDK137" s="26"/>
      <c r="BDL137" s="26"/>
      <c r="BDM137" s="26"/>
      <c r="BDN137" s="26"/>
      <c r="BDO137" s="26"/>
      <c r="BDP137" s="26"/>
      <c r="BDQ137" s="26"/>
      <c r="BDR137" s="26"/>
      <c r="BDS137" s="26"/>
      <c r="BDT137" s="26"/>
      <c r="BDU137" s="26"/>
      <c r="BDV137" s="26"/>
      <c r="BDW137" s="26"/>
      <c r="BDX137" s="26"/>
      <c r="BDY137" s="26"/>
      <c r="BDZ137" s="26"/>
      <c r="BEA137" s="26"/>
      <c r="BEB137" s="26"/>
      <c r="BEC137" s="26"/>
      <c r="BED137" s="26"/>
      <c r="BEE137" s="26"/>
      <c r="BEF137" s="26"/>
      <c r="BEG137" s="26"/>
      <c r="BEH137" s="26"/>
      <c r="BEI137" s="26"/>
      <c r="BEJ137" s="26"/>
      <c r="BEK137" s="26"/>
      <c r="BEL137" s="26"/>
      <c r="BEM137" s="26"/>
      <c r="BEN137" s="26"/>
      <c r="BEO137" s="26"/>
      <c r="BEP137" s="26"/>
      <c r="BEQ137" s="26"/>
      <c r="BER137" s="26"/>
      <c r="BES137" s="26"/>
      <c r="BET137" s="26"/>
      <c r="BEU137" s="26"/>
      <c r="BEV137" s="26"/>
      <c r="BEW137" s="26"/>
      <c r="BEX137" s="26"/>
      <c r="BEY137" s="26"/>
      <c r="BEZ137" s="26"/>
      <c r="BFA137" s="26"/>
      <c r="BFB137" s="26"/>
      <c r="BFC137" s="26"/>
      <c r="BFD137" s="26"/>
      <c r="BFE137" s="26"/>
      <c r="BFF137" s="26"/>
      <c r="BFG137" s="26"/>
      <c r="BFH137" s="26"/>
      <c r="BFI137" s="26"/>
      <c r="BFJ137" s="26"/>
      <c r="BFK137" s="26"/>
      <c r="BFL137" s="26"/>
      <c r="BFM137" s="26"/>
      <c r="BFN137" s="26"/>
      <c r="BFO137" s="26"/>
      <c r="BFP137" s="26"/>
      <c r="BFQ137" s="26"/>
      <c r="BFR137" s="26"/>
      <c r="BFS137" s="26"/>
      <c r="BFT137" s="26"/>
      <c r="BFU137" s="26"/>
      <c r="BFV137" s="26"/>
      <c r="BFW137" s="26"/>
      <c r="BFX137" s="26"/>
      <c r="BFY137" s="26"/>
      <c r="BFZ137" s="26"/>
      <c r="BGA137" s="26"/>
      <c r="BGB137" s="26"/>
      <c r="BGC137" s="26"/>
      <c r="BGD137" s="26"/>
      <c r="BGE137" s="26"/>
      <c r="BGF137" s="26"/>
      <c r="BGG137" s="26"/>
      <c r="BGH137" s="26"/>
      <c r="BGI137" s="26"/>
      <c r="BGJ137" s="26"/>
      <c r="BGK137" s="26"/>
      <c r="BGL137" s="26"/>
      <c r="BGM137" s="26"/>
      <c r="BGN137" s="26"/>
      <c r="BGO137" s="26"/>
      <c r="BGP137" s="26"/>
      <c r="BGQ137" s="26"/>
      <c r="BGR137" s="26"/>
      <c r="BGS137" s="26"/>
      <c r="BGT137" s="26"/>
      <c r="BGU137" s="26"/>
      <c r="BGV137" s="26"/>
      <c r="BGW137" s="26"/>
      <c r="BGX137" s="26"/>
      <c r="BGY137" s="26"/>
      <c r="BGZ137" s="26"/>
      <c r="BHA137" s="26"/>
      <c r="BHB137" s="26"/>
      <c r="BHC137" s="26"/>
      <c r="BHD137" s="26"/>
      <c r="BHE137" s="26"/>
      <c r="BHF137" s="26"/>
      <c r="BHG137" s="26"/>
      <c r="BHH137" s="26"/>
      <c r="BHI137" s="26"/>
      <c r="BHJ137" s="26"/>
      <c r="BHK137" s="26"/>
      <c r="BHL137" s="26"/>
      <c r="BHM137" s="26"/>
      <c r="BHN137" s="26"/>
      <c r="BHO137" s="26"/>
      <c r="BHP137" s="26"/>
      <c r="BHQ137" s="26"/>
      <c r="BHR137" s="26"/>
      <c r="BHS137" s="26"/>
      <c r="BHT137" s="26"/>
      <c r="BHU137" s="26"/>
      <c r="BHV137" s="26"/>
      <c r="BHW137" s="26"/>
      <c r="BHX137" s="26"/>
      <c r="BHY137" s="26"/>
      <c r="BHZ137" s="26"/>
      <c r="BIA137" s="26"/>
      <c r="BIB137" s="26"/>
      <c r="BIC137" s="26"/>
      <c r="BID137" s="26"/>
      <c r="BIE137" s="26"/>
      <c r="BIF137" s="26"/>
      <c r="BIG137" s="26"/>
      <c r="BIH137" s="26"/>
      <c r="BII137" s="26"/>
      <c r="BIJ137" s="26"/>
      <c r="BIK137" s="26"/>
      <c r="BIL137" s="26"/>
      <c r="BIM137" s="26"/>
      <c r="BIN137" s="26"/>
      <c r="BIO137" s="26"/>
      <c r="BIP137" s="26"/>
      <c r="BIQ137" s="26"/>
      <c r="BIR137" s="26"/>
      <c r="BIS137" s="26"/>
      <c r="BIT137" s="26"/>
      <c r="BIU137" s="26"/>
      <c r="BIV137" s="26"/>
      <c r="BIW137" s="26"/>
      <c r="BIX137" s="26"/>
      <c r="BIY137" s="26"/>
      <c r="BIZ137" s="26"/>
      <c r="BJA137" s="26"/>
      <c r="BJB137" s="26"/>
      <c r="BJC137" s="26"/>
      <c r="BJD137" s="26"/>
      <c r="BJE137" s="26"/>
      <c r="BJF137" s="26"/>
      <c r="BJG137" s="26"/>
      <c r="BJH137" s="26"/>
      <c r="BJI137" s="26"/>
      <c r="BJJ137" s="26"/>
      <c r="BJK137" s="26"/>
      <c r="BJL137" s="26"/>
      <c r="BJM137" s="26"/>
      <c r="BJN137" s="26"/>
      <c r="BJO137" s="26"/>
      <c r="BJP137" s="26"/>
      <c r="BJQ137" s="26"/>
      <c r="BJR137" s="26"/>
      <c r="BJS137" s="26"/>
      <c r="BJT137" s="26"/>
      <c r="BJU137" s="26"/>
      <c r="BJV137" s="26"/>
      <c r="BJW137" s="26"/>
      <c r="BJX137" s="26"/>
      <c r="BJY137" s="26"/>
      <c r="BJZ137" s="26"/>
      <c r="BKA137" s="26"/>
      <c r="BKB137" s="26"/>
      <c r="BKC137" s="26"/>
      <c r="BKD137" s="26"/>
      <c r="BKE137" s="26"/>
      <c r="BKF137" s="26"/>
      <c r="BKG137" s="26"/>
      <c r="BKH137" s="26"/>
      <c r="BKI137" s="26"/>
      <c r="BKJ137" s="26"/>
      <c r="BKK137" s="26"/>
      <c r="BKL137" s="26"/>
      <c r="BKM137" s="26"/>
      <c r="BKN137" s="26"/>
      <c r="BKO137" s="26"/>
      <c r="BKP137" s="26"/>
      <c r="BKQ137" s="26"/>
      <c r="BKR137" s="26"/>
      <c r="BKS137" s="26"/>
      <c r="BKT137" s="26"/>
      <c r="BKU137" s="26"/>
      <c r="BKV137" s="26"/>
      <c r="BKW137" s="26"/>
      <c r="BKX137" s="26"/>
      <c r="BKY137" s="26"/>
      <c r="BKZ137" s="26"/>
      <c r="BLA137" s="26"/>
      <c r="BLB137" s="26"/>
      <c r="BLC137" s="26"/>
      <c r="BLD137" s="26"/>
      <c r="BLE137" s="26"/>
      <c r="BLF137" s="26"/>
      <c r="BLG137" s="26"/>
      <c r="BLH137" s="26"/>
      <c r="BLI137" s="26"/>
      <c r="BLJ137" s="26"/>
      <c r="BLK137" s="26"/>
      <c r="BLL137" s="26"/>
      <c r="BLM137" s="26"/>
      <c r="BLN137" s="26"/>
      <c r="BLO137" s="26"/>
      <c r="BLP137" s="26"/>
      <c r="BLQ137" s="26"/>
      <c r="BLR137" s="26"/>
      <c r="BLS137" s="26"/>
      <c r="BLT137" s="26"/>
      <c r="BLU137" s="26"/>
      <c r="BLV137" s="26"/>
      <c r="BLW137" s="26"/>
      <c r="BLX137" s="26"/>
      <c r="BLY137" s="26"/>
      <c r="BLZ137" s="26"/>
      <c r="BMA137" s="26"/>
      <c r="BMB137" s="26"/>
      <c r="BMC137" s="26"/>
      <c r="BMD137" s="26"/>
      <c r="BME137" s="26"/>
      <c r="BMF137" s="26"/>
      <c r="BMG137" s="26"/>
      <c r="BMH137" s="26"/>
      <c r="BMI137" s="26"/>
      <c r="BMJ137" s="26"/>
      <c r="BMK137" s="26"/>
      <c r="BML137" s="26"/>
      <c r="BMM137" s="26"/>
      <c r="BMN137" s="26"/>
      <c r="BMO137" s="26"/>
      <c r="BMP137" s="26"/>
      <c r="BMQ137" s="26"/>
      <c r="BMR137" s="26"/>
      <c r="BMS137" s="26"/>
      <c r="BMT137" s="26"/>
      <c r="BMU137" s="26"/>
      <c r="BMV137" s="26"/>
      <c r="BMW137" s="26"/>
      <c r="BMX137" s="26"/>
      <c r="BMY137" s="26"/>
      <c r="BMZ137" s="26"/>
      <c r="BNA137" s="26"/>
      <c r="BNB137" s="26"/>
      <c r="BNC137" s="26"/>
      <c r="BND137" s="26"/>
      <c r="BNE137" s="26"/>
      <c r="BNF137" s="26"/>
      <c r="BNG137" s="26"/>
      <c r="BNH137" s="26"/>
      <c r="BNI137" s="26"/>
      <c r="BNJ137" s="26"/>
      <c r="BNK137" s="26"/>
      <c r="BNL137" s="26"/>
      <c r="BNM137" s="26"/>
      <c r="BNN137" s="26"/>
      <c r="BNO137" s="26"/>
      <c r="BNP137" s="26"/>
      <c r="BNQ137" s="26"/>
      <c r="BNR137" s="26"/>
      <c r="BNS137" s="26"/>
      <c r="BNT137" s="26"/>
      <c r="BNU137" s="26"/>
      <c r="BNV137" s="26"/>
      <c r="BNW137" s="26"/>
      <c r="BNX137" s="26"/>
      <c r="BNY137" s="26"/>
      <c r="BNZ137" s="26"/>
      <c r="BOA137" s="26"/>
      <c r="BOB137" s="26"/>
      <c r="BOC137" s="26"/>
      <c r="BOD137" s="26"/>
      <c r="BOE137" s="26"/>
      <c r="BOF137" s="26"/>
      <c r="BOG137" s="26"/>
      <c r="BOH137" s="26"/>
      <c r="BOI137" s="26"/>
      <c r="BOJ137" s="26"/>
      <c r="BOK137" s="26"/>
      <c r="BOL137" s="26"/>
      <c r="BOM137" s="26"/>
      <c r="BON137" s="26"/>
      <c r="BOO137" s="26"/>
      <c r="BOP137" s="26"/>
      <c r="BOQ137" s="26"/>
      <c r="BOR137" s="26"/>
      <c r="BOS137" s="26"/>
      <c r="BOT137" s="26"/>
      <c r="BOU137" s="26"/>
      <c r="BOV137" s="26"/>
      <c r="BOW137" s="26"/>
      <c r="BOX137" s="26"/>
      <c r="BOY137" s="26"/>
      <c r="BOZ137" s="26"/>
      <c r="BPA137" s="26"/>
      <c r="BPB137" s="26"/>
      <c r="BPC137" s="26"/>
      <c r="BPD137" s="26"/>
      <c r="BPE137" s="26"/>
      <c r="BPF137" s="26"/>
      <c r="BPG137" s="26"/>
      <c r="BPH137" s="26"/>
      <c r="BPI137" s="26"/>
      <c r="BPJ137" s="26"/>
      <c r="BPK137" s="26"/>
      <c r="BPL137" s="26"/>
      <c r="BPM137" s="26"/>
      <c r="BPN137" s="26"/>
      <c r="BPO137" s="26"/>
      <c r="BPP137" s="26"/>
      <c r="BPQ137" s="26"/>
      <c r="BPR137" s="26"/>
      <c r="BPS137" s="26"/>
      <c r="BPT137" s="26"/>
      <c r="BPU137" s="26"/>
      <c r="BPV137" s="26"/>
      <c r="BPW137" s="26"/>
      <c r="BPX137" s="26"/>
      <c r="BPY137" s="26"/>
      <c r="BPZ137" s="26"/>
      <c r="BQA137" s="26"/>
      <c r="BQB137" s="26"/>
      <c r="BQC137" s="26"/>
      <c r="BQD137" s="26"/>
      <c r="BQE137" s="26"/>
      <c r="BQF137" s="26"/>
      <c r="BQG137" s="26"/>
      <c r="BQH137" s="26"/>
      <c r="BQI137" s="26"/>
      <c r="BQJ137" s="26"/>
      <c r="BQK137" s="26"/>
      <c r="BQL137" s="26"/>
      <c r="BQM137" s="26"/>
      <c r="BQN137" s="26"/>
      <c r="BQO137" s="26"/>
      <c r="BQP137" s="26"/>
      <c r="BQQ137" s="26"/>
      <c r="BQR137" s="26"/>
      <c r="BQS137" s="26"/>
      <c r="BQT137" s="26"/>
      <c r="BQU137" s="26"/>
      <c r="BQV137" s="26"/>
      <c r="BQW137" s="26"/>
      <c r="BQX137" s="26"/>
      <c r="BQY137" s="26"/>
      <c r="BQZ137" s="26"/>
      <c r="BRA137" s="26"/>
      <c r="BRB137" s="26"/>
      <c r="BRC137" s="26"/>
      <c r="BRD137" s="26"/>
      <c r="BRE137" s="26"/>
      <c r="BRF137" s="26"/>
      <c r="BRG137" s="26"/>
      <c r="BRH137" s="26"/>
      <c r="BRI137" s="26"/>
      <c r="BRJ137" s="26"/>
      <c r="BRK137" s="26"/>
      <c r="BRL137" s="26"/>
      <c r="BRM137" s="26"/>
      <c r="BRN137" s="26"/>
      <c r="BRO137" s="26"/>
      <c r="BRP137" s="26"/>
      <c r="BRQ137" s="26"/>
      <c r="BRR137" s="26"/>
      <c r="BRS137" s="26"/>
      <c r="BRT137" s="26"/>
      <c r="BRU137" s="26"/>
      <c r="BRV137" s="26"/>
      <c r="BRW137" s="26"/>
      <c r="BRX137" s="26"/>
      <c r="BRY137" s="26"/>
      <c r="BRZ137" s="26"/>
      <c r="BSA137" s="26"/>
      <c r="BSB137" s="26"/>
      <c r="BSC137" s="26"/>
      <c r="BSD137" s="26"/>
      <c r="BSE137" s="26"/>
      <c r="BSF137" s="26"/>
      <c r="BSG137" s="26"/>
      <c r="BSH137" s="26"/>
      <c r="BSI137" s="26"/>
      <c r="BSJ137" s="26"/>
      <c r="BSK137" s="26"/>
      <c r="BSL137" s="26"/>
      <c r="BSM137" s="26"/>
      <c r="BSN137" s="26"/>
      <c r="BSO137" s="26"/>
      <c r="BSP137" s="26"/>
      <c r="BSQ137" s="26"/>
      <c r="BSR137" s="26"/>
      <c r="BSS137" s="26"/>
      <c r="BST137" s="26"/>
      <c r="BSU137" s="26"/>
      <c r="BSV137" s="26"/>
      <c r="BSW137" s="26"/>
      <c r="BSX137" s="26"/>
      <c r="BSY137" s="26"/>
      <c r="BSZ137" s="26"/>
      <c r="BTA137" s="26"/>
      <c r="BTB137" s="26"/>
      <c r="BTC137" s="26"/>
      <c r="BTD137" s="26"/>
      <c r="BTE137" s="26"/>
      <c r="BTF137" s="26"/>
      <c r="BTG137" s="26"/>
      <c r="BTH137" s="26"/>
      <c r="BTI137" s="26"/>
      <c r="BTJ137" s="26"/>
      <c r="BTK137" s="26"/>
      <c r="BTL137" s="26"/>
      <c r="BTM137" s="26"/>
      <c r="BTN137" s="26"/>
      <c r="BTO137" s="26"/>
      <c r="BTP137" s="26"/>
      <c r="BTQ137" s="26"/>
      <c r="BTR137" s="26"/>
      <c r="BTS137" s="26"/>
      <c r="BTT137" s="26"/>
      <c r="BTU137" s="26"/>
      <c r="BTV137" s="26"/>
      <c r="BTW137" s="26"/>
      <c r="BTX137" s="26"/>
      <c r="BTY137" s="26"/>
      <c r="BTZ137" s="26"/>
      <c r="BUA137" s="26"/>
      <c r="BUB137" s="26"/>
      <c r="BUC137" s="26"/>
      <c r="BUD137" s="26"/>
      <c r="BUE137" s="26"/>
      <c r="BUF137" s="26"/>
      <c r="BUG137" s="26"/>
      <c r="BUH137" s="26"/>
      <c r="BUI137" s="26"/>
      <c r="BUJ137" s="26"/>
      <c r="BUK137" s="26"/>
      <c r="BUL137" s="26"/>
      <c r="BUM137" s="26"/>
      <c r="BUN137" s="26"/>
      <c r="BUO137" s="26"/>
      <c r="BUP137" s="26"/>
      <c r="BUQ137" s="26"/>
      <c r="BUR137" s="26"/>
      <c r="BUS137" s="26"/>
      <c r="BUT137" s="26"/>
      <c r="BUU137" s="26"/>
      <c r="BUV137" s="26"/>
      <c r="BUW137" s="26"/>
      <c r="BUX137" s="26"/>
      <c r="BUY137" s="26"/>
      <c r="BUZ137" s="26"/>
      <c r="BVA137" s="26"/>
      <c r="BVB137" s="26"/>
      <c r="BVC137" s="26"/>
      <c r="BVD137" s="26"/>
      <c r="BVE137" s="26"/>
      <c r="BVF137" s="26"/>
      <c r="BVG137" s="26"/>
      <c r="BVH137" s="26"/>
      <c r="BVI137" s="26"/>
      <c r="BVJ137" s="26"/>
      <c r="BVK137" s="26"/>
      <c r="BVL137" s="26"/>
      <c r="BVM137" s="26"/>
      <c r="BVN137" s="26"/>
      <c r="BVO137" s="26"/>
      <c r="BVP137" s="26"/>
      <c r="BVQ137" s="26"/>
      <c r="BVR137" s="26"/>
      <c r="BVS137" s="26"/>
      <c r="BVT137" s="26"/>
      <c r="BVU137" s="26"/>
      <c r="BVV137" s="26"/>
      <c r="BVW137" s="26"/>
      <c r="BVX137" s="26"/>
      <c r="BVY137" s="26"/>
      <c r="BVZ137" s="26"/>
      <c r="BWA137" s="26"/>
      <c r="BWB137" s="26"/>
      <c r="BWC137" s="26"/>
      <c r="BWD137" s="26"/>
      <c r="BWE137" s="26"/>
      <c r="BWF137" s="26"/>
      <c r="BWG137" s="26"/>
      <c r="BWH137" s="26"/>
      <c r="BWI137" s="26"/>
      <c r="BWJ137" s="26"/>
      <c r="BWK137" s="26"/>
      <c r="BWL137" s="26"/>
      <c r="BWM137" s="26"/>
      <c r="BWN137" s="26"/>
      <c r="BWO137" s="26"/>
      <c r="BWP137" s="26"/>
      <c r="BWQ137" s="26"/>
      <c r="BWR137" s="26"/>
      <c r="BWS137" s="26"/>
      <c r="BWT137" s="26"/>
      <c r="BWU137" s="26"/>
      <c r="BWV137" s="26"/>
      <c r="BWW137" s="26"/>
      <c r="BWX137" s="26"/>
      <c r="BWY137" s="26"/>
      <c r="BWZ137" s="26"/>
      <c r="BXA137" s="26"/>
      <c r="BXB137" s="26"/>
      <c r="BXC137" s="26"/>
      <c r="BXD137" s="26"/>
      <c r="BXE137" s="26"/>
      <c r="BXF137" s="26"/>
      <c r="BXG137" s="26"/>
      <c r="BXH137" s="26"/>
      <c r="BXI137" s="26"/>
      <c r="BXJ137" s="26"/>
      <c r="BXK137" s="26"/>
      <c r="BXL137" s="26"/>
      <c r="BXM137" s="26"/>
      <c r="BXN137" s="26"/>
      <c r="BXO137" s="26"/>
      <c r="BXP137" s="26"/>
      <c r="BXQ137" s="26"/>
      <c r="BXR137" s="26"/>
      <c r="BXS137" s="26"/>
      <c r="BXT137" s="26"/>
      <c r="BXU137" s="26"/>
      <c r="BXV137" s="26"/>
      <c r="BXW137" s="26"/>
      <c r="BXX137" s="26"/>
      <c r="BXY137" s="26"/>
      <c r="BXZ137" s="26"/>
      <c r="BYA137" s="26"/>
      <c r="BYB137" s="26"/>
      <c r="BYC137" s="26"/>
      <c r="BYD137" s="26"/>
      <c r="BYE137" s="26"/>
      <c r="BYF137" s="26"/>
      <c r="BYG137" s="26"/>
      <c r="BYH137" s="26"/>
      <c r="BYI137" s="26"/>
      <c r="BYJ137" s="26"/>
      <c r="BYK137" s="26"/>
      <c r="BYL137" s="26"/>
      <c r="BYM137" s="26"/>
      <c r="BYN137" s="26"/>
      <c r="BYO137" s="26"/>
      <c r="BYP137" s="26"/>
      <c r="BYQ137" s="26"/>
      <c r="BYR137" s="26"/>
      <c r="BYS137" s="26"/>
      <c r="BYT137" s="26"/>
      <c r="BYU137" s="26"/>
      <c r="BYV137" s="26"/>
      <c r="BYW137" s="26"/>
      <c r="BYX137" s="26"/>
      <c r="BYY137" s="26"/>
      <c r="BYZ137" s="26"/>
      <c r="BZA137" s="26"/>
      <c r="BZB137" s="26"/>
      <c r="BZC137" s="26"/>
      <c r="BZD137" s="26"/>
      <c r="BZE137" s="26"/>
      <c r="BZF137" s="26"/>
      <c r="BZG137" s="26"/>
      <c r="BZH137" s="26"/>
      <c r="BZI137" s="26"/>
      <c r="BZJ137" s="26"/>
      <c r="BZK137" s="26"/>
      <c r="BZL137" s="26"/>
      <c r="BZM137" s="26"/>
      <c r="BZN137" s="26"/>
      <c r="BZO137" s="26"/>
      <c r="BZP137" s="26"/>
      <c r="BZQ137" s="26"/>
      <c r="BZR137" s="26"/>
      <c r="BZS137" s="26"/>
      <c r="BZT137" s="26"/>
      <c r="BZU137" s="26"/>
      <c r="BZV137" s="26"/>
      <c r="BZW137" s="26"/>
      <c r="BZX137" s="26"/>
      <c r="BZY137" s="26"/>
      <c r="BZZ137" s="26"/>
      <c r="CAA137" s="26"/>
      <c r="CAB137" s="26"/>
      <c r="CAC137" s="26"/>
      <c r="CAD137" s="26"/>
      <c r="CAE137" s="26"/>
      <c r="CAF137" s="26"/>
      <c r="CAG137" s="26"/>
      <c r="CAH137" s="26"/>
      <c r="CAI137" s="26"/>
      <c r="CAJ137" s="26"/>
      <c r="CAK137" s="26"/>
      <c r="CAL137" s="26"/>
      <c r="CAM137" s="26"/>
      <c r="CAN137" s="26"/>
      <c r="CAO137" s="26"/>
      <c r="CAP137" s="26"/>
      <c r="CAQ137" s="26"/>
      <c r="CAR137" s="26"/>
      <c r="CAS137" s="26"/>
      <c r="CAT137" s="26"/>
      <c r="CAU137" s="26"/>
      <c r="CAV137" s="26"/>
      <c r="CAW137" s="26"/>
      <c r="CAX137" s="26"/>
      <c r="CAY137" s="26"/>
      <c r="CAZ137" s="26"/>
      <c r="CBA137" s="26"/>
      <c r="CBB137" s="26"/>
      <c r="CBC137" s="26"/>
      <c r="CBD137" s="26"/>
      <c r="CBE137" s="26"/>
      <c r="CBF137" s="26"/>
      <c r="CBG137" s="26"/>
      <c r="CBH137" s="26"/>
      <c r="CBI137" s="26"/>
    </row>
    <row r="138" spans="1:2089" ht="14" customHeight="1">
      <c r="A138" s="27">
        <v>137</v>
      </c>
      <c r="B138" s="27" t="s">
        <v>347</v>
      </c>
      <c r="C138" s="37">
        <v>1998</v>
      </c>
      <c r="D138" s="26" t="s">
        <v>18</v>
      </c>
      <c r="E138" s="26" t="s">
        <v>566</v>
      </c>
      <c r="F138" s="77" t="s">
        <v>175</v>
      </c>
      <c r="G138" s="2" t="s">
        <v>84</v>
      </c>
      <c r="H138" s="2" t="s">
        <v>275</v>
      </c>
      <c r="I138" s="2" t="s">
        <v>548</v>
      </c>
      <c r="J138" s="2" t="s">
        <v>604</v>
      </c>
      <c r="K138" s="2" t="s">
        <v>548</v>
      </c>
      <c r="L138" s="2" t="s">
        <v>548</v>
      </c>
      <c r="M138" s="2" t="s">
        <v>548</v>
      </c>
      <c r="N138" s="2" t="s">
        <v>210</v>
      </c>
      <c r="O138" s="2" t="s">
        <v>43</v>
      </c>
      <c r="P138" s="2" t="s">
        <v>210</v>
      </c>
      <c r="Q138" s="2" t="s">
        <v>42</v>
      </c>
      <c r="R138" s="102" t="s">
        <v>614</v>
      </c>
      <c r="S138" s="2">
        <f>24/T138</f>
        <v>1</v>
      </c>
      <c r="T138" s="26">
        <v>24</v>
      </c>
      <c r="U138" s="77">
        <v>1</v>
      </c>
      <c r="V138" s="26">
        <v>0</v>
      </c>
      <c r="W138" s="26">
        <v>1</v>
      </c>
      <c r="X138" s="26">
        <v>0</v>
      </c>
      <c r="Y138" s="26">
        <v>0</v>
      </c>
      <c r="Z138" s="26">
        <v>0</v>
      </c>
      <c r="AA138" s="26">
        <v>0</v>
      </c>
      <c r="AB138" s="40">
        <v>0</v>
      </c>
      <c r="AC138" s="26" t="s">
        <v>70</v>
      </c>
      <c r="AD138" s="33" t="s">
        <v>70</v>
      </c>
      <c r="AE138" s="33" t="s">
        <v>70</v>
      </c>
      <c r="AF138" s="33" t="s">
        <v>70</v>
      </c>
      <c r="AG138" s="26" t="s">
        <v>70</v>
      </c>
      <c r="AH138" s="26" t="s">
        <v>70</v>
      </c>
      <c r="AI138" s="26" t="s">
        <v>70</v>
      </c>
      <c r="AJ138" s="33" t="s">
        <v>70</v>
      </c>
      <c r="AK138" s="26" t="s">
        <v>70</v>
      </c>
      <c r="AL138" s="26" t="s">
        <v>70</v>
      </c>
      <c r="AM138" s="35" t="s">
        <v>548</v>
      </c>
      <c r="AN138" s="26" t="s">
        <v>274</v>
      </c>
      <c r="AO138" s="35" t="s">
        <v>548</v>
      </c>
      <c r="AP138" s="35" t="s">
        <v>548</v>
      </c>
      <c r="AQ138" s="35" t="s">
        <v>548</v>
      </c>
      <c r="AR138" s="35" t="s">
        <v>548</v>
      </c>
      <c r="AS138" s="26" t="s">
        <v>175</v>
      </c>
      <c r="AT138" s="26" t="s">
        <v>70</v>
      </c>
      <c r="AU138" s="26" t="s">
        <v>70</v>
      </c>
      <c r="AV138" s="26">
        <v>3</v>
      </c>
    </row>
    <row r="139" spans="1:2089" s="41" customFormat="1" ht="14" customHeight="1">
      <c r="A139" s="27">
        <v>138</v>
      </c>
      <c r="B139" s="27" t="s">
        <v>347</v>
      </c>
      <c r="C139" s="37">
        <v>1998</v>
      </c>
      <c r="D139" s="26" t="s">
        <v>18</v>
      </c>
      <c r="E139" s="26" t="s">
        <v>566</v>
      </c>
      <c r="F139" s="77" t="s">
        <v>175</v>
      </c>
      <c r="G139" s="2" t="s">
        <v>84</v>
      </c>
      <c r="H139" s="2" t="s">
        <v>275</v>
      </c>
      <c r="I139" s="2" t="s">
        <v>548</v>
      </c>
      <c r="J139" s="2" t="s">
        <v>604</v>
      </c>
      <c r="K139" s="2" t="s">
        <v>548</v>
      </c>
      <c r="L139" s="2" t="s">
        <v>548</v>
      </c>
      <c r="M139" s="2" t="s">
        <v>548</v>
      </c>
      <c r="N139" s="2" t="s">
        <v>70</v>
      </c>
      <c r="O139" s="2" t="s">
        <v>209</v>
      </c>
      <c r="P139" s="2" t="s">
        <v>612</v>
      </c>
      <c r="Q139" s="2" t="s">
        <v>42</v>
      </c>
      <c r="R139" s="102" t="s">
        <v>614</v>
      </c>
      <c r="S139" s="2">
        <f>15/T139</f>
        <v>1</v>
      </c>
      <c r="T139" s="26">
        <v>15</v>
      </c>
      <c r="U139" s="77">
        <v>1</v>
      </c>
      <c r="V139" s="26">
        <v>0</v>
      </c>
      <c r="W139" s="26">
        <v>1</v>
      </c>
      <c r="X139" s="26">
        <v>0</v>
      </c>
      <c r="Y139" s="26">
        <v>0</v>
      </c>
      <c r="Z139" s="26">
        <v>0</v>
      </c>
      <c r="AA139" s="26">
        <v>0</v>
      </c>
      <c r="AB139" s="40">
        <v>0</v>
      </c>
      <c r="AC139" s="26" t="s">
        <v>70</v>
      </c>
      <c r="AD139" s="33" t="s">
        <v>70</v>
      </c>
      <c r="AE139" s="33" t="s">
        <v>70</v>
      </c>
      <c r="AF139" s="33" t="s">
        <v>70</v>
      </c>
      <c r="AG139" s="26" t="s">
        <v>70</v>
      </c>
      <c r="AH139" s="26" t="s">
        <v>70</v>
      </c>
      <c r="AI139" s="26" t="s">
        <v>70</v>
      </c>
      <c r="AJ139" s="33" t="s">
        <v>70</v>
      </c>
      <c r="AK139" s="26" t="s">
        <v>70</v>
      </c>
      <c r="AL139" s="26" t="s">
        <v>70</v>
      </c>
      <c r="AM139" s="35" t="s">
        <v>548</v>
      </c>
      <c r="AN139" s="32" t="s">
        <v>274</v>
      </c>
      <c r="AO139" s="35" t="s">
        <v>548</v>
      </c>
      <c r="AP139" s="35" t="s">
        <v>548</v>
      </c>
      <c r="AQ139" s="35" t="s">
        <v>548</v>
      </c>
      <c r="AR139" s="35" t="s">
        <v>548</v>
      </c>
      <c r="AS139" s="26" t="s">
        <v>175</v>
      </c>
      <c r="AT139" s="26" t="s">
        <v>70</v>
      </c>
      <c r="AU139" s="26" t="s">
        <v>70</v>
      </c>
      <c r="AV139" s="26">
        <v>3</v>
      </c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6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6"/>
      <c r="JT139" s="26"/>
      <c r="JU139" s="26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  <c r="KO139" s="26"/>
      <c r="KP139" s="26"/>
      <c r="KQ139" s="26"/>
      <c r="KR139" s="26"/>
      <c r="KS139" s="26"/>
      <c r="KT139" s="26"/>
      <c r="KU139" s="26"/>
      <c r="KV139" s="26"/>
      <c r="KW139" s="26"/>
      <c r="KX139" s="26"/>
      <c r="KY139" s="26"/>
      <c r="KZ139" s="26"/>
      <c r="LA139" s="26"/>
      <c r="LB139" s="26"/>
      <c r="LC139" s="26"/>
      <c r="LD139" s="26"/>
      <c r="LE139" s="26"/>
      <c r="LF139" s="26"/>
      <c r="LG139" s="26"/>
      <c r="LH139" s="26"/>
      <c r="LI139" s="26"/>
      <c r="LJ139" s="26"/>
      <c r="LK139" s="26"/>
      <c r="LL139" s="26"/>
      <c r="LM139" s="26"/>
      <c r="LN139" s="26"/>
      <c r="LO139" s="26"/>
      <c r="LP139" s="26"/>
      <c r="LQ139" s="26"/>
      <c r="LR139" s="26"/>
      <c r="LS139" s="26"/>
      <c r="LT139" s="26"/>
      <c r="LU139" s="26"/>
      <c r="LV139" s="26"/>
      <c r="LW139" s="26"/>
      <c r="LX139" s="26"/>
      <c r="LY139" s="26"/>
      <c r="LZ139" s="26"/>
      <c r="MA139" s="26"/>
      <c r="MB139" s="26"/>
      <c r="MC139" s="26"/>
      <c r="MD139" s="26"/>
      <c r="ME139" s="26"/>
      <c r="MF139" s="26"/>
      <c r="MG139" s="26"/>
      <c r="MH139" s="26"/>
      <c r="MI139" s="26"/>
      <c r="MJ139" s="26"/>
      <c r="MK139" s="26"/>
      <c r="ML139" s="26"/>
      <c r="MM139" s="26"/>
      <c r="MN139" s="26"/>
      <c r="MO139" s="26"/>
      <c r="MP139" s="26"/>
      <c r="MQ139" s="26"/>
      <c r="MR139" s="26"/>
      <c r="MS139" s="26"/>
      <c r="MT139" s="26"/>
      <c r="MU139" s="26"/>
      <c r="MV139" s="26"/>
      <c r="MW139" s="26"/>
      <c r="MX139" s="26"/>
      <c r="MY139" s="26"/>
      <c r="MZ139" s="26"/>
      <c r="NA139" s="26"/>
      <c r="NB139" s="26"/>
      <c r="NC139" s="26"/>
      <c r="ND139" s="26"/>
      <c r="NE139" s="26"/>
      <c r="NF139" s="26"/>
      <c r="NG139" s="26"/>
      <c r="NH139" s="26"/>
      <c r="NI139" s="26"/>
      <c r="NJ139" s="26"/>
      <c r="NK139" s="26"/>
      <c r="NL139" s="26"/>
      <c r="NM139" s="26"/>
      <c r="NN139" s="26"/>
      <c r="NO139" s="26"/>
      <c r="NP139" s="26"/>
      <c r="NQ139" s="26"/>
      <c r="NR139" s="26"/>
      <c r="NS139" s="26"/>
      <c r="NT139" s="26"/>
      <c r="NU139" s="26"/>
      <c r="NV139" s="26"/>
      <c r="NW139" s="26"/>
      <c r="NX139" s="26"/>
      <c r="NY139" s="26"/>
      <c r="NZ139" s="26"/>
      <c r="OA139" s="26"/>
      <c r="OB139" s="26"/>
      <c r="OC139" s="26"/>
      <c r="OD139" s="26"/>
      <c r="OE139" s="26"/>
      <c r="OF139" s="26"/>
      <c r="OG139" s="26"/>
      <c r="OH139" s="26"/>
      <c r="OI139" s="26"/>
      <c r="OJ139" s="26"/>
      <c r="OK139" s="26"/>
      <c r="OL139" s="26"/>
      <c r="OM139" s="26"/>
      <c r="ON139" s="26"/>
      <c r="OO139" s="26"/>
      <c r="OP139" s="26"/>
      <c r="OQ139" s="26"/>
      <c r="OR139" s="26"/>
      <c r="OS139" s="26"/>
      <c r="OT139" s="26"/>
      <c r="OU139" s="26"/>
      <c r="OV139" s="26"/>
      <c r="OW139" s="26"/>
      <c r="OX139" s="26"/>
      <c r="OY139" s="26"/>
      <c r="OZ139" s="26"/>
      <c r="PA139" s="26"/>
      <c r="PB139" s="26"/>
      <c r="PC139" s="26"/>
      <c r="PD139" s="26"/>
      <c r="PE139" s="26"/>
      <c r="PF139" s="26"/>
      <c r="PG139" s="26"/>
      <c r="PH139" s="26"/>
      <c r="PI139" s="26"/>
      <c r="PJ139" s="26"/>
      <c r="PK139" s="26"/>
      <c r="PL139" s="26"/>
      <c r="PM139" s="26"/>
      <c r="PN139" s="26"/>
      <c r="PO139" s="26"/>
      <c r="PP139" s="26"/>
      <c r="PQ139" s="26"/>
      <c r="PR139" s="26"/>
      <c r="PS139" s="26"/>
      <c r="PT139" s="26"/>
      <c r="PU139" s="26"/>
      <c r="PV139" s="26"/>
      <c r="PW139" s="26"/>
      <c r="PX139" s="26"/>
      <c r="PY139" s="26"/>
      <c r="PZ139" s="26"/>
      <c r="QA139" s="26"/>
      <c r="QB139" s="26"/>
      <c r="QC139" s="26"/>
      <c r="QD139" s="26"/>
      <c r="QE139" s="26"/>
      <c r="QF139" s="26"/>
      <c r="QG139" s="26"/>
      <c r="QH139" s="26"/>
      <c r="QI139" s="26"/>
      <c r="QJ139" s="26"/>
      <c r="QK139" s="26"/>
      <c r="QL139" s="26"/>
      <c r="QM139" s="26"/>
      <c r="QN139" s="26"/>
      <c r="QO139" s="26"/>
      <c r="QP139" s="26"/>
      <c r="QQ139" s="26"/>
      <c r="QR139" s="26"/>
      <c r="QS139" s="26"/>
      <c r="QT139" s="26"/>
      <c r="QU139" s="26"/>
      <c r="QV139" s="26"/>
      <c r="QW139" s="26"/>
      <c r="QX139" s="26"/>
      <c r="QY139" s="26"/>
      <c r="QZ139" s="26"/>
      <c r="RA139" s="26"/>
      <c r="RB139" s="26"/>
      <c r="RC139" s="26"/>
      <c r="RD139" s="26"/>
      <c r="RE139" s="26"/>
      <c r="RF139" s="26"/>
      <c r="RG139" s="26"/>
      <c r="RH139" s="26"/>
      <c r="RI139" s="26"/>
      <c r="RJ139" s="26"/>
      <c r="RK139" s="26"/>
      <c r="RL139" s="26"/>
      <c r="RM139" s="26"/>
      <c r="RN139" s="26"/>
      <c r="RO139" s="26"/>
      <c r="RP139" s="26"/>
      <c r="RQ139" s="26"/>
      <c r="RR139" s="26"/>
      <c r="RS139" s="26"/>
      <c r="RT139" s="26"/>
      <c r="RU139" s="26"/>
      <c r="RV139" s="26"/>
      <c r="RW139" s="26"/>
      <c r="RX139" s="26"/>
      <c r="RY139" s="26"/>
      <c r="RZ139" s="26"/>
      <c r="SA139" s="26"/>
      <c r="SB139" s="26"/>
      <c r="SC139" s="26"/>
      <c r="SD139" s="26"/>
      <c r="SE139" s="26"/>
      <c r="SF139" s="26"/>
      <c r="SG139" s="26"/>
      <c r="SH139" s="26"/>
      <c r="SI139" s="26"/>
      <c r="SJ139" s="26"/>
      <c r="SK139" s="26"/>
      <c r="SL139" s="26"/>
      <c r="SM139" s="26"/>
      <c r="SN139" s="26"/>
      <c r="SO139" s="26"/>
      <c r="SP139" s="26"/>
      <c r="SQ139" s="26"/>
      <c r="SR139" s="26"/>
      <c r="SS139" s="26"/>
      <c r="ST139" s="26"/>
      <c r="SU139" s="26"/>
      <c r="SV139" s="26"/>
      <c r="SW139" s="26"/>
      <c r="SX139" s="26"/>
      <c r="SY139" s="26"/>
      <c r="SZ139" s="26"/>
      <c r="TA139" s="26"/>
      <c r="TB139" s="26"/>
      <c r="TC139" s="26"/>
      <c r="TD139" s="26"/>
      <c r="TE139" s="26"/>
      <c r="TF139" s="26"/>
      <c r="TG139" s="26"/>
      <c r="TH139" s="26"/>
      <c r="TI139" s="26"/>
      <c r="TJ139" s="26"/>
      <c r="TK139" s="26"/>
      <c r="TL139" s="26"/>
      <c r="TM139" s="26"/>
      <c r="TN139" s="26"/>
      <c r="TO139" s="26"/>
      <c r="TP139" s="26"/>
      <c r="TQ139" s="26"/>
      <c r="TR139" s="26"/>
      <c r="TS139" s="26"/>
      <c r="TT139" s="26"/>
      <c r="TU139" s="26"/>
      <c r="TV139" s="26"/>
      <c r="TW139" s="26"/>
      <c r="TX139" s="26"/>
      <c r="TY139" s="26"/>
      <c r="TZ139" s="26"/>
      <c r="UA139" s="26"/>
      <c r="UB139" s="26"/>
      <c r="UC139" s="26"/>
      <c r="UD139" s="26"/>
      <c r="UE139" s="26"/>
      <c r="UF139" s="26"/>
      <c r="UG139" s="26"/>
      <c r="UH139" s="26"/>
      <c r="UI139" s="26"/>
      <c r="UJ139" s="26"/>
      <c r="UK139" s="26"/>
      <c r="UL139" s="26"/>
      <c r="UM139" s="26"/>
      <c r="UN139" s="26"/>
      <c r="UO139" s="26"/>
      <c r="UP139" s="26"/>
      <c r="UQ139" s="26"/>
      <c r="UR139" s="26"/>
      <c r="US139" s="26"/>
      <c r="UT139" s="26"/>
      <c r="UU139" s="26"/>
      <c r="UV139" s="26"/>
      <c r="UW139" s="26"/>
      <c r="UX139" s="26"/>
      <c r="UY139" s="26"/>
      <c r="UZ139" s="26"/>
      <c r="VA139" s="26"/>
      <c r="VB139" s="26"/>
      <c r="VC139" s="26"/>
      <c r="VD139" s="26"/>
      <c r="VE139" s="26"/>
      <c r="VF139" s="26"/>
      <c r="VG139" s="26"/>
      <c r="VH139" s="26"/>
      <c r="VI139" s="26"/>
      <c r="VJ139" s="26"/>
      <c r="VK139" s="26"/>
      <c r="VL139" s="26"/>
      <c r="VM139" s="26"/>
      <c r="VN139" s="26"/>
      <c r="VO139" s="26"/>
      <c r="VP139" s="26"/>
      <c r="VQ139" s="26"/>
      <c r="VR139" s="26"/>
      <c r="VS139" s="26"/>
      <c r="VT139" s="26"/>
      <c r="VU139" s="26"/>
      <c r="VV139" s="26"/>
      <c r="VW139" s="26"/>
      <c r="VX139" s="26"/>
      <c r="VY139" s="26"/>
      <c r="VZ139" s="26"/>
      <c r="WA139" s="26"/>
      <c r="WB139" s="26"/>
      <c r="WC139" s="26"/>
      <c r="WD139" s="26"/>
      <c r="WE139" s="26"/>
      <c r="WF139" s="26"/>
      <c r="WG139" s="26"/>
      <c r="WH139" s="26"/>
      <c r="WI139" s="26"/>
      <c r="WJ139" s="26"/>
      <c r="WK139" s="26"/>
      <c r="WL139" s="26"/>
      <c r="WM139" s="26"/>
      <c r="WN139" s="26"/>
      <c r="WO139" s="26"/>
      <c r="WP139" s="26"/>
      <c r="WQ139" s="26"/>
      <c r="WR139" s="26"/>
      <c r="WS139" s="26"/>
      <c r="WT139" s="26"/>
      <c r="WU139" s="26"/>
      <c r="WV139" s="26"/>
      <c r="WW139" s="26"/>
      <c r="WX139" s="26"/>
      <c r="WY139" s="26"/>
      <c r="WZ139" s="26"/>
      <c r="XA139" s="26"/>
      <c r="XB139" s="26"/>
      <c r="XC139" s="26"/>
      <c r="XD139" s="26"/>
      <c r="XE139" s="26"/>
      <c r="XF139" s="26"/>
      <c r="XG139" s="26"/>
      <c r="XH139" s="26"/>
      <c r="XI139" s="26"/>
      <c r="XJ139" s="26"/>
      <c r="XK139" s="26"/>
      <c r="XL139" s="26"/>
      <c r="XM139" s="26"/>
      <c r="XN139" s="26"/>
      <c r="XO139" s="26"/>
      <c r="XP139" s="26"/>
      <c r="XQ139" s="26"/>
      <c r="XR139" s="26"/>
      <c r="XS139" s="26"/>
      <c r="XT139" s="26"/>
      <c r="XU139" s="26"/>
      <c r="XV139" s="26"/>
      <c r="XW139" s="26"/>
      <c r="XX139" s="26"/>
      <c r="XY139" s="26"/>
      <c r="XZ139" s="26"/>
      <c r="YA139" s="26"/>
      <c r="YB139" s="26"/>
      <c r="YC139" s="26"/>
      <c r="YD139" s="26"/>
      <c r="YE139" s="26"/>
      <c r="YF139" s="26"/>
      <c r="YG139" s="26"/>
      <c r="YH139" s="26"/>
      <c r="YI139" s="26"/>
      <c r="YJ139" s="26"/>
      <c r="YK139" s="26"/>
      <c r="YL139" s="26"/>
      <c r="YM139" s="26"/>
      <c r="YN139" s="26"/>
      <c r="YO139" s="26"/>
      <c r="YP139" s="26"/>
      <c r="YQ139" s="26"/>
      <c r="YR139" s="26"/>
      <c r="YS139" s="26"/>
      <c r="YT139" s="26"/>
      <c r="YU139" s="26"/>
      <c r="YV139" s="26"/>
      <c r="YW139" s="26"/>
      <c r="YX139" s="26"/>
      <c r="YY139" s="26"/>
      <c r="YZ139" s="26"/>
      <c r="ZA139" s="26"/>
      <c r="ZB139" s="26"/>
      <c r="ZC139" s="26"/>
      <c r="ZD139" s="26"/>
      <c r="ZE139" s="26"/>
      <c r="ZF139" s="26"/>
      <c r="ZG139" s="26"/>
      <c r="ZH139" s="26"/>
      <c r="ZI139" s="26"/>
      <c r="ZJ139" s="26"/>
      <c r="ZK139" s="26"/>
      <c r="ZL139" s="26"/>
      <c r="ZM139" s="26"/>
      <c r="ZN139" s="26"/>
      <c r="ZO139" s="26"/>
      <c r="ZP139" s="26"/>
      <c r="ZQ139" s="26"/>
      <c r="ZR139" s="26"/>
      <c r="ZS139" s="26"/>
      <c r="ZT139" s="26"/>
      <c r="ZU139" s="26"/>
      <c r="ZV139" s="26"/>
      <c r="ZW139" s="26"/>
      <c r="ZX139" s="26"/>
      <c r="ZY139" s="26"/>
      <c r="ZZ139" s="26"/>
      <c r="AAA139" s="26"/>
      <c r="AAB139" s="26"/>
      <c r="AAC139" s="26"/>
      <c r="AAD139" s="26"/>
      <c r="AAE139" s="26"/>
      <c r="AAF139" s="26"/>
      <c r="AAG139" s="26"/>
      <c r="AAH139" s="26"/>
      <c r="AAI139" s="26"/>
      <c r="AAJ139" s="26"/>
      <c r="AAK139" s="26"/>
      <c r="AAL139" s="26"/>
      <c r="AAM139" s="26"/>
      <c r="AAN139" s="26"/>
      <c r="AAO139" s="26"/>
      <c r="AAP139" s="26"/>
      <c r="AAQ139" s="26"/>
      <c r="AAR139" s="26"/>
      <c r="AAS139" s="26"/>
      <c r="AAT139" s="26"/>
      <c r="AAU139" s="26"/>
      <c r="AAV139" s="26"/>
      <c r="AAW139" s="26"/>
      <c r="AAX139" s="26"/>
      <c r="AAY139" s="26"/>
      <c r="AAZ139" s="26"/>
      <c r="ABA139" s="26"/>
      <c r="ABB139" s="26"/>
      <c r="ABC139" s="26"/>
      <c r="ABD139" s="26"/>
      <c r="ABE139" s="26"/>
      <c r="ABF139" s="26"/>
      <c r="ABG139" s="26"/>
      <c r="ABH139" s="26"/>
      <c r="ABI139" s="26"/>
      <c r="ABJ139" s="26"/>
      <c r="ABK139" s="26"/>
      <c r="ABL139" s="26"/>
      <c r="ABM139" s="26"/>
      <c r="ABN139" s="26"/>
      <c r="ABO139" s="26"/>
      <c r="ABP139" s="26"/>
      <c r="ABQ139" s="26"/>
      <c r="ABR139" s="26"/>
      <c r="ABS139" s="26"/>
      <c r="ABT139" s="26"/>
      <c r="ABU139" s="26"/>
      <c r="ABV139" s="26"/>
      <c r="ABW139" s="26"/>
      <c r="ABX139" s="26"/>
      <c r="ABY139" s="26"/>
      <c r="ABZ139" s="26"/>
      <c r="ACA139" s="26"/>
      <c r="ACB139" s="26"/>
      <c r="ACC139" s="26"/>
      <c r="ACD139" s="26"/>
      <c r="ACE139" s="26"/>
      <c r="ACF139" s="26"/>
      <c r="ACG139" s="26"/>
      <c r="ACH139" s="26"/>
      <c r="ACI139" s="26"/>
      <c r="ACJ139" s="26"/>
      <c r="ACK139" s="26"/>
      <c r="ACL139" s="26"/>
      <c r="ACM139" s="26"/>
      <c r="ACN139" s="26"/>
      <c r="ACO139" s="26"/>
      <c r="ACP139" s="26"/>
      <c r="ACQ139" s="26"/>
      <c r="ACR139" s="26"/>
      <c r="ACS139" s="26"/>
      <c r="ACT139" s="26"/>
      <c r="ACU139" s="26"/>
      <c r="ACV139" s="26"/>
      <c r="ACW139" s="26"/>
      <c r="ACX139" s="26"/>
      <c r="ACY139" s="26"/>
      <c r="ACZ139" s="26"/>
      <c r="ADA139" s="26"/>
      <c r="ADB139" s="26"/>
      <c r="ADC139" s="26"/>
      <c r="ADD139" s="26"/>
      <c r="ADE139" s="26"/>
      <c r="ADF139" s="26"/>
      <c r="ADG139" s="26"/>
      <c r="ADH139" s="26"/>
      <c r="ADI139" s="26"/>
      <c r="ADJ139" s="26"/>
      <c r="ADK139" s="26"/>
      <c r="ADL139" s="26"/>
      <c r="ADM139" s="26"/>
      <c r="ADN139" s="26"/>
      <c r="ADO139" s="26"/>
      <c r="ADP139" s="26"/>
      <c r="ADQ139" s="26"/>
      <c r="ADR139" s="26"/>
      <c r="ADS139" s="26"/>
      <c r="ADT139" s="26"/>
      <c r="ADU139" s="26"/>
      <c r="ADV139" s="26"/>
      <c r="ADW139" s="26"/>
      <c r="ADX139" s="26"/>
      <c r="ADY139" s="26"/>
      <c r="ADZ139" s="26"/>
      <c r="AEA139" s="26"/>
      <c r="AEB139" s="26"/>
      <c r="AEC139" s="26"/>
      <c r="AED139" s="26"/>
      <c r="AEE139" s="26"/>
      <c r="AEF139" s="26"/>
      <c r="AEG139" s="26"/>
      <c r="AEH139" s="26"/>
      <c r="AEI139" s="26"/>
      <c r="AEJ139" s="26"/>
      <c r="AEK139" s="26"/>
      <c r="AEL139" s="26"/>
      <c r="AEM139" s="26"/>
      <c r="AEN139" s="26"/>
      <c r="AEO139" s="26"/>
      <c r="AEP139" s="26"/>
      <c r="AEQ139" s="26"/>
      <c r="AER139" s="26"/>
      <c r="AES139" s="26"/>
      <c r="AET139" s="26"/>
      <c r="AEU139" s="26"/>
      <c r="AEV139" s="26"/>
      <c r="AEW139" s="26"/>
      <c r="AEX139" s="26"/>
      <c r="AEY139" s="26"/>
      <c r="AEZ139" s="26"/>
      <c r="AFA139" s="26"/>
      <c r="AFB139" s="26"/>
      <c r="AFC139" s="26"/>
      <c r="AFD139" s="26"/>
      <c r="AFE139" s="26"/>
      <c r="AFF139" s="26"/>
      <c r="AFG139" s="26"/>
      <c r="AFH139" s="26"/>
      <c r="AFI139" s="26"/>
      <c r="AFJ139" s="26"/>
      <c r="AFK139" s="26"/>
      <c r="AFL139" s="26"/>
      <c r="AFM139" s="26"/>
      <c r="AFN139" s="26"/>
      <c r="AFO139" s="26"/>
      <c r="AFP139" s="26"/>
      <c r="AFQ139" s="26"/>
      <c r="AFR139" s="26"/>
      <c r="AFS139" s="26"/>
      <c r="AFT139" s="26"/>
      <c r="AFU139" s="26"/>
      <c r="AFV139" s="26"/>
      <c r="AFW139" s="26"/>
      <c r="AFX139" s="26"/>
      <c r="AFY139" s="26"/>
      <c r="AFZ139" s="26"/>
      <c r="AGA139" s="26"/>
      <c r="AGB139" s="26"/>
      <c r="AGC139" s="26"/>
      <c r="AGD139" s="26"/>
      <c r="AGE139" s="26"/>
      <c r="AGF139" s="26"/>
      <c r="AGG139" s="26"/>
      <c r="AGH139" s="26"/>
      <c r="AGI139" s="26"/>
      <c r="AGJ139" s="26"/>
      <c r="AGK139" s="26"/>
      <c r="AGL139" s="26"/>
      <c r="AGM139" s="26"/>
      <c r="AGN139" s="26"/>
      <c r="AGO139" s="26"/>
      <c r="AGP139" s="26"/>
      <c r="AGQ139" s="26"/>
      <c r="AGR139" s="26"/>
      <c r="AGS139" s="26"/>
      <c r="AGT139" s="26"/>
      <c r="AGU139" s="26"/>
      <c r="AGV139" s="26"/>
      <c r="AGW139" s="26"/>
      <c r="AGX139" s="26"/>
      <c r="AGY139" s="26"/>
      <c r="AGZ139" s="26"/>
      <c r="AHA139" s="26"/>
      <c r="AHB139" s="26"/>
      <c r="AHC139" s="26"/>
      <c r="AHD139" s="26"/>
      <c r="AHE139" s="26"/>
      <c r="AHF139" s="26"/>
      <c r="AHG139" s="26"/>
      <c r="AHH139" s="26"/>
      <c r="AHI139" s="26"/>
      <c r="AHJ139" s="26"/>
      <c r="AHK139" s="26"/>
      <c r="AHL139" s="26"/>
      <c r="AHM139" s="26"/>
      <c r="AHN139" s="26"/>
      <c r="AHO139" s="26"/>
      <c r="AHP139" s="26"/>
      <c r="AHQ139" s="26"/>
      <c r="AHR139" s="26"/>
      <c r="AHS139" s="26"/>
      <c r="AHT139" s="26"/>
      <c r="AHU139" s="26"/>
      <c r="AHV139" s="26"/>
      <c r="AHW139" s="26"/>
      <c r="AHX139" s="26"/>
      <c r="AHY139" s="26"/>
      <c r="AHZ139" s="26"/>
      <c r="AIA139" s="26"/>
      <c r="AIB139" s="26"/>
      <c r="AIC139" s="26"/>
      <c r="AID139" s="26"/>
      <c r="AIE139" s="26"/>
      <c r="AIF139" s="26"/>
      <c r="AIG139" s="26"/>
      <c r="AIH139" s="26"/>
      <c r="AII139" s="26"/>
      <c r="AIJ139" s="26"/>
      <c r="AIK139" s="26"/>
      <c r="AIL139" s="26"/>
      <c r="AIM139" s="26"/>
      <c r="AIN139" s="26"/>
      <c r="AIO139" s="26"/>
      <c r="AIP139" s="26"/>
      <c r="AIQ139" s="26"/>
      <c r="AIR139" s="26"/>
      <c r="AIS139" s="26"/>
      <c r="AIT139" s="26"/>
      <c r="AIU139" s="26"/>
      <c r="AIV139" s="26"/>
      <c r="AIW139" s="26"/>
      <c r="AIX139" s="26"/>
      <c r="AIY139" s="26"/>
      <c r="AIZ139" s="26"/>
      <c r="AJA139" s="26"/>
      <c r="AJB139" s="26"/>
      <c r="AJC139" s="26"/>
      <c r="AJD139" s="26"/>
      <c r="AJE139" s="26"/>
      <c r="AJF139" s="26"/>
      <c r="AJG139" s="26"/>
      <c r="AJH139" s="26"/>
      <c r="AJI139" s="26"/>
      <c r="AJJ139" s="26"/>
      <c r="AJK139" s="26"/>
      <c r="AJL139" s="26"/>
      <c r="AJM139" s="26"/>
      <c r="AJN139" s="26"/>
      <c r="AJO139" s="26"/>
      <c r="AJP139" s="26"/>
      <c r="AJQ139" s="26"/>
      <c r="AJR139" s="26"/>
      <c r="AJS139" s="26"/>
      <c r="AJT139" s="26"/>
      <c r="AJU139" s="26"/>
      <c r="AJV139" s="26"/>
      <c r="AJW139" s="26"/>
      <c r="AJX139" s="26"/>
      <c r="AJY139" s="26"/>
      <c r="AJZ139" s="26"/>
      <c r="AKA139" s="26"/>
      <c r="AKB139" s="26"/>
      <c r="AKC139" s="26"/>
      <c r="AKD139" s="26"/>
      <c r="AKE139" s="26"/>
      <c r="AKF139" s="26"/>
      <c r="AKG139" s="26"/>
      <c r="AKH139" s="26"/>
      <c r="AKI139" s="26"/>
      <c r="AKJ139" s="26"/>
      <c r="AKK139" s="26"/>
      <c r="AKL139" s="26"/>
      <c r="AKM139" s="26"/>
      <c r="AKN139" s="26"/>
      <c r="AKO139" s="26"/>
      <c r="AKP139" s="26"/>
      <c r="AKQ139" s="26"/>
      <c r="AKR139" s="26"/>
      <c r="AKS139" s="26"/>
      <c r="AKT139" s="26"/>
      <c r="AKU139" s="26"/>
      <c r="AKV139" s="26"/>
      <c r="AKW139" s="26"/>
      <c r="AKX139" s="26"/>
      <c r="AKY139" s="26"/>
      <c r="AKZ139" s="26"/>
      <c r="ALA139" s="26"/>
      <c r="ALB139" s="26"/>
      <c r="ALC139" s="26"/>
      <c r="ALD139" s="26"/>
      <c r="ALE139" s="26"/>
      <c r="ALF139" s="26"/>
      <c r="ALG139" s="26"/>
      <c r="ALH139" s="26"/>
      <c r="ALI139" s="26"/>
      <c r="ALJ139" s="26"/>
      <c r="ALK139" s="26"/>
      <c r="ALL139" s="26"/>
      <c r="ALM139" s="26"/>
      <c r="ALN139" s="26"/>
      <c r="ALO139" s="26"/>
      <c r="ALP139" s="26"/>
      <c r="ALQ139" s="26"/>
      <c r="ALR139" s="26"/>
      <c r="ALS139" s="26"/>
      <c r="ALT139" s="26"/>
      <c r="ALU139" s="26"/>
      <c r="ALV139" s="26"/>
      <c r="ALW139" s="26"/>
      <c r="ALX139" s="26"/>
      <c r="ALY139" s="26"/>
      <c r="ALZ139" s="26"/>
      <c r="AMA139" s="26"/>
      <c r="AMB139" s="26"/>
      <c r="AMC139" s="26"/>
      <c r="AMD139" s="26"/>
      <c r="AME139" s="26"/>
      <c r="AMF139" s="26"/>
      <c r="AMG139" s="26"/>
      <c r="AMH139" s="26"/>
      <c r="AMI139" s="26"/>
      <c r="AMJ139" s="26"/>
      <c r="AMK139" s="26"/>
      <c r="AML139" s="26"/>
      <c r="AMM139" s="26"/>
      <c r="AMN139" s="26"/>
      <c r="AMO139" s="26"/>
      <c r="AMP139" s="26"/>
      <c r="AMQ139" s="26"/>
      <c r="AMR139" s="26"/>
      <c r="AMS139" s="26"/>
      <c r="AMT139" s="26"/>
      <c r="AMU139" s="26"/>
      <c r="AMV139" s="26"/>
      <c r="AMW139" s="26"/>
      <c r="AMX139" s="26"/>
      <c r="AMY139" s="26"/>
      <c r="AMZ139" s="26"/>
      <c r="ANA139" s="26"/>
      <c r="ANB139" s="26"/>
      <c r="ANC139" s="26"/>
      <c r="AND139" s="26"/>
      <c r="ANE139" s="26"/>
      <c r="ANF139" s="26"/>
      <c r="ANG139" s="26"/>
      <c r="ANH139" s="26"/>
      <c r="ANI139" s="26"/>
      <c r="ANJ139" s="26"/>
      <c r="ANK139" s="26"/>
      <c r="ANL139" s="26"/>
      <c r="ANM139" s="26"/>
      <c r="ANN139" s="26"/>
      <c r="ANO139" s="26"/>
      <c r="ANP139" s="26"/>
      <c r="ANQ139" s="26"/>
      <c r="ANR139" s="26"/>
      <c r="ANS139" s="26"/>
      <c r="ANT139" s="26"/>
      <c r="ANU139" s="26"/>
      <c r="ANV139" s="26"/>
      <c r="ANW139" s="26"/>
      <c r="ANX139" s="26"/>
      <c r="ANY139" s="26"/>
      <c r="ANZ139" s="26"/>
      <c r="AOA139" s="26"/>
      <c r="AOB139" s="26"/>
      <c r="AOC139" s="26"/>
      <c r="AOD139" s="26"/>
      <c r="AOE139" s="26"/>
      <c r="AOF139" s="26"/>
      <c r="AOG139" s="26"/>
      <c r="AOH139" s="26"/>
      <c r="AOI139" s="26"/>
      <c r="AOJ139" s="26"/>
      <c r="AOK139" s="26"/>
      <c r="AOL139" s="26"/>
      <c r="AOM139" s="26"/>
      <c r="AON139" s="26"/>
      <c r="AOO139" s="26"/>
      <c r="AOP139" s="26"/>
      <c r="AOQ139" s="26"/>
      <c r="AOR139" s="26"/>
      <c r="AOS139" s="26"/>
      <c r="AOT139" s="26"/>
      <c r="AOU139" s="26"/>
      <c r="AOV139" s="26"/>
      <c r="AOW139" s="26"/>
      <c r="AOX139" s="26"/>
      <c r="AOY139" s="26"/>
      <c r="AOZ139" s="26"/>
      <c r="APA139" s="26"/>
      <c r="APB139" s="26"/>
      <c r="APC139" s="26"/>
      <c r="APD139" s="26"/>
      <c r="APE139" s="26"/>
      <c r="APF139" s="26"/>
      <c r="APG139" s="26"/>
      <c r="APH139" s="26"/>
      <c r="API139" s="26"/>
      <c r="APJ139" s="26"/>
      <c r="APK139" s="26"/>
      <c r="APL139" s="26"/>
      <c r="APM139" s="26"/>
      <c r="APN139" s="26"/>
      <c r="APO139" s="26"/>
      <c r="APP139" s="26"/>
      <c r="APQ139" s="26"/>
      <c r="APR139" s="26"/>
      <c r="APS139" s="26"/>
      <c r="APT139" s="26"/>
      <c r="APU139" s="26"/>
      <c r="APV139" s="26"/>
      <c r="APW139" s="26"/>
      <c r="APX139" s="26"/>
      <c r="APY139" s="26"/>
      <c r="APZ139" s="26"/>
      <c r="AQA139" s="26"/>
      <c r="AQB139" s="26"/>
      <c r="AQC139" s="26"/>
      <c r="AQD139" s="26"/>
      <c r="AQE139" s="26"/>
      <c r="AQF139" s="26"/>
      <c r="AQG139" s="26"/>
      <c r="AQH139" s="26"/>
      <c r="AQI139" s="26"/>
      <c r="AQJ139" s="26"/>
      <c r="AQK139" s="26"/>
      <c r="AQL139" s="26"/>
      <c r="AQM139" s="26"/>
      <c r="AQN139" s="26"/>
      <c r="AQO139" s="26"/>
      <c r="AQP139" s="26"/>
      <c r="AQQ139" s="26"/>
      <c r="AQR139" s="26"/>
      <c r="AQS139" s="26"/>
      <c r="AQT139" s="26"/>
      <c r="AQU139" s="26"/>
      <c r="AQV139" s="26"/>
      <c r="AQW139" s="26"/>
      <c r="AQX139" s="26"/>
      <c r="AQY139" s="26"/>
      <c r="AQZ139" s="26"/>
      <c r="ARA139" s="26"/>
      <c r="ARB139" s="26"/>
      <c r="ARC139" s="26"/>
      <c r="ARD139" s="26"/>
      <c r="ARE139" s="26"/>
      <c r="ARF139" s="26"/>
      <c r="ARG139" s="26"/>
      <c r="ARH139" s="26"/>
      <c r="ARI139" s="26"/>
      <c r="ARJ139" s="26"/>
      <c r="ARK139" s="26"/>
      <c r="ARL139" s="26"/>
      <c r="ARM139" s="26"/>
      <c r="ARN139" s="26"/>
      <c r="ARO139" s="26"/>
      <c r="ARP139" s="26"/>
      <c r="ARQ139" s="26"/>
      <c r="ARR139" s="26"/>
      <c r="ARS139" s="26"/>
      <c r="ART139" s="26"/>
      <c r="ARU139" s="26"/>
      <c r="ARV139" s="26"/>
      <c r="ARW139" s="26"/>
      <c r="ARX139" s="26"/>
      <c r="ARY139" s="26"/>
      <c r="ARZ139" s="26"/>
      <c r="ASA139" s="26"/>
      <c r="ASB139" s="26"/>
      <c r="ASC139" s="26"/>
      <c r="ASD139" s="26"/>
      <c r="ASE139" s="26"/>
      <c r="ASF139" s="26"/>
      <c r="ASG139" s="26"/>
      <c r="ASH139" s="26"/>
      <c r="ASI139" s="26"/>
      <c r="ASJ139" s="26"/>
      <c r="ASK139" s="26"/>
      <c r="ASL139" s="26"/>
      <c r="ASM139" s="26"/>
      <c r="ASN139" s="26"/>
      <c r="ASO139" s="26"/>
      <c r="ASP139" s="26"/>
      <c r="ASQ139" s="26"/>
      <c r="ASR139" s="26"/>
      <c r="ASS139" s="26"/>
      <c r="AST139" s="26"/>
      <c r="ASU139" s="26"/>
      <c r="ASV139" s="26"/>
      <c r="ASW139" s="26"/>
      <c r="ASX139" s="26"/>
      <c r="ASY139" s="26"/>
      <c r="ASZ139" s="26"/>
      <c r="ATA139" s="26"/>
      <c r="ATB139" s="26"/>
      <c r="ATC139" s="26"/>
      <c r="ATD139" s="26"/>
      <c r="ATE139" s="26"/>
      <c r="ATF139" s="26"/>
      <c r="ATG139" s="26"/>
      <c r="ATH139" s="26"/>
      <c r="ATI139" s="26"/>
      <c r="ATJ139" s="26"/>
      <c r="ATK139" s="26"/>
      <c r="ATL139" s="26"/>
      <c r="ATM139" s="26"/>
      <c r="ATN139" s="26"/>
      <c r="ATO139" s="26"/>
      <c r="ATP139" s="26"/>
      <c r="ATQ139" s="26"/>
      <c r="ATR139" s="26"/>
      <c r="ATS139" s="26"/>
      <c r="ATT139" s="26"/>
      <c r="ATU139" s="26"/>
      <c r="ATV139" s="26"/>
      <c r="ATW139" s="26"/>
      <c r="ATX139" s="26"/>
      <c r="ATY139" s="26"/>
      <c r="ATZ139" s="26"/>
      <c r="AUA139" s="26"/>
      <c r="AUB139" s="26"/>
      <c r="AUC139" s="26"/>
      <c r="AUD139" s="26"/>
      <c r="AUE139" s="26"/>
      <c r="AUF139" s="26"/>
      <c r="AUG139" s="26"/>
      <c r="AUH139" s="26"/>
      <c r="AUI139" s="26"/>
      <c r="AUJ139" s="26"/>
      <c r="AUK139" s="26"/>
      <c r="AUL139" s="26"/>
      <c r="AUM139" s="26"/>
      <c r="AUN139" s="26"/>
      <c r="AUO139" s="26"/>
      <c r="AUP139" s="26"/>
      <c r="AUQ139" s="26"/>
      <c r="AUR139" s="26"/>
      <c r="AUS139" s="26"/>
      <c r="AUT139" s="26"/>
      <c r="AUU139" s="26"/>
      <c r="AUV139" s="26"/>
      <c r="AUW139" s="26"/>
      <c r="AUX139" s="26"/>
      <c r="AUY139" s="26"/>
      <c r="AUZ139" s="26"/>
      <c r="AVA139" s="26"/>
      <c r="AVB139" s="26"/>
      <c r="AVC139" s="26"/>
      <c r="AVD139" s="26"/>
      <c r="AVE139" s="26"/>
      <c r="AVF139" s="26"/>
      <c r="AVG139" s="26"/>
      <c r="AVH139" s="26"/>
      <c r="AVI139" s="26"/>
      <c r="AVJ139" s="26"/>
      <c r="AVK139" s="26"/>
      <c r="AVL139" s="26"/>
      <c r="AVM139" s="26"/>
      <c r="AVN139" s="26"/>
      <c r="AVO139" s="26"/>
      <c r="AVP139" s="26"/>
      <c r="AVQ139" s="26"/>
      <c r="AVR139" s="26"/>
      <c r="AVS139" s="26"/>
      <c r="AVT139" s="26"/>
      <c r="AVU139" s="26"/>
      <c r="AVV139" s="26"/>
      <c r="AVW139" s="26"/>
      <c r="AVX139" s="26"/>
      <c r="AVY139" s="26"/>
      <c r="AVZ139" s="26"/>
      <c r="AWA139" s="26"/>
      <c r="AWB139" s="26"/>
      <c r="AWC139" s="26"/>
      <c r="AWD139" s="26"/>
      <c r="AWE139" s="26"/>
      <c r="AWF139" s="26"/>
      <c r="AWG139" s="26"/>
      <c r="AWH139" s="26"/>
      <c r="AWI139" s="26"/>
      <c r="AWJ139" s="26"/>
      <c r="AWK139" s="26"/>
      <c r="AWL139" s="26"/>
      <c r="AWM139" s="26"/>
      <c r="AWN139" s="26"/>
      <c r="AWO139" s="26"/>
      <c r="AWP139" s="26"/>
      <c r="AWQ139" s="26"/>
      <c r="AWR139" s="26"/>
      <c r="AWS139" s="26"/>
      <c r="AWT139" s="26"/>
      <c r="AWU139" s="26"/>
      <c r="AWV139" s="26"/>
      <c r="AWW139" s="26"/>
      <c r="AWX139" s="26"/>
      <c r="AWY139" s="26"/>
      <c r="AWZ139" s="26"/>
      <c r="AXA139" s="26"/>
      <c r="AXB139" s="26"/>
      <c r="AXC139" s="26"/>
      <c r="AXD139" s="26"/>
      <c r="AXE139" s="26"/>
      <c r="AXF139" s="26"/>
      <c r="AXG139" s="26"/>
      <c r="AXH139" s="26"/>
      <c r="AXI139" s="26"/>
      <c r="AXJ139" s="26"/>
      <c r="AXK139" s="26"/>
      <c r="AXL139" s="26"/>
      <c r="AXM139" s="26"/>
      <c r="AXN139" s="26"/>
      <c r="AXO139" s="26"/>
      <c r="AXP139" s="26"/>
      <c r="AXQ139" s="26"/>
      <c r="AXR139" s="26"/>
      <c r="AXS139" s="26"/>
      <c r="AXT139" s="26"/>
      <c r="AXU139" s="26"/>
      <c r="AXV139" s="26"/>
      <c r="AXW139" s="26"/>
      <c r="AXX139" s="26"/>
      <c r="AXY139" s="26"/>
      <c r="AXZ139" s="26"/>
      <c r="AYA139" s="26"/>
      <c r="AYB139" s="26"/>
      <c r="AYC139" s="26"/>
      <c r="AYD139" s="26"/>
      <c r="AYE139" s="26"/>
      <c r="AYF139" s="26"/>
      <c r="AYG139" s="26"/>
      <c r="AYH139" s="26"/>
      <c r="AYI139" s="26"/>
      <c r="AYJ139" s="26"/>
      <c r="AYK139" s="26"/>
      <c r="AYL139" s="26"/>
      <c r="AYM139" s="26"/>
      <c r="AYN139" s="26"/>
      <c r="AYO139" s="26"/>
      <c r="AYP139" s="26"/>
      <c r="AYQ139" s="26"/>
      <c r="AYR139" s="26"/>
      <c r="AYS139" s="26"/>
      <c r="AYT139" s="26"/>
      <c r="AYU139" s="26"/>
      <c r="AYV139" s="26"/>
      <c r="AYW139" s="26"/>
      <c r="AYX139" s="26"/>
      <c r="AYY139" s="26"/>
      <c r="AYZ139" s="26"/>
      <c r="AZA139" s="26"/>
      <c r="AZB139" s="26"/>
      <c r="AZC139" s="26"/>
      <c r="AZD139" s="26"/>
      <c r="AZE139" s="26"/>
      <c r="AZF139" s="26"/>
      <c r="AZG139" s="26"/>
      <c r="AZH139" s="26"/>
      <c r="AZI139" s="26"/>
      <c r="AZJ139" s="26"/>
      <c r="AZK139" s="26"/>
      <c r="AZL139" s="26"/>
      <c r="AZM139" s="26"/>
      <c r="AZN139" s="26"/>
      <c r="AZO139" s="26"/>
      <c r="AZP139" s="26"/>
      <c r="AZQ139" s="26"/>
      <c r="AZR139" s="26"/>
      <c r="AZS139" s="26"/>
      <c r="AZT139" s="26"/>
      <c r="AZU139" s="26"/>
      <c r="AZV139" s="26"/>
      <c r="AZW139" s="26"/>
      <c r="AZX139" s="26"/>
      <c r="AZY139" s="26"/>
      <c r="AZZ139" s="26"/>
      <c r="BAA139" s="26"/>
      <c r="BAB139" s="26"/>
      <c r="BAC139" s="26"/>
      <c r="BAD139" s="26"/>
      <c r="BAE139" s="26"/>
      <c r="BAF139" s="26"/>
      <c r="BAG139" s="26"/>
      <c r="BAH139" s="26"/>
      <c r="BAI139" s="26"/>
      <c r="BAJ139" s="26"/>
      <c r="BAK139" s="26"/>
      <c r="BAL139" s="26"/>
      <c r="BAM139" s="26"/>
      <c r="BAN139" s="26"/>
      <c r="BAO139" s="26"/>
      <c r="BAP139" s="26"/>
      <c r="BAQ139" s="26"/>
      <c r="BAR139" s="26"/>
      <c r="BAS139" s="26"/>
      <c r="BAT139" s="26"/>
      <c r="BAU139" s="26"/>
      <c r="BAV139" s="26"/>
      <c r="BAW139" s="26"/>
      <c r="BAX139" s="26"/>
      <c r="BAY139" s="26"/>
      <c r="BAZ139" s="26"/>
      <c r="BBA139" s="26"/>
      <c r="BBB139" s="26"/>
      <c r="BBC139" s="26"/>
      <c r="BBD139" s="26"/>
      <c r="BBE139" s="26"/>
      <c r="BBF139" s="26"/>
      <c r="BBG139" s="26"/>
      <c r="BBH139" s="26"/>
      <c r="BBI139" s="26"/>
      <c r="BBJ139" s="26"/>
      <c r="BBK139" s="26"/>
      <c r="BBL139" s="26"/>
      <c r="BBM139" s="26"/>
      <c r="BBN139" s="26"/>
      <c r="BBO139" s="26"/>
      <c r="BBP139" s="26"/>
      <c r="BBQ139" s="26"/>
      <c r="BBR139" s="26"/>
      <c r="BBS139" s="26"/>
      <c r="BBT139" s="26"/>
      <c r="BBU139" s="26"/>
      <c r="BBV139" s="26"/>
      <c r="BBW139" s="26"/>
      <c r="BBX139" s="26"/>
      <c r="BBY139" s="26"/>
      <c r="BBZ139" s="26"/>
      <c r="BCA139" s="26"/>
      <c r="BCB139" s="26"/>
      <c r="BCC139" s="26"/>
      <c r="BCD139" s="26"/>
      <c r="BCE139" s="26"/>
      <c r="BCF139" s="26"/>
      <c r="BCG139" s="26"/>
      <c r="BCH139" s="26"/>
      <c r="BCI139" s="26"/>
      <c r="BCJ139" s="26"/>
      <c r="BCK139" s="26"/>
      <c r="BCL139" s="26"/>
      <c r="BCM139" s="26"/>
      <c r="BCN139" s="26"/>
      <c r="BCO139" s="26"/>
      <c r="BCP139" s="26"/>
      <c r="BCQ139" s="26"/>
      <c r="BCR139" s="26"/>
      <c r="BCS139" s="26"/>
      <c r="BCT139" s="26"/>
      <c r="BCU139" s="26"/>
      <c r="BCV139" s="26"/>
      <c r="BCW139" s="26"/>
      <c r="BCX139" s="26"/>
      <c r="BCY139" s="26"/>
      <c r="BCZ139" s="26"/>
      <c r="BDA139" s="26"/>
      <c r="BDB139" s="26"/>
      <c r="BDC139" s="26"/>
      <c r="BDD139" s="26"/>
      <c r="BDE139" s="26"/>
      <c r="BDF139" s="26"/>
      <c r="BDG139" s="26"/>
      <c r="BDH139" s="26"/>
      <c r="BDI139" s="26"/>
      <c r="BDJ139" s="26"/>
      <c r="BDK139" s="26"/>
      <c r="BDL139" s="26"/>
      <c r="BDM139" s="26"/>
      <c r="BDN139" s="26"/>
      <c r="BDO139" s="26"/>
      <c r="BDP139" s="26"/>
      <c r="BDQ139" s="26"/>
      <c r="BDR139" s="26"/>
      <c r="BDS139" s="26"/>
      <c r="BDT139" s="26"/>
      <c r="BDU139" s="26"/>
      <c r="BDV139" s="26"/>
      <c r="BDW139" s="26"/>
      <c r="BDX139" s="26"/>
      <c r="BDY139" s="26"/>
      <c r="BDZ139" s="26"/>
      <c r="BEA139" s="26"/>
      <c r="BEB139" s="26"/>
      <c r="BEC139" s="26"/>
      <c r="BED139" s="26"/>
      <c r="BEE139" s="26"/>
      <c r="BEF139" s="26"/>
      <c r="BEG139" s="26"/>
      <c r="BEH139" s="26"/>
      <c r="BEI139" s="26"/>
      <c r="BEJ139" s="26"/>
      <c r="BEK139" s="26"/>
      <c r="BEL139" s="26"/>
      <c r="BEM139" s="26"/>
      <c r="BEN139" s="26"/>
      <c r="BEO139" s="26"/>
      <c r="BEP139" s="26"/>
      <c r="BEQ139" s="26"/>
      <c r="BER139" s="26"/>
      <c r="BES139" s="26"/>
      <c r="BET139" s="26"/>
      <c r="BEU139" s="26"/>
      <c r="BEV139" s="26"/>
      <c r="BEW139" s="26"/>
      <c r="BEX139" s="26"/>
      <c r="BEY139" s="26"/>
      <c r="BEZ139" s="26"/>
      <c r="BFA139" s="26"/>
      <c r="BFB139" s="26"/>
      <c r="BFC139" s="26"/>
      <c r="BFD139" s="26"/>
      <c r="BFE139" s="26"/>
      <c r="BFF139" s="26"/>
      <c r="BFG139" s="26"/>
      <c r="BFH139" s="26"/>
      <c r="BFI139" s="26"/>
      <c r="BFJ139" s="26"/>
      <c r="BFK139" s="26"/>
      <c r="BFL139" s="26"/>
      <c r="BFM139" s="26"/>
      <c r="BFN139" s="26"/>
      <c r="BFO139" s="26"/>
      <c r="BFP139" s="26"/>
      <c r="BFQ139" s="26"/>
      <c r="BFR139" s="26"/>
      <c r="BFS139" s="26"/>
      <c r="BFT139" s="26"/>
      <c r="BFU139" s="26"/>
      <c r="BFV139" s="26"/>
      <c r="BFW139" s="26"/>
      <c r="BFX139" s="26"/>
      <c r="BFY139" s="26"/>
      <c r="BFZ139" s="26"/>
      <c r="BGA139" s="26"/>
      <c r="BGB139" s="26"/>
      <c r="BGC139" s="26"/>
      <c r="BGD139" s="26"/>
      <c r="BGE139" s="26"/>
      <c r="BGF139" s="26"/>
      <c r="BGG139" s="26"/>
      <c r="BGH139" s="26"/>
      <c r="BGI139" s="26"/>
      <c r="BGJ139" s="26"/>
      <c r="BGK139" s="26"/>
      <c r="BGL139" s="26"/>
      <c r="BGM139" s="26"/>
      <c r="BGN139" s="26"/>
      <c r="BGO139" s="26"/>
      <c r="BGP139" s="26"/>
      <c r="BGQ139" s="26"/>
      <c r="BGR139" s="26"/>
      <c r="BGS139" s="26"/>
      <c r="BGT139" s="26"/>
      <c r="BGU139" s="26"/>
      <c r="BGV139" s="26"/>
      <c r="BGW139" s="26"/>
      <c r="BGX139" s="26"/>
      <c r="BGY139" s="26"/>
      <c r="BGZ139" s="26"/>
      <c r="BHA139" s="26"/>
      <c r="BHB139" s="26"/>
      <c r="BHC139" s="26"/>
      <c r="BHD139" s="26"/>
      <c r="BHE139" s="26"/>
      <c r="BHF139" s="26"/>
      <c r="BHG139" s="26"/>
      <c r="BHH139" s="26"/>
      <c r="BHI139" s="26"/>
      <c r="BHJ139" s="26"/>
      <c r="BHK139" s="26"/>
      <c r="BHL139" s="26"/>
      <c r="BHM139" s="26"/>
      <c r="BHN139" s="26"/>
      <c r="BHO139" s="26"/>
      <c r="BHP139" s="26"/>
      <c r="BHQ139" s="26"/>
      <c r="BHR139" s="26"/>
      <c r="BHS139" s="26"/>
      <c r="BHT139" s="26"/>
      <c r="BHU139" s="26"/>
      <c r="BHV139" s="26"/>
      <c r="BHW139" s="26"/>
      <c r="BHX139" s="26"/>
      <c r="BHY139" s="26"/>
      <c r="BHZ139" s="26"/>
      <c r="BIA139" s="26"/>
      <c r="BIB139" s="26"/>
      <c r="BIC139" s="26"/>
      <c r="BID139" s="26"/>
      <c r="BIE139" s="26"/>
      <c r="BIF139" s="26"/>
      <c r="BIG139" s="26"/>
      <c r="BIH139" s="26"/>
      <c r="BII139" s="26"/>
      <c r="BIJ139" s="26"/>
      <c r="BIK139" s="26"/>
      <c r="BIL139" s="26"/>
      <c r="BIM139" s="26"/>
      <c r="BIN139" s="26"/>
      <c r="BIO139" s="26"/>
      <c r="BIP139" s="26"/>
      <c r="BIQ139" s="26"/>
      <c r="BIR139" s="26"/>
      <c r="BIS139" s="26"/>
      <c r="BIT139" s="26"/>
      <c r="BIU139" s="26"/>
      <c r="BIV139" s="26"/>
      <c r="BIW139" s="26"/>
      <c r="BIX139" s="26"/>
      <c r="BIY139" s="26"/>
      <c r="BIZ139" s="26"/>
      <c r="BJA139" s="26"/>
      <c r="BJB139" s="26"/>
      <c r="BJC139" s="26"/>
      <c r="BJD139" s="26"/>
      <c r="BJE139" s="26"/>
      <c r="BJF139" s="26"/>
      <c r="BJG139" s="26"/>
      <c r="BJH139" s="26"/>
      <c r="BJI139" s="26"/>
      <c r="BJJ139" s="26"/>
      <c r="BJK139" s="26"/>
      <c r="BJL139" s="26"/>
      <c r="BJM139" s="26"/>
      <c r="BJN139" s="26"/>
      <c r="BJO139" s="26"/>
      <c r="BJP139" s="26"/>
      <c r="BJQ139" s="26"/>
      <c r="BJR139" s="26"/>
      <c r="BJS139" s="26"/>
      <c r="BJT139" s="26"/>
      <c r="BJU139" s="26"/>
      <c r="BJV139" s="26"/>
      <c r="BJW139" s="26"/>
      <c r="BJX139" s="26"/>
      <c r="BJY139" s="26"/>
      <c r="BJZ139" s="26"/>
      <c r="BKA139" s="26"/>
      <c r="BKB139" s="26"/>
      <c r="BKC139" s="26"/>
      <c r="BKD139" s="26"/>
      <c r="BKE139" s="26"/>
      <c r="BKF139" s="26"/>
      <c r="BKG139" s="26"/>
      <c r="BKH139" s="26"/>
      <c r="BKI139" s="26"/>
      <c r="BKJ139" s="26"/>
      <c r="BKK139" s="26"/>
      <c r="BKL139" s="26"/>
      <c r="BKM139" s="26"/>
      <c r="BKN139" s="26"/>
      <c r="BKO139" s="26"/>
      <c r="BKP139" s="26"/>
      <c r="BKQ139" s="26"/>
      <c r="BKR139" s="26"/>
      <c r="BKS139" s="26"/>
      <c r="BKT139" s="26"/>
      <c r="BKU139" s="26"/>
      <c r="BKV139" s="26"/>
      <c r="BKW139" s="26"/>
      <c r="BKX139" s="26"/>
      <c r="BKY139" s="26"/>
      <c r="BKZ139" s="26"/>
      <c r="BLA139" s="26"/>
      <c r="BLB139" s="26"/>
      <c r="BLC139" s="26"/>
      <c r="BLD139" s="26"/>
      <c r="BLE139" s="26"/>
      <c r="BLF139" s="26"/>
      <c r="BLG139" s="26"/>
      <c r="BLH139" s="26"/>
      <c r="BLI139" s="26"/>
      <c r="BLJ139" s="26"/>
      <c r="BLK139" s="26"/>
      <c r="BLL139" s="26"/>
      <c r="BLM139" s="26"/>
      <c r="BLN139" s="26"/>
      <c r="BLO139" s="26"/>
      <c r="BLP139" s="26"/>
      <c r="BLQ139" s="26"/>
      <c r="BLR139" s="26"/>
      <c r="BLS139" s="26"/>
      <c r="BLT139" s="26"/>
      <c r="BLU139" s="26"/>
      <c r="BLV139" s="26"/>
      <c r="BLW139" s="26"/>
      <c r="BLX139" s="26"/>
      <c r="BLY139" s="26"/>
      <c r="BLZ139" s="26"/>
      <c r="BMA139" s="26"/>
      <c r="BMB139" s="26"/>
      <c r="BMC139" s="26"/>
      <c r="BMD139" s="26"/>
      <c r="BME139" s="26"/>
      <c r="BMF139" s="26"/>
      <c r="BMG139" s="26"/>
      <c r="BMH139" s="26"/>
      <c r="BMI139" s="26"/>
      <c r="BMJ139" s="26"/>
      <c r="BMK139" s="26"/>
      <c r="BML139" s="26"/>
      <c r="BMM139" s="26"/>
      <c r="BMN139" s="26"/>
      <c r="BMO139" s="26"/>
      <c r="BMP139" s="26"/>
      <c r="BMQ139" s="26"/>
      <c r="BMR139" s="26"/>
      <c r="BMS139" s="26"/>
      <c r="BMT139" s="26"/>
      <c r="BMU139" s="26"/>
      <c r="BMV139" s="26"/>
      <c r="BMW139" s="26"/>
      <c r="BMX139" s="26"/>
      <c r="BMY139" s="26"/>
      <c r="BMZ139" s="26"/>
      <c r="BNA139" s="26"/>
      <c r="BNB139" s="26"/>
      <c r="BNC139" s="26"/>
      <c r="BND139" s="26"/>
      <c r="BNE139" s="26"/>
      <c r="BNF139" s="26"/>
      <c r="BNG139" s="26"/>
      <c r="BNH139" s="26"/>
      <c r="BNI139" s="26"/>
      <c r="BNJ139" s="26"/>
      <c r="BNK139" s="26"/>
      <c r="BNL139" s="26"/>
      <c r="BNM139" s="26"/>
      <c r="BNN139" s="26"/>
      <c r="BNO139" s="26"/>
      <c r="BNP139" s="26"/>
      <c r="BNQ139" s="26"/>
      <c r="BNR139" s="26"/>
      <c r="BNS139" s="26"/>
      <c r="BNT139" s="26"/>
      <c r="BNU139" s="26"/>
      <c r="BNV139" s="26"/>
      <c r="BNW139" s="26"/>
      <c r="BNX139" s="26"/>
      <c r="BNY139" s="26"/>
      <c r="BNZ139" s="26"/>
      <c r="BOA139" s="26"/>
      <c r="BOB139" s="26"/>
      <c r="BOC139" s="26"/>
      <c r="BOD139" s="26"/>
      <c r="BOE139" s="26"/>
      <c r="BOF139" s="26"/>
      <c r="BOG139" s="26"/>
      <c r="BOH139" s="26"/>
      <c r="BOI139" s="26"/>
      <c r="BOJ139" s="26"/>
      <c r="BOK139" s="26"/>
      <c r="BOL139" s="26"/>
      <c r="BOM139" s="26"/>
      <c r="BON139" s="26"/>
      <c r="BOO139" s="26"/>
      <c r="BOP139" s="26"/>
      <c r="BOQ139" s="26"/>
      <c r="BOR139" s="26"/>
      <c r="BOS139" s="26"/>
      <c r="BOT139" s="26"/>
      <c r="BOU139" s="26"/>
      <c r="BOV139" s="26"/>
      <c r="BOW139" s="26"/>
      <c r="BOX139" s="26"/>
      <c r="BOY139" s="26"/>
      <c r="BOZ139" s="26"/>
      <c r="BPA139" s="26"/>
      <c r="BPB139" s="26"/>
      <c r="BPC139" s="26"/>
      <c r="BPD139" s="26"/>
      <c r="BPE139" s="26"/>
      <c r="BPF139" s="26"/>
      <c r="BPG139" s="26"/>
      <c r="BPH139" s="26"/>
      <c r="BPI139" s="26"/>
      <c r="BPJ139" s="26"/>
      <c r="BPK139" s="26"/>
      <c r="BPL139" s="26"/>
      <c r="BPM139" s="26"/>
      <c r="BPN139" s="26"/>
      <c r="BPO139" s="26"/>
      <c r="BPP139" s="26"/>
      <c r="BPQ139" s="26"/>
      <c r="BPR139" s="26"/>
      <c r="BPS139" s="26"/>
      <c r="BPT139" s="26"/>
      <c r="BPU139" s="26"/>
      <c r="BPV139" s="26"/>
      <c r="BPW139" s="26"/>
      <c r="BPX139" s="26"/>
      <c r="BPY139" s="26"/>
      <c r="BPZ139" s="26"/>
      <c r="BQA139" s="26"/>
      <c r="BQB139" s="26"/>
      <c r="BQC139" s="26"/>
      <c r="BQD139" s="26"/>
      <c r="BQE139" s="26"/>
      <c r="BQF139" s="26"/>
      <c r="BQG139" s="26"/>
      <c r="BQH139" s="26"/>
      <c r="BQI139" s="26"/>
      <c r="BQJ139" s="26"/>
      <c r="BQK139" s="26"/>
      <c r="BQL139" s="26"/>
      <c r="BQM139" s="26"/>
      <c r="BQN139" s="26"/>
      <c r="BQO139" s="26"/>
      <c r="BQP139" s="26"/>
      <c r="BQQ139" s="26"/>
      <c r="BQR139" s="26"/>
      <c r="BQS139" s="26"/>
      <c r="BQT139" s="26"/>
      <c r="BQU139" s="26"/>
      <c r="BQV139" s="26"/>
      <c r="BQW139" s="26"/>
      <c r="BQX139" s="26"/>
      <c r="BQY139" s="26"/>
      <c r="BQZ139" s="26"/>
      <c r="BRA139" s="26"/>
      <c r="BRB139" s="26"/>
      <c r="BRC139" s="26"/>
      <c r="BRD139" s="26"/>
      <c r="BRE139" s="26"/>
      <c r="BRF139" s="26"/>
      <c r="BRG139" s="26"/>
      <c r="BRH139" s="26"/>
      <c r="BRI139" s="26"/>
      <c r="BRJ139" s="26"/>
      <c r="BRK139" s="26"/>
      <c r="BRL139" s="26"/>
      <c r="BRM139" s="26"/>
      <c r="BRN139" s="26"/>
      <c r="BRO139" s="26"/>
      <c r="BRP139" s="26"/>
      <c r="BRQ139" s="26"/>
      <c r="BRR139" s="26"/>
      <c r="BRS139" s="26"/>
      <c r="BRT139" s="26"/>
      <c r="BRU139" s="26"/>
      <c r="BRV139" s="26"/>
      <c r="BRW139" s="26"/>
      <c r="BRX139" s="26"/>
      <c r="BRY139" s="26"/>
      <c r="BRZ139" s="26"/>
      <c r="BSA139" s="26"/>
      <c r="BSB139" s="26"/>
      <c r="BSC139" s="26"/>
      <c r="BSD139" s="26"/>
      <c r="BSE139" s="26"/>
      <c r="BSF139" s="26"/>
      <c r="BSG139" s="26"/>
      <c r="BSH139" s="26"/>
      <c r="BSI139" s="26"/>
      <c r="BSJ139" s="26"/>
      <c r="BSK139" s="26"/>
      <c r="BSL139" s="26"/>
      <c r="BSM139" s="26"/>
      <c r="BSN139" s="26"/>
      <c r="BSO139" s="26"/>
      <c r="BSP139" s="26"/>
      <c r="BSQ139" s="26"/>
      <c r="BSR139" s="26"/>
      <c r="BSS139" s="26"/>
      <c r="BST139" s="26"/>
      <c r="BSU139" s="26"/>
      <c r="BSV139" s="26"/>
      <c r="BSW139" s="26"/>
      <c r="BSX139" s="26"/>
      <c r="BSY139" s="26"/>
      <c r="BSZ139" s="26"/>
      <c r="BTA139" s="26"/>
      <c r="BTB139" s="26"/>
      <c r="BTC139" s="26"/>
      <c r="BTD139" s="26"/>
      <c r="BTE139" s="26"/>
      <c r="BTF139" s="26"/>
      <c r="BTG139" s="26"/>
      <c r="BTH139" s="26"/>
      <c r="BTI139" s="26"/>
      <c r="BTJ139" s="26"/>
      <c r="BTK139" s="26"/>
      <c r="BTL139" s="26"/>
      <c r="BTM139" s="26"/>
      <c r="BTN139" s="26"/>
      <c r="BTO139" s="26"/>
      <c r="BTP139" s="26"/>
      <c r="BTQ139" s="26"/>
      <c r="BTR139" s="26"/>
      <c r="BTS139" s="26"/>
      <c r="BTT139" s="26"/>
      <c r="BTU139" s="26"/>
      <c r="BTV139" s="26"/>
      <c r="BTW139" s="26"/>
      <c r="BTX139" s="26"/>
      <c r="BTY139" s="26"/>
      <c r="BTZ139" s="26"/>
      <c r="BUA139" s="26"/>
      <c r="BUB139" s="26"/>
      <c r="BUC139" s="26"/>
      <c r="BUD139" s="26"/>
      <c r="BUE139" s="26"/>
      <c r="BUF139" s="26"/>
      <c r="BUG139" s="26"/>
      <c r="BUH139" s="26"/>
      <c r="BUI139" s="26"/>
      <c r="BUJ139" s="26"/>
      <c r="BUK139" s="26"/>
      <c r="BUL139" s="26"/>
      <c r="BUM139" s="26"/>
      <c r="BUN139" s="26"/>
      <c r="BUO139" s="26"/>
      <c r="BUP139" s="26"/>
      <c r="BUQ139" s="26"/>
      <c r="BUR139" s="26"/>
      <c r="BUS139" s="26"/>
      <c r="BUT139" s="26"/>
      <c r="BUU139" s="26"/>
      <c r="BUV139" s="26"/>
      <c r="BUW139" s="26"/>
      <c r="BUX139" s="26"/>
      <c r="BUY139" s="26"/>
      <c r="BUZ139" s="26"/>
      <c r="BVA139" s="26"/>
      <c r="BVB139" s="26"/>
      <c r="BVC139" s="26"/>
      <c r="BVD139" s="26"/>
      <c r="BVE139" s="26"/>
      <c r="BVF139" s="26"/>
      <c r="BVG139" s="26"/>
      <c r="BVH139" s="26"/>
      <c r="BVI139" s="26"/>
      <c r="BVJ139" s="26"/>
      <c r="BVK139" s="26"/>
      <c r="BVL139" s="26"/>
      <c r="BVM139" s="26"/>
      <c r="BVN139" s="26"/>
      <c r="BVO139" s="26"/>
      <c r="BVP139" s="26"/>
      <c r="BVQ139" s="26"/>
      <c r="BVR139" s="26"/>
      <c r="BVS139" s="26"/>
      <c r="BVT139" s="26"/>
      <c r="BVU139" s="26"/>
      <c r="BVV139" s="26"/>
      <c r="BVW139" s="26"/>
      <c r="BVX139" s="26"/>
      <c r="BVY139" s="26"/>
      <c r="BVZ139" s="26"/>
      <c r="BWA139" s="26"/>
      <c r="BWB139" s="26"/>
      <c r="BWC139" s="26"/>
      <c r="BWD139" s="26"/>
      <c r="BWE139" s="26"/>
      <c r="BWF139" s="26"/>
      <c r="BWG139" s="26"/>
      <c r="BWH139" s="26"/>
      <c r="BWI139" s="26"/>
      <c r="BWJ139" s="26"/>
      <c r="BWK139" s="26"/>
      <c r="BWL139" s="26"/>
      <c r="BWM139" s="26"/>
      <c r="BWN139" s="26"/>
      <c r="BWO139" s="26"/>
      <c r="BWP139" s="26"/>
      <c r="BWQ139" s="26"/>
      <c r="BWR139" s="26"/>
      <c r="BWS139" s="26"/>
      <c r="BWT139" s="26"/>
      <c r="BWU139" s="26"/>
      <c r="BWV139" s="26"/>
      <c r="BWW139" s="26"/>
      <c r="BWX139" s="26"/>
      <c r="BWY139" s="26"/>
      <c r="BWZ139" s="26"/>
      <c r="BXA139" s="26"/>
      <c r="BXB139" s="26"/>
      <c r="BXC139" s="26"/>
      <c r="BXD139" s="26"/>
      <c r="BXE139" s="26"/>
      <c r="BXF139" s="26"/>
      <c r="BXG139" s="26"/>
      <c r="BXH139" s="26"/>
      <c r="BXI139" s="26"/>
      <c r="BXJ139" s="26"/>
      <c r="BXK139" s="26"/>
      <c r="BXL139" s="26"/>
      <c r="BXM139" s="26"/>
      <c r="BXN139" s="26"/>
      <c r="BXO139" s="26"/>
      <c r="BXP139" s="26"/>
      <c r="BXQ139" s="26"/>
      <c r="BXR139" s="26"/>
      <c r="BXS139" s="26"/>
      <c r="BXT139" s="26"/>
      <c r="BXU139" s="26"/>
      <c r="BXV139" s="26"/>
      <c r="BXW139" s="26"/>
      <c r="BXX139" s="26"/>
      <c r="BXY139" s="26"/>
      <c r="BXZ139" s="26"/>
      <c r="BYA139" s="26"/>
      <c r="BYB139" s="26"/>
      <c r="BYC139" s="26"/>
      <c r="BYD139" s="26"/>
      <c r="BYE139" s="26"/>
      <c r="BYF139" s="26"/>
      <c r="BYG139" s="26"/>
      <c r="BYH139" s="26"/>
      <c r="BYI139" s="26"/>
      <c r="BYJ139" s="26"/>
      <c r="BYK139" s="26"/>
      <c r="BYL139" s="26"/>
      <c r="BYM139" s="26"/>
      <c r="BYN139" s="26"/>
      <c r="BYO139" s="26"/>
      <c r="BYP139" s="26"/>
      <c r="BYQ139" s="26"/>
      <c r="BYR139" s="26"/>
      <c r="BYS139" s="26"/>
      <c r="BYT139" s="26"/>
      <c r="BYU139" s="26"/>
      <c r="BYV139" s="26"/>
      <c r="BYW139" s="26"/>
      <c r="BYX139" s="26"/>
      <c r="BYY139" s="26"/>
      <c r="BYZ139" s="26"/>
      <c r="BZA139" s="26"/>
      <c r="BZB139" s="26"/>
      <c r="BZC139" s="26"/>
      <c r="BZD139" s="26"/>
      <c r="BZE139" s="26"/>
      <c r="BZF139" s="26"/>
      <c r="BZG139" s="26"/>
      <c r="BZH139" s="26"/>
      <c r="BZI139" s="26"/>
      <c r="BZJ139" s="26"/>
      <c r="BZK139" s="26"/>
      <c r="BZL139" s="26"/>
      <c r="BZM139" s="26"/>
      <c r="BZN139" s="26"/>
      <c r="BZO139" s="26"/>
      <c r="BZP139" s="26"/>
      <c r="BZQ139" s="26"/>
      <c r="BZR139" s="26"/>
      <c r="BZS139" s="26"/>
      <c r="BZT139" s="26"/>
      <c r="BZU139" s="26"/>
      <c r="BZV139" s="26"/>
      <c r="BZW139" s="26"/>
      <c r="BZX139" s="26"/>
      <c r="BZY139" s="26"/>
      <c r="BZZ139" s="26"/>
      <c r="CAA139" s="26"/>
      <c r="CAB139" s="26"/>
      <c r="CAC139" s="26"/>
      <c r="CAD139" s="26"/>
      <c r="CAE139" s="26"/>
      <c r="CAF139" s="26"/>
      <c r="CAG139" s="26"/>
      <c r="CAH139" s="26"/>
      <c r="CAI139" s="26"/>
      <c r="CAJ139" s="26"/>
      <c r="CAK139" s="26"/>
      <c r="CAL139" s="26"/>
      <c r="CAM139" s="26"/>
      <c r="CAN139" s="26"/>
      <c r="CAO139" s="26"/>
      <c r="CAP139" s="26"/>
      <c r="CAQ139" s="26"/>
      <c r="CAR139" s="26"/>
      <c r="CAS139" s="26"/>
      <c r="CAT139" s="26"/>
      <c r="CAU139" s="26"/>
      <c r="CAV139" s="26"/>
      <c r="CAW139" s="26"/>
      <c r="CAX139" s="26"/>
      <c r="CAY139" s="26"/>
      <c r="CAZ139" s="26"/>
      <c r="CBA139" s="26"/>
      <c r="CBB139" s="26"/>
      <c r="CBC139" s="26"/>
      <c r="CBD139" s="26"/>
      <c r="CBE139" s="26"/>
      <c r="CBF139" s="26"/>
      <c r="CBG139" s="26"/>
      <c r="CBH139" s="26"/>
      <c r="CBI139" s="26"/>
    </row>
    <row r="140" spans="1:2089" ht="14" customHeight="1">
      <c r="A140" s="27">
        <v>139</v>
      </c>
      <c r="B140" s="27" t="s">
        <v>348</v>
      </c>
      <c r="C140" s="37">
        <v>1997</v>
      </c>
      <c r="D140" s="26" t="s">
        <v>67</v>
      </c>
      <c r="E140" s="26" t="s">
        <v>565</v>
      </c>
      <c r="F140" s="77" t="s">
        <v>175</v>
      </c>
      <c r="G140" s="2" t="s">
        <v>106</v>
      </c>
      <c r="H140" s="2" t="s">
        <v>30</v>
      </c>
      <c r="I140" s="2" t="s">
        <v>548</v>
      </c>
      <c r="J140" s="2" t="s">
        <v>604</v>
      </c>
      <c r="K140" s="2" t="s">
        <v>548</v>
      </c>
      <c r="L140" s="2" t="s">
        <v>548</v>
      </c>
      <c r="M140" s="2" t="s">
        <v>175</v>
      </c>
      <c r="N140" s="2" t="s">
        <v>62</v>
      </c>
      <c r="O140" s="2" t="s">
        <v>43</v>
      </c>
      <c r="P140" s="2" t="s">
        <v>62</v>
      </c>
      <c r="Q140" s="26" t="s">
        <v>606</v>
      </c>
      <c r="R140" s="79" t="s">
        <v>613</v>
      </c>
      <c r="S140" s="88" t="s">
        <v>70</v>
      </c>
      <c r="T140" s="26">
        <v>209</v>
      </c>
      <c r="U140" s="77">
        <v>1</v>
      </c>
      <c r="V140" s="26">
        <v>0</v>
      </c>
      <c r="W140" s="26">
        <v>1</v>
      </c>
      <c r="X140" s="26">
        <v>0</v>
      </c>
      <c r="Y140" s="26">
        <v>1</v>
      </c>
      <c r="Z140" s="26">
        <v>0</v>
      </c>
      <c r="AA140" s="26">
        <v>0</v>
      </c>
      <c r="AB140" s="26">
        <v>0</v>
      </c>
      <c r="AC140" s="26" t="s">
        <v>70</v>
      </c>
      <c r="AD140" s="26" t="s">
        <v>70</v>
      </c>
      <c r="AE140" s="26" t="s">
        <v>70</v>
      </c>
      <c r="AF140" s="26" t="s">
        <v>70</v>
      </c>
      <c r="AG140" s="33">
        <v>89</v>
      </c>
      <c r="AH140" s="33" t="s">
        <v>70</v>
      </c>
      <c r="AI140" s="33" t="s">
        <v>70</v>
      </c>
      <c r="AJ140" s="26" t="s">
        <v>178</v>
      </c>
      <c r="AK140" s="33">
        <v>370</v>
      </c>
      <c r="AL140" s="33" t="s">
        <v>70</v>
      </c>
      <c r="AM140" s="35" t="s">
        <v>175</v>
      </c>
      <c r="AN140" s="26" t="s">
        <v>274</v>
      </c>
      <c r="AO140" s="35" t="s">
        <v>548</v>
      </c>
      <c r="AP140" s="35" t="s">
        <v>548</v>
      </c>
      <c r="AQ140" s="35" t="s">
        <v>548</v>
      </c>
      <c r="AR140" s="35" t="s">
        <v>548</v>
      </c>
      <c r="AS140" s="26" t="s">
        <v>175</v>
      </c>
      <c r="AT140" s="26" t="s">
        <v>70</v>
      </c>
      <c r="AU140" s="26" t="s">
        <v>70</v>
      </c>
      <c r="AV140" s="26">
        <v>6</v>
      </c>
    </row>
    <row r="141" spans="1:2089" ht="14" customHeight="1">
      <c r="A141" s="27">
        <v>140</v>
      </c>
      <c r="B141" s="63" t="s">
        <v>349</v>
      </c>
      <c r="C141" s="37">
        <v>1997</v>
      </c>
      <c r="D141" s="38" t="s">
        <v>214</v>
      </c>
      <c r="E141" s="26" t="s">
        <v>563</v>
      </c>
      <c r="F141" s="78" t="s">
        <v>175</v>
      </c>
      <c r="G141" s="78" t="s">
        <v>105</v>
      </c>
      <c r="H141" s="2" t="s">
        <v>30</v>
      </c>
      <c r="I141" s="2" t="s">
        <v>548</v>
      </c>
      <c r="J141" s="78" t="s">
        <v>604</v>
      </c>
      <c r="K141" s="2" t="s">
        <v>548</v>
      </c>
      <c r="L141" s="2" t="s">
        <v>548</v>
      </c>
      <c r="M141" s="2" t="s">
        <v>175</v>
      </c>
      <c r="N141" s="2" t="s">
        <v>62</v>
      </c>
      <c r="O141" s="2" t="s">
        <v>43</v>
      </c>
      <c r="P141" s="2" t="s">
        <v>62</v>
      </c>
      <c r="Q141" s="26" t="s">
        <v>606</v>
      </c>
      <c r="R141" s="79" t="s">
        <v>613</v>
      </c>
      <c r="S141" s="2" t="s">
        <v>70</v>
      </c>
      <c r="T141" s="26">
        <v>23</v>
      </c>
      <c r="U141" s="78">
        <v>1</v>
      </c>
      <c r="V141" s="26">
        <v>1</v>
      </c>
      <c r="W141" s="26">
        <v>1</v>
      </c>
      <c r="X141" s="26">
        <v>1</v>
      </c>
      <c r="Y141" s="26">
        <v>1</v>
      </c>
      <c r="Z141" s="26">
        <v>0</v>
      </c>
      <c r="AA141" s="26">
        <v>0</v>
      </c>
      <c r="AB141" s="26">
        <v>0</v>
      </c>
      <c r="AC141" s="26" t="s">
        <v>70</v>
      </c>
      <c r="AD141" s="26" t="s">
        <v>70</v>
      </c>
      <c r="AE141" s="26" t="s">
        <v>70</v>
      </c>
      <c r="AF141" s="26" t="s">
        <v>70</v>
      </c>
      <c r="AG141" s="26">
        <f>3*8/12</f>
        <v>2</v>
      </c>
      <c r="AH141" s="26" t="s">
        <v>70</v>
      </c>
      <c r="AI141" s="26" t="s">
        <v>70</v>
      </c>
      <c r="AJ141" s="26" t="s">
        <v>217</v>
      </c>
      <c r="AK141" s="26" t="s">
        <v>70</v>
      </c>
      <c r="AL141" s="26" t="s">
        <v>70</v>
      </c>
      <c r="AM141" s="35" t="s">
        <v>175</v>
      </c>
      <c r="AN141" s="26" t="s">
        <v>615</v>
      </c>
      <c r="AO141" s="35" t="s">
        <v>548</v>
      </c>
      <c r="AP141" s="35" t="s">
        <v>548</v>
      </c>
      <c r="AQ141" s="35" t="s">
        <v>548</v>
      </c>
      <c r="AR141" s="35" t="s">
        <v>548</v>
      </c>
      <c r="AS141" s="26" t="s">
        <v>175</v>
      </c>
      <c r="AT141" s="26" t="s">
        <v>70</v>
      </c>
      <c r="AU141" s="26" t="s">
        <v>70</v>
      </c>
      <c r="AV141" s="26">
        <v>8</v>
      </c>
    </row>
    <row r="142" spans="1:2089" ht="14" customHeight="1">
      <c r="A142" s="27">
        <v>141</v>
      </c>
      <c r="B142" s="63" t="s">
        <v>349</v>
      </c>
      <c r="C142" s="37">
        <v>1997</v>
      </c>
      <c r="D142" s="38" t="s">
        <v>214</v>
      </c>
      <c r="E142" s="26" t="s">
        <v>563</v>
      </c>
      <c r="F142" s="78" t="s">
        <v>175</v>
      </c>
      <c r="G142" s="78" t="s">
        <v>105</v>
      </c>
      <c r="H142" s="2" t="s">
        <v>30</v>
      </c>
      <c r="I142" s="2" t="s">
        <v>548</v>
      </c>
      <c r="J142" s="78" t="s">
        <v>604</v>
      </c>
      <c r="K142" s="2" t="s">
        <v>548</v>
      </c>
      <c r="L142" s="2" t="s">
        <v>548</v>
      </c>
      <c r="M142" s="2" t="s">
        <v>175</v>
      </c>
      <c r="N142" s="2" t="s">
        <v>51</v>
      </c>
      <c r="O142" s="2" t="s">
        <v>43</v>
      </c>
      <c r="P142" s="2" t="s">
        <v>51</v>
      </c>
      <c r="Q142" s="2" t="s">
        <v>42</v>
      </c>
      <c r="R142" s="79" t="s">
        <v>613</v>
      </c>
      <c r="S142" s="2" t="s">
        <v>70</v>
      </c>
      <c r="T142" s="26">
        <v>23</v>
      </c>
      <c r="U142" s="78">
        <v>1</v>
      </c>
      <c r="V142" s="26">
        <v>1</v>
      </c>
      <c r="W142" s="26">
        <v>1</v>
      </c>
      <c r="X142" s="26">
        <v>1</v>
      </c>
      <c r="Y142" s="26">
        <v>1</v>
      </c>
      <c r="Z142" s="26">
        <v>0</v>
      </c>
      <c r="AA142" s="26">
        <v>0</v>
      </c>
      <c r="AB142" s="26">
        <v>0</v>
      </c>
      <c r="AC142" s="26" t="s">
        <v>70</v>
      </c>
      <c r="AD142" s="26" t="s">
        <v>70</v>
      </c>
      <c r="AE142" s="26" t="s">
        <v>70</v>
      </c>
      <c r="AF142" s="26" t="s">
        <v>70</v>
      </c>
      <c r="AG142" s="33">
        <v>28027.599999999999</v>
      </c>
      <c r="AH142" s="26" t="s">
        <v>70</v>
      </c>
      <c r="AI142" s="26" t="s">
        <v>70</v>
      </c>
      <c r="AJ142" s="26" t="s">
        <v>216</v>
      </c>
      <c r="AK142" s="26" t="s">
        <v>70</v>
      </c>
      <c r="AL142" s="26" t="s">
        <v>70</v>
      </c>
      <c r="AM142" s="35" t="s">
        <v>175</v>
      </c>
      <c r="AN142" s="26" t="s">
        <v>615</v>
      </c>
      <c r="AO142" s="35" t="s">
        <v>548</v>
      </c>
      <c r="AP142" s="35" t="s">
        <v>548</v>
      </c>
      <c r="AQ142" s="35" t="s">
        <v>548</v>
      </c>
      <c r="AR142" s="35" t="s">
        <v>548</v>
      </c>
      <c r="AS142" s="26" t="s">
        <v>175</v>
      </c>
      <c r="AT142" s="26" t="s">
        <v>70</v>
      </c>
      <c r="AU142" s="26" t="s">
        <v>70</v>
      </c>
      <c r="AV142" s="26">
        <v>8</v>
      </c>
    </row>
    <row r="143" spans="1:2089" ht="14" customHeight="1">
      <c r="A143" s="27">
        <v>142</v>
      </c>
      <c r="B143" s="63" t="s">
        <v>349</v>
      </c>
      <c r="C143" s="37">
        <v>1997</v>
      </c>
      <c r="D143" s="38" t="s">
        <v>214</v>
      </c>
      <c r="E143" s="26" t="s">
        <v>563</v>
      </c>
      <c r="F143" s="78" t="s">
        <v>175</v>
      </c>
      <c r="G143" s="78" t="s">
        <v>105</v>
      </c>
      <c r="H143" s="2" t="s">
        <v>30</v>
      </c>
      <c r="I143" s="78" t="s">
        <v>548</v>
      </c>
      <c r="J143" s="78" t="s">
        <v>604</v>
      </c>
      <c r="K143" s="78" t="s">
        <v>548</v>
      </c>
      <c r="L143" s="2" t="s">
        <v>548</v>
      </c>
      <c r="M143" s="78" t="s">
        <v>175</v>
      </c>
      <c r="N143" s="2" t="s">
        <v>609</v>
      </c>
      <c r="O143" s="2" t="s">
        <v>60</v>
      </c>
      <c r="P143" s="2" t="s">
        <v>609</v>
      </c>
      <c r="Q143" s="2" t="s">
        <v>42</v>
      </c>
      <c r="R143" s="79" t="s">
        <v>613</v>
      </c>
      <c r="S143" s="86" t="s">
        <v>70</v>
      </c>
      <c r="T143" s="39">
        <v>46</v>
      </c>
      <c r="U143" s="78">
        <v>1</v>
      </c>
      <c r="V143" s="38">
        <v>1</v>
      </c>
      <c r="W143" s="38">
        <v>1</v>
      </c>
      <c r="X143" s="38">
        <v>1</v>
      </c>
      <c r="Y143" s="38">
        <v>1</v>
      </c>
      <c r="Z143" s="38">
        <v>0</v>
      </c>
      <c r="AA143" s="38">
        <v>0</v>
      </c>
      <c r="AB143" s="38">
        <v>0</v>
      </c>
      <c r="AC143" s="103" t="s">
        <v>70</v>
      </c>
      <c r="AD143" s="103" t="s">
        <v>70</v>
      </c>
      <c r="AE143" s="103" t="s">
        <v>70</v>
      </c>
      <c r="AF143" s="103" t="s">
        <v>70</v>
      </c>
      <c r="AG143" s="103">
        <v>14499</v>
      </c>
      <c r="AH143" s="103" t="s">
        <v>70</v>
      </c>
      <c r="AI143" s="103" t="s">
        <v>70</v>
      </c>
      <c r="AJ143" s="103" t="s">
        <v>215</v>
      </c>
      <c r="AK143" s="103" t="s">
        <v>70</v>
      </c>
      <c r="AL143" s="103" t="s">
        <v>70</v>
      </c>
      <c r="AM143" s="38" t="s">
        <v>175</v>
      </c>
      <c r="AN143" s="26" t="s">
        <v>615</v>
      </c>
      <c r="AO143" s="38" t="s">
        <v>548</v>
      </c>
      <c r="AP143" s="38" t="s">
        <v>548</v>
      </c>
      <c r="AQ143" s="38" t="s">
        <v>548</v>
      </c>
      <c r="AR143" s="35" t="s">
        <v>548</v>
      </c>
      <c r="AS143" s="38" t="s">
        <v>175</v>
      </c>
      <c r="AT143" s="26" t="s">
        <v>70</v>
      </c>
      <c r="AU143" s="26" t="s">
        <v>70</v>
      </c>
      <c r="AV143" s="26">
        <v>8</v>
      </c>
    </row>
    <row r="144" spans="1:2089" ht="14" customHeight="1">
      <c r="A144" s="27">
        <v>143</v>
      </c>
      <c r="B144" s="27" t="s">
        <v>350</v>
      </c>
      <c r="C144" s="37">
        <v>1997</v>
      </c>
      <c r="D144" s="26" t="s">
        <v>25</v>
      </c>
      <c r="E144" s="26" t="s">
        <v>565</v>
      </c>
      <c r="F144" s="77" t="s">
        <v>175</v>
      </c>
      <c r="G144" s="2" t="s">
        <v>105</v>
      </c>
      <c r="H144" s="2" t="s">
        <v>30</v>
      </c>
      <c r="I144" s="2" t="s">
        <v>548</v>
      </c>
      <c r="J144" s="2" t="s">
        <v>605</v>
      </c>
      <c r="K144" s="2" t="s">
        <v>548</v>
      </c>
      <c r="L144" s="2" t="s">
        <v>548</v>
      </c>
      <c r="M144" s="2" t="s">
        <v>175</v>
      </c>
      <c r="N144" s="2" t="s">
        <v>62</v>
      </c>
      <c r="O144" s="2" t="s">
        <v>43</v>
      </c>
      <c r="P144" s="2" t="s">
        <v>62</v>
      </c>
      <c r="Q144" s="38" t="s">
        <v>247</v>
      </c>
      <c r="R144" s="102" t="s">
        <v>614</v>
      </c>
      <c r="S144" s="2">
        <v>5.7877813504823149E-2</v>
      </c>
      <c r="T144" s="26">
        <v>311</v>
      </c>
      <c r="U144" s="77">
        <v>1</v>
      </c>
      <c r="V144" s="26">
        <v>0</v>
      </c>
      <c r="W144" s="26">
        <v>1</v>
      </c>
      <c r="X144" s="26">
        <v>1</v>
      </c>
      <c r="Y144" s="26">
        <v>0</v>
      </c>
      <c r="Z144" s="26">
        <v>0</v>
      </c>
      <c r="AA144" s="26">
        <v>0</v>
      </c>
      <c r="AB144" s="26">
        <v>0</v>
      </c>
      <c r="AC144" s="26" t="s">
        <v>70</v>
      </c>
      <c r="AD144" s="26" t="s">
        <v>70</v>
      </c>
      <c r="AE144" s="26" t="s">
        <v>70</v>
      </c>
      <c r="AF144" s="26" t="s">
        <v>70</v>
      </c>
      <c r="AG144" s="26" t="s">
        <v>70</v>
      </c>
      <c r="AH144" s="26" t="s">
        <v>79</v>
      </c>
      <c r="AI144" s="26" t="s">
        <v>70</v>
      </c>
      <c r="AJ144" s="26" t="s">
        <v>70</v>
      </c>
      <c r="AK144" s="26" t="s">
        <v>70</v>
      </c>
      <c r="AL144" s="26" t="s">
        <v>70</v>
      </c>
      <c r="AM144" s="35" t="s">
        <v>548</v>
      </c>
      <c r="AN144" s="26" t="s">
        <v>274</v>
      </c>
      <c r="AO144" s="35" t="s">
        <v>548</v>
      </c>
      <c r="AP144" s="35" t="s">
        <v>548</v>
      </c>
      <c r="AQ144" s="35" t="s">
        <v>548</v>
      </c>
      <c r="AR144" s="35" t="s">
        <v>548</v>
      </c>
      <c r="AS144" s="26" t="s">
        <v>548</v>
      </c>
      <c r="AT144" s="26" t="s">
        <v>70</v>
      </c>
      <c r="AU144" s="26" t="s">
        <v>70</v>
      </c>
      <c r="AV144" s="26">
        <v>4</v>
      </c>
    </row>
    <row r="145" spans="1:2089" ht="14" customHeight="1">
      <c r="A145" s="27">
        <v>144</v>
      </c>
      <c r="B145" s="27" t="s">
        <v>351</v>
      </c>
      <c r="C145" s="26">
        <v>2007</v>
      </c>
      <c r="D145" s="26" t="s">
        <v>220</v>
      </c>
      <c r="E145" s="26" t="s">
        <v>565</v>
      </c>
      <c r="F145" s="77" t="s">
        <v>175</v>
      </c>
      <c r="G145" s="2" t="s">
        <v>42</v>
      </c>
      <c r="H145" s="2" t="s">
        <v>30</v>
      </c>
      <c r="I145" s="2" t="s">
        <v>548</v>
      </c>
      <c r="J145" s="2" t="s">
        <v>604</v>
      </c>
      <c r="K145" s="2" t="s">
        <v>548</v>
      </c>
      <c r="L145" s="2" t="s">
        <v>548</v>
      </c>
      <c r="M145" s="2" t="s">
        <v>175</v>
      </c>
      <c r="N145" s="2" t="s">
        <v>209</v>
      </c>
      <c r="O145" s="2" t="s">
        <v>209</v>
      </c>
      <c r="P145" s="2" t="s">
        <v>620</v>
      </c>
      <c r="Q145" s="2" t="s">
        <v>42</v>
      </c>
      <c r="R145" s="102" t="s">
        <v>614</v>
      </c>
      <c r="S145" s="88">
        <v>0.14000000000000001</v>
      </c>
      <c r="T145" s="61">
        <v>50</v>
      </c>
      <c r="U145" s="77">
        <v>1</v>
      </c>
      <c r="V145" s="26">
        <v>0</v>
      </c>
      <c r="W145" s="26">
        <v>1</v>
      </c>
      <c r="X145" s="26">
        <v>1</v>
      </c>
      <c r="Y145" s="26">
        <v>0</v>
      </c>
      <c r="Z145" s="26">
        <v>0</v>
      </c>
      <c r="AA145" s="26">
        <v>0</v>
      </c>
      <c r="AB145" s="40">
        <v>0</v>
      </c>
      <c r="AC145" s="26" t="s">
        <v>70</v>
      </c>
      <c r="AD145" s="26" t="s">
        <v>70</v>
      </c>
      <c r="AE145" s="26" t="s">
        <v>70</v>
      </c>
      <c r="AF145" s="26" t="s">
        <v>70</v>
      </c>
      <c r="AG145" s="33">
        <v>280</v>
      </c>
      <c r="AH145" s="33" t="s">
        <v>70</v>
      </c>
      <c r="AI145" s="33" t="s">
        <v>70</v>
      </c>
      <c r="AJ145" s="26" t="s">
        <v>221</v>
      </c>
      <c r="AK145" s="33" t="s">
        <v>70</v>
      </c>
      <c r="AL145" s="33" t="s">
        <v>70</v>
      </c>
      <c r="AM145" s="61" t="s">
        <v>175</v>
      </c>
      <c r="AN145" s="26" t="s">
        <v>274</v>
      </c>
      <c r="AO145" s="35" t="s">
        <v>548</v>
      </c>
      <c r="AP145" s="35" t="s">
        <v>548</v>
      </c>
      <c r="AQ145" s="35" t="s">
        <v>548</v>
      </c>
      <c r="AR145" s="35" t="s">
        <v>175</v>
      </c>
      <c r="AS145" s="26" t="s">
        <v>175</v>
      </c>
      <c r="AT145" s="26" t="s">
        <v>70</v>
      </c>
      <c r="AU145" s="26" t="s">
        <v>70</v>
      </c>
      <c r="AV145" s="26">
        <v>6</v>
      </c>
    </row>
    <row r="146" spans="1:2089" ht="14" customHeight="1">
      <c r="A146" s="27">
        <v>145</v>
      </c>
      <c r="B146" s="27" t="s">
        <v>352</v>
      </c>
      <c r="C146" s="27">
        <v>2011</v>
      </c>
      <c r="D146" s="27" t="s">
        <v>18</v>
      </c>
      <c r="E146" s="26" t="s">
        <v>566</v>
      </c>
      <c r="F146" s="77" t="s">
        <v>175</v>
      </c>
      <c r="G146" s="77" t="s">
        <v>84</v>
      </c>
      <c r="H146" s="2" t="s">
        <v>275</v>
      </c>
      <c r="I146" s="77" t="s">
        <v>175</v>
      </c>
      <c r="J146" s="2" t="s">
        <v>604</v>
      </c>
      <c r="K146" s="77" t="s">
        <v>175</v>
      </c>
      <c r="L146" s="77" t="s">
        <v>175</v>
      </c>
      <c r="M146" s="2" t="s">
        <v>175</v>
      </c>
      <c r="N146" s="2" t="s">
        <v>210</v>
      </c>
      <c r="O146" s="2" t="s">
        <v>43</v>
      </c>
      <c r="P146" s="2" t="s">
        <v>210</v>
      </c>
      <c r="Q146" s="2" t="s">
        <v>42</v>
      </c>
      <c r="R146" s="79" t="s">
        <v>613</v>
      </c>
      <c r="S146" s="93">
        <v>0.4</v>
      </c>
      <c r="T146" s="27">
        <v>1461</v>
      </c>
      <c r="U146" s="77">
        <v>1</v>
      </c>
      <c r="V146" s="27">
        <v>0</v>
      </c>
      <c r="W146" s="27">
        <v>1</v>
      </c>
      <c r="X146" s="27">
        <v>1</v>
      </c>
      <c r="Y146" s="27">
        <v>1</v>
      </c>
      <c r="Z146" s="27">
        <v>1</v>
      </c>
      <c r="AA146" s="27">
        <v>0</v>
      </c>
      <c r="AB146" s="40">
        <v>0</v>
      </c>
      <c r="AC146" s="46" t="s">
        <v>70</v>
      </c>
      <c r="AD146" s="46" t="s">
        <v>70</v>
      </c>
      <c r="AE146" s="46" t="s">
        <v>70</v>
      </c>
      <c r="AF146" s="46" t="s">
        <v>70</v>
      </c>
      <c r="AG146" s="27" t="s">
        <v>70</v>
      </c>
      <c r="AH146" s="27" t="s">
        <v>70</v>
      </c>
      <c r="AI146" s="27" t="s">
        <v>70</v>
      </c>
      <c r="AJ146" s="27" t="s">
        <v>70</v>
      </c>
      <c r="AK146" s="27" t="s">
        <v>70</v>
      </c>
      <c r="AL146" s="27" t="s">
        <v>70</v>
      </c>
      <c r="AM146" s="44" t="s">
        <v>548</v>
      </c>
      <c r="AN146" s="26" t="s">
        <v>274</v>
      </c>
      <c r="AO146" s="44" t="s">
        <v>548</v>
      </c>
      <c r="AP146" s="44" t="s">
        <v>175</v>
      </c>
      <c r="AQ146" s="44" t="s">
        <v>548</v>
      </c>
      <c r="AR146" s="44" t="s">
        <v>548</v>
      </c>
      <c r="AS146" s="26" t="s">
        <v>175</v>
      </c>
      <c r="AT146" s="26" t="s">
        <v>548</v>
      </c>
      <c r="AU146" s="40" t="s">
        <v>274</v>
      </c>
      <c r="AV146" s="26">
        <v>10</v>
      </c>
    </row>
    <row r="147" spans="1:2089" s="41" customFormat="1" ht="14" customHeight="1">
      <c r="A147" s="27">
        <v>146</v>
      </c>
      <c r="B147" s="27" t="s">
        <v>353</v>
      </c>
      <c r="C147" s="27">
        <v>1991</v>
      </c>
      <c r="D147" s="26" t="s">
        <v>109</v>
      </c>
      <c r="E147" s="26" t="s">
        <v>565</v>
      </c>
      <c r="F147" s="77" t="s">
        <v>175</v>
      </c>
      <c r="G147" s="2" t="s">
        <v>147</v>
      </c>
      <c r="H147" s="2" t="s">
        <v>30</v>
      </c>
      <c r="I147" s="2" t="s">
        <v>548</v>
      </c>
      <c r="J147" s="2" t="s">
        <v>604</v>
      </c>
      <c r="K147" s="2" t="s">
        <v>548</v>
      </c>
      <c r="L147" s="2" t="s">
        <v>548</v>
      </c>
      <c r="M147" s="2" t="s">
        <v>548</v>
      </c>
      <c r="N147" s="2" t="s">
        <v>48</v>
      </c>
      <c r="O147" s="2" t="s">
        <v>209</v>
      </c>
      <c r="P147" s="2" t="s">
        <v>48</v>
      </c>
      <c r="Q147" s="2" t="s">
        <v>42</v>
      </c>
      <c r="R147" s="102" t="s">
        <v>614</v>
      </c>
      <c r="S147" s="88">
        <v>0</v>
      </c>
      <c r="T147" s="26">
        <v>26</v>
      </c>
      <c r="U147" s="77">
        <v>1</v>
      </c>
      <c r="V147" s="26">
        <v>0</v>
      </c>
      <c r="W147" s="26">
        <v>1</v>
      </c>
      <c r="X147" s="26">
        <v>0</v>
      </c>
      <c r="Y147" s="26">
        <v>1</v>
      </c>
      <c r="Z147" s="26">
        <v>1</v>
      </c>
      <c r="AA147" s="26">
        <v>0</v>
      </c>
      <c r="AB147" s="26">
        <v>0</v>
      </c>
      <c r="AC147" s="33" t="s">
        <v>70</v>
      </c>
      <c r="AD147" s="33" t="s">
        <v>70</v>
      </c>
      <c r="AE147" s="33" t="s">
        <v>70</v>
      </c>
      <c r="AF147" s="33" t="s">
        <v>70</v>
      </c>
      <c r="AG147" s="33" t="s">
        <v>70</v>
      </c>
      <c r="AH147" s="33" t="s">
        <v>70</v>
      </c>
      <c r="AI147" s="33" t="s">
        <v>70</v>
      </c>
      <c r="AJ147" s="33" t="s">
        <v>70</v>
      </c>
      <c r="AK147" s="33" t="s">
        <v>70</v>
      </c>
      <c r="AL147" s="33" t="s">
        <v>70</v>
      </c>
      <c r="AM147" s="35" t="s">
        <v>548</v>
      </c>
      <c r="AN147" s="26" t="s">
        <v>274</v>
      </c>
      <c r="AO147" s="35" t="s">
        <v>548</v>
      </c>
      <c r="AP147" s="35" t="s">
        <v>548</v>
      </c>
      <c r="AQ147" s="35" t="s">
        <v>548</v>
      </c>
      <c r="AR147" s="35" t="s">
        <v>548</v>
      </c>
      <c r="AS147" s="26" t="s">
        <v>175</v>
      </c>
      <c r="AT147" s="26" t="s">
        <v>70</v>
      </c>
      <c r="AU147" s="26" t="s">
        <v>70</v>
      </c>
      <c r="AV147" s="26">
        <v>5</v>
      </c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6"/>
      <c r="GT147" s="26"/>
      <c r="GU147" s="26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6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  <c r="JM147" s="26"/>
      <c r="JN147" s="26"/>
      <c r="JO147" s="26"/>
      <c r="JP147" s="26"/>
      <c r="JQ147" s="26"/>
      <c r="JR147" s="26"/>
      <c r="JS147" s="26"/>
      <c r="JT147" s="26"/>
      <c r="JU147" s="26"/>
      <c r="JV147" s="26"/>
      <c r="JW147" s="26"/>
      <c r="JX147" s="26"/>
      <c r="JY147" s="26"/>
      <c r="JZ147" s="26"/>
      <c r="KA147" s="26"/>
      <c r="KB147" s="26"/>
      <c r="KC147" s="26"/>
      <c r="KD147" s="26"/>
      <c r="KE147" s="26"/>
      <c r="KF147" s="26"/>
      <c r="KG147" s="26"/>
      <c r="KH147" s="26"/>
      <c r="KI147" s="26"/>
      <c r="KJ147" s="26"/>
      <c r="KK147" s="26"/>
      <c r="KL147" s="26"/>
      <c r="KM147" s="26"/>
      <c r="KN147" s="26"/>
      <c r="KO147" s="26"/>
      <c r="KP147" s="26"/>
      <c r="KQ147" s="26"/>
      <c r="KR147" s="26"/>
      <c r="KS147" s="26"/>
      <c r="KT147" s="26"/>
      <c r="KU147" s="26"/>
      <c r="KV147" s="26"/>
      <c r="KW147" s="26"/>
      <c r="KX147" s="26"/>
      <c r="KY147" s="26"/>
      <c r="KZ147" s="26"/>
      <c r="LA147" s="26"/>
      <c r="LB147" s="26"/>
      <c r="LC147" s="26"/>
      <c r="LD147" s="26"/>
      <c r="LE147" s="26"/>
      <c r="LF147" s="26"/>
      <c r="LG147" s="26"/>
      <c r="LH147" s="26"/>
      <c r="LI147" s="26"/>
      <c r="LJ147" s="26"/>
      <c r="LK147" s="26"/>
      <c r="LL147" s="26"/>
      <c r="LM147" s="26"/>
      <c r="LN147" s="26"/>
      <c r="LO147" s="26"/>
      <c r="LP147" s="26"/>
      <c r="LQ147" s="26"/>
      <c r="LR147" s="26"/>
      <c r="LS147" s="26"/>
      <c r="LT147" s="26"/>
      <c r="LU147" s="26"/>
      <c r="LV147" s="26"/>
      <c r="LW147" s="26"/>
      <c r="LX147" s="26"/>
      <c r="LY147" s="26"/>
      <c r="LZ147" s="26"/>
      <c r="MA147" s="26"/>
      <c r="MB147" s="26"/>
      <c r="MC147" s="26"/>
      <c r="MD147" s="26"/>
      <c r="ME147" s="26"/>
      <c r="MF147" s="26"/>
      <c r="MG147" s="26"/>
      <c r="MH147" s="26"/>
      <c r="MI147" s="26"/>
      <c r="MJ147" s="26"/>
      <c r="MK147" s="26"/>
      <c r="ML147" s="26"/>
      <c r="MM147" s="26"/>
      <c r="MN147" s="26"/>
      <c r="MO147" s="26"/>
      <c r="MP147" s="26"/>
      <c r="MQ147" s="26"/>
      <c r="MR147" s="26"/>
      <c r="MS147" s="26"/>
      <c r="MT147" s="26"/>
      <c r="MU147" s="26"/>
      <c r="MV147" s="26"/>
      <c r="MW147" s="26"/>
      <c r="MX147" s="26"/>
      <c r="MY147" s="26"/>
      <c r="MZ147" s="26"/>
      <c r="NA147" s="26"/>
      <c r="NB147" s="26"/>
      <c r="NC147" s="26"/>
      <c r="ND147" s="26"/>
      <c r="NE147" s="26"/>
      <c r="NF147" s="26"/>
      <c r="NG147" s="26"/>
      <c r="NH147" s="26"/>
      <c r="NI147" s="26"/>
      <c r="NJ147" s="26"/>
      <c r="NK147" s="26"/>
      <c r="NL147" s="26"/>
      <c r="NM147" s="26"/>
      <c r="NN147" s="26"/>
      <c r="NO147" s="26"/>
      <c r="NP147" s="26"/>
      <c r="NQ147" s="26"/>
      <c r="NR147" s="26"/>
      <c r="NS147" s="26"/>
      <c r="NT147" s="26"/>
      <c r="NU147" s="26"/>
      <c r="NV147" s="26"/>
      <c r="NW147" s="26"/>
      <c r="NX147" s="26"/>
      <c r="NY147" s="26"/>
      <c r="NZ147" s="26"/>
      <c r="OA147" s="26"/>
      <c r="OB147" s="26"/>
      <c r="OC147" s="26"/>
      <c r="OD147" s="26"/>
      <c r="OE147" s="26"/>
      <c r="OF147" s="26"/>
      <c r="OG147" s="26"/>
      <c r="OH147" s="26"/>
      <c r="OI147" s="26"/>
      <c r="OJ147" s="26"/>
      <c r="OK147" s="26"/>
      <c r="OL147" s="26"/>
      <c r="OM147" s="26"/>
      <c r="ON147" s="26"/>
      <c r="OO147" s="26"/>
      <c r="OP147" s="26"/>
      <c r="OQ147" s="26"/>
      <c r="OR147" s="26"/>
      <c r="OS147" s="26"/>
      <c r="OT147" s="26"/>
      <c r="OU147" s="26"/>
      <c r="OV147" s="26"/>
      <c r="OW147" s="26"/>
      <c r="OX147" s="26"/>
      <c r="OY147" s="26"/>
      <c r="OZ147" s="26"/>
      <c r="PA147" s="26"/>
      <c r="PB147" s="26"/>
      <c r="PC147" s="26"/>
      <c r="PD147" s="26"/>
      <c r="PE147" s="26"/>
      <c r="PF147" s="26"/>
      <c r="PG147" s="26"/>
      <c r="PH147" s="26"/>
      <c r="PI147" s="26"/>
      <c r="PJ147" s="26"/>
      <c r="PK147" s="26"/>
      <c r="PL147" s="26"/>
      <c r="PM147" s="26"/>
      <c r="PN147" s="26"/>
      <c r="PO147" s="26"/>
      <c r="PP147" s="26"/>
      <c r="PQ147" s="26"/>
      <c r="PR147" s="26"/>
      <c r="PS147" s="26"/>
      <c r="PT147" s="26"/>
      <c r="PU147" s="26"/>
      <c r="PV147" s="26"/>
      <c r="PW147" s="26"/>
      <c r="PX147" s="26"/>
      <c r="PY147" s="26"/>
      <c r="PZ147" s="26"/>
      <c r="QA147" s="26"/>
      <c r="QB147" s="26"/>
      <c r="QC147" s="26"/>
      <c r="QD147" s="26"/>
      <c r="QE147" s="26"/>
      <c r="QF147" s="26"/>
      <c r="QG147" s="26"/>
      <c r="QH147" s="26"/>
      <c r="QI147" s="26"/>
      <c r="QJ147" s="26"/>
      <c r="QK147" s="26"/>
      <c r="QL147" s="26"/>
      <c r="QM147" s="26"/>
      <c r="QN147" s="26"/>
      <c r="QO147" s="26"/>
      <c r="QP147" s="26"/>
      <c r="QQ147" s="26"/>
      <c r="QR147" s="26"/>
      <c r="QS147" s="26"/>
      <c r="QT147" s="26"/>
      <c r="QU147" s="26"/>
      <c r="QV147" s="26"/>
      <c r="QW147" s="26"/>
      <c r="QX147" s="26"/>
      <c r="QY147" s="26"/>
      <c r="QZ147" s="26"/>
      <c r="RA147" s="26"/>
      <c r="RB147" s="26"/>
      <c r="RC147" s="26"/>
      <c r="RD147" s="26"/>
      <c r="RE147" s="26"/>
      <c r="RF147" s="26"/>
      <c r="RG147" s="26"/>
      <c r="RH147" s="26"/>
      <c r="RI147" s="26"/>
      <c r="RJ147" s="26"/>
      <c r="RK147" s="26"/>
      <c r="RL147" s="26"/>
      <c r="RM147" s="26"/>
      <c r="RN147" s="26"/>
      <c r="RO147" s="26"/>
      <c r="RP147" s="26"/>
      <c r="RQ147" s="26"/>
      <c r="RR147" s="26"/>
      <c r="RS147" s="26"/>
      <c r="RT147" s="26"/>
      <c r="RU147" s="26"/>
      <c r="RV147" s="26"/>
      <c r="RW147" s="26"/>
      <c r="RX147" s="26"/>
      <c r="RY147" s="26"/>
      <c r="RZ147" s="26"/>
      <c r="SA147" s="26"/>
      <c r="SB147" s="26"/>
      <c r="SC147" s="26"/>
      <c r="SD147" s="26"/>
      <c r="SE147" s="26"/>
      <c r="SF147" s="26"/>
      <c r="SG147" s="26"/>
      <c r="SH147" s="26"/>
      <c r="SI147" s="26"/>
      <c r="SJ147" s="26"/>
      <c r="SK147" s="26"/>
      <c r="SL147" s="26"/>
      <c r="SM147" s="26"/>
      <c r="SN147" s="26"/>
      <c r="SO147" s="26"/>
      <c r="SP147" s="26"/>
      <c r="SQ147" s="26"/>
      <c r="SR147" s="26"/>
      <c r="SS147" s="26"/>
      <c r="ST147" s="26"/>
      <c r="SU147" s="26"/>
      <c r="SV147" s="26"/>
      <c r="SW147" s="26"/>
      <c r="SX147" s="26"/>
      <c r="SY147" s="26"/>
      <c r="SZ147" s="26"/>
      <c r="TA147" s="26"/>
      <c r="TB147" s="26"/>
      <c r="TC147" s="26"/>
      <c r="TD147" s="26"/>
      <c r="TE147" s="26"/>
      <c r="TF147" s="26"/>
      <c r="TG147" s="26"/>
      <c r="TH147" s="26"/>
      <c r="TI147" s="26"/>
      <c r="TJ147" s="26"/>
      <c r="TK147" s="26"/>
      <c r="TL147" s="26"/>
      <c r="TM147" s="26"/>
      <c r="TN147" s="26"/>
      <c r="TO147" s="26"/>
      <c r="TP147" s="26"/>
      <c r="TQ147" s="26"/>
      <c r="TR147" s="26"/>
      <c r="TS147" s="26"/>
      <c r="TT147" s="26"/>
      <c r="TU147" s="26"/>
      <c r="TV147" s="26"/>
      <c r="TW147" s="26"/>
      <c r="TX147" s="26"/>
      <c r="TY147" s="26"/>
      <c r="TZ147" s="26"/>
      <c r="UA147" s="26"/>
      <c r="UB147" s="26"/>
      <c r="UC147" s="26"/>
      <c r="UD147" s="26"/>
      <c r="UE147" s="26"/>
      <c r="UF147" s="26"/>
      <c r="UG147" s="26"/>
      <c r="UH147" s="26"/>
      <c r="UI147" s="26"/>
      <c r="UJ147" s="26"/>
      <c r="UK147" s="26"/>
      <c r="UL147" s="26"/>
      <c r="UM147" s="26"/>
      <c r="UN147" s="26"/>
      <c r="UO147" s="26"/>
      <c r="UP147" s="26"/>
      <c r="UQ147" s="26"/>
      <c r="UR147" s="26"/>
      <c r="US147" s="26"/>
      <c r="UT147" s="26"/>
      <c r="UU147" s="26"/>
      <c r="UV147" s="26"/>
      <c r="UW147" s="26"/>
      <c r="UX147" s="26"/>
      <c r="UY147" s="26"/>
      <c r="UZ147" s="26"/>
      <c r="VA147" s="26"/>
      <c r="VB147" s="26"/>
      <c r="VC147" s="26"/>
      <c r="VD147" s="26"/>
      <c r="VE147" s="26"/>
      <c r="VF147" s="26"/>
      <c r="VG147" s="26"/>
      <c r="VH147" s="26"/>
      <c r="VI147" s="26"/>
      <c r="VJ147" s="26"/>
      <c r="VK147" s="26"/>
      <c r="VL147" s="26"/>
      <c r="VM147" s="26"/>
      <c r="VN147" s="26"/>
      <c r="VO147" s="26"/>
      <c r="VP147" s="26"/>
      <c r="VQ147" s="26"/>
      <c r="VR147" s="26"/>
      <c r="VS147" s="26"/>
      <c r="VT147" s="26"/>
      <c r="VU147" s="26"/>
      <c r="VV147" s="26"/>
      <c r="VW147" s="26"/>
      <c r="VX147" s="26"/>
      <c r="VY147" s="26"/>
      <c r="VZ147" s="26"/>
      <c r="WA147" s="26"/>
      <c r="WB147" s="26"/>
      <c r="WC147" s="26"/>
      <c r="WD147" s="26"/>
      <c r="WE147" s="26"/>
      <c r="WF147" s="26"/>
      <c r="WG147" s="26"/>
      <c r="WH147" s="26"/>
      <c r="WI147" s="26"/>
      <c r="WJ147" s="26"/>
      <c r="WK147" s="26"/>
      <c r="WL147" s="26"/>
      <c r="WM147" s="26"/>
      <c r="WN147" s="26"/>
      <c r="WO147" s="26"/>
      <c r="WP147" s="26"/>
      <c r="WQ147" s="26"/>
      <c r="WR147" s="26"/>
      <c r="WS147" s="26"/>
      <c r="WT147" s="26"/>
      <c r="WU147" s="26"/>
      <c r="WV147" s="26"/>
      <c r="WW147" s="26"/>
      <c r="WX147" s="26"/>
      <c r="WY147" s="26"/>
      <c r="WZ147" s="26"/>
      <c r="XA147" s="26"/>
      <c r="XB147" s="26"/>
      <c r="XC147" s="26"/>
      <c r="XD147" s="26"/>
      <c r="XE147" s="26"/>
      <c r="XF147" s="26"/>
      <c r="XG147" s="26"/>
      <c r="XH147" s="26"/>
      <c r="XI147" s="26"/>
      <c r="XJ147" s="26"/>
      <c r="XK147" s="26"/>
      <c r="XL147" s="26"/>
      <c r="XM147" s="26"/>
      <c r="XN147" s="26"/>
      <c r="XO147" s="26"/>
      <c r="XP147" s="26"/>
      <c r="XQ147" s="26"/>
      <c r="XR147" s="26"/>
      <c r="XS147" s="26"/>
      <c r="XT147" s="26"/>
      <c r="XU147" s="26"/>
      <c r="XV147" s="26"/>
      <c r="XW147" s="26"/>
      <c r="XX147" s="26"/>
      <c r="XY147" s="26"/>
      <c r="XZ147" s="26"/>
      <c r="YA147" s="26"/>
      <c r="YB147" s="26"/>
      <c r="YC147" s="26"/>
      <c r="YD147" s="26"/>
      <c r="YE147" s="26"/>
      <c r="YF147" s="26"/>
      <c r="YG147" s="26"/>
      <c r="YH147" s="26"/>
      <c r="YI147" s="26"/>
      <c r="YJ147" s="26"/>
      <c r="YK147" s="26"/>
      <c r="YL147" s="26"/>
      <c r="YM147" s="26"/>
      <c r="YN147" s="26"/>
      <c r="YO147" s="26"/>
      <c r="YP147" s="26"/>
      <c r="YQ147" s="26"/>
      <c r="YR147" s="26"/>
      <c r="YS147" s="26"/>
      <c r="YT147" s="26"/>
      <c r="YU147" s="26"/>
      <c r="YV147" s="26"/>
      <c r="YW147" s="26"/>
      <c r="YX147" s="26"/>
      <c r="YY147" s="26"/>
      <c r="YZ147" s="26"/>
      <c r="ZA147" s="26"/>
      <c r="ZB147" s="26"/>
      <c r="ZC147" s="26"/>
      <c r="ZD147" s="26"/>
      <c r="ZE147" s="26"/>
      <c r="ZF147" s="26"/>
      <c r="ZG147" s="26"/>
      <c r="ZH147" s="26"/>
      <c r="ZI147" s="26"/>
      <c r="ZJ147" s="26"/>
      <c r="ZK147" s="26"/>
      <c r="ZL147" s="26"/>
      <c r="ZM147" s="26"/>
      <c r="ZN147" s="26"/>
      <c r="ZO147" s="26"/>
      <c r="ZP147" s="26"/>
      <c r="ZQ147" s="26"/>
      <c r="ZR147" s="26"/>
      <c r="ZS147" s="26"/>
      <c r="ZT147" s="26"/>
      <c r="ZU147" s="26"/>
      <c r="ZV147" s="26"/>
      <c r="ZW147" s="26"/>
      <c r="ZX147" s="26"/>
      <c r="ZY147" s="26"/>
      <c r="ZZ147" s="26"/>
      <c r="AAA147" s="26"/>
      <c r="AAB147" s="26"/>
      <c r="AAC147" s="26"/>
      <c r="AAD147" s="26"/>
      <c r="AAE147" s="26"/>
      <c r="AAF147" s="26"/>
      <c r="AAG147" s="26"/>
      <c r="AAH147" s="26"/>
      <c r="AAI147" s="26"/>
      <c r="AAJ147" s="26"/>
      <c r="AAK147" s="26"/>
      <c r="AAL147" s="26"/>
      <c r="AAM147" s="26"/>
      <c r="AAN147" s="26"/>
      <c r="AAO147" s="26"/>
      <c r="AAP147" s="26"/>
      <c r="AAQ147" s="26"/>
      <c r="AAR147" s="26"/>
      <c r="AAS147" s="26"/>
      <c r="AAT147" s="26"/>
      <c r="AAU147" s="26"/>
      <c r="AAV147" s="26"/>
      <c r="AAW147" s="26"/>
      <c r="AAX147" s="26"/>
      <c r="AAY147" s="26"/>
      <c r="AAZ147" s="26"/>
      <c r="ABA147" s="26"/>
      <c r="ABB147" s="26"/>
      <c r="ABC147" s="26"/>
      <c r="ABD147" s="26"/>
      <c r="ABE147" s="26"/>
      <c r="ABF147" s="26"/>
      <c r="ABG147" s="26"/>
      <c r="ABH147" s="26"/>
      <c r="ABI147" s="26"/>
      <c r="ABJ147" s="26"/>
      <c r="ABK147" s="26"/>
      <c r="ABL147" s="26"/>
      <c r="ABM147" s="26"/>
      <c r="ABN147" s="26"/>
      <c r="ABO147" s="26"/>
      <c r="ABP147" s="26"/>
      <c r="ABQ147" s="26"/>
      <c r="ABR147" s="26"/>
      <c r="ABS147" s="26"/>
      <c r="ABT147" s="26"/>
      <c r="ABU147" s="26"/>
      <c r="ABV147" s="26"/>
      <c r="ABW147" s="26"/>
      <c r="ABX147" s="26"/>
      <c r="ABY147" s="26"/>
      <c r="ABZ147" s="26"/>
      <c r="ACA147" s="26"/>
      <c r="ACB147" s="26"/>
      <c r="ACC147" s="26"/>
      <c r="ACD147" s="26"/>
      <c r="ACE147" s="26"/>
      <c r="ACF147" s="26"/>
      <c r="ACG147" s="26"/>
      <c r="ACH147" s="26"/>
      <c r="ACI147" s="26"/>
      <c r="ACJ147" s="26"/>
      <c r="ACK147" s="26"/>
      <c r="ACL147" s="26"/>
      <c r="ACM147" s="26"/>
      <c r="ACN147" s="26"/>
      <c r="ACO147" s="26"/>
      <c r="ACP147" s="26"/>
      <c r="ACQ147" s="26"/>
      <c r="ACR147" s="26"/>
      <c r="ACS147" s="26"/>
      <c r="ACT147" s="26"/>
      <c r="ACU147" s="26"/>
      <c r="ACV147" s="26"/>
      <c r="ACW147" s="26"/>
      <c r="ACX147" s="26"/>
      <c r="ACY147" s="26"/>
      <c r="ACZ147" s="26"/>
      <c r="ADA147" s="26"/>
      <c r="ADB147" s="26"/>
      <c r="ADC147" s="26"/>
      <c r="ADD147" s="26"/>
      <c r="ADE147" s="26"/>
      <c r="ADF147" s="26"/>
      <c r="ADG147" s="26"/>
      <c r="ADH147" s="26"/>
      <c r="ADI147" s="26"/>
      <c r="ADJ147" s="26"/>
      <c r="ADK147" s="26"/>
      <c r="ADL147" s="26"/>
      <c r="ADM147" s="26"/>
      <c r="ADN147" s="26"/>
      <c r="ADO147" s="26"/>
      <c r="ADP147" s="26"/>
      <c r="ADQ147" s="26"/>
      <c r="ADR147" s="26"/>
      <c r="ADS147" s="26"/>
      <c r="ADT147" s="26"/>
      <c r="ADU147" s="26"/>
      <c r="ADV147" s="26"/>
      <c r="ADW147" s="26"/>
      <c r="ADX147" s="26"/>
      <c r="ADY147" s="26"/>
      <c r="ADZ147" s="26"/>
      <c r="AEA147" s="26"/>
      <c r="AEB147" s="26"/>
      <c r="AEC147" s="26"/>
      <c r="AED147" s="26"/>
      <c r="AEE147" s="26"/>
      <c r="AEF147" s="26"/>
      <c r="AEG147" s="26"/>
      <c r="AEH147" s="26"/>
      <c r="AEI147" s="26"/>
      <c r="AEJ147" s="26"/>
      <c r="AEK147" s="26"/>
      <c r="AEL147" s="26"/>
      <c r="AEM147" s="26"/>
      <c r="AEN147" s="26"/>
      <c r="AEO147" s="26"/>
      <c r="AEP147" s="26"/>
      <c r="AEQ147" s="26"/>
      <c r="AER147" s="26"/>
      <c r="AES147" s="26"/>
      <c r="AET147" s="26"/>
      <c r="AEU147" s="26"/>
      <c r="AEV147" s="26"/>
      <c r="AEW147" s="26"/>
      <c r="AEX147" s="26"/>
      <c r="AEY147" s="26"/>
      <c r="AEZ147" s="26"/>
      <c r="AFA147" s="26"/>
      <c r="AFB147" s="26"/>
      <c r="AFC147" s="26"/>
      <c r="AFD147" s="26"/>
      <c r="AFE147" s="26"/>
      <c r="AFF147" s="26"/>
      <c r="AFG147" s="26"/>
      <c r="AFH147" s="26"/>
      <c r="AFI147" s="26"/>
      <c r="AFJ147" s="26"/>
      <c r="AFK147" s="26"/>
      <c r="AFL147" s="26"/>
      <c r="AFM147" s="26"/>
      <c r="AFN147" s="26"/>
      <c r="AFO147" s="26"/>
      <c r="AFP147" s="26"/>
      <c r="AFQ147" s="26"/>
      <c r="AFR147" s="26"/>
      <c r="AFS147" s="26"/>
      <c r="AFT147" s="26"/>
      <c r="AFU147" s="26"/>
      <c r="AFV147" s="26"/>
      <c r="AFW147" s="26"/>
      <c r="AFX147" s="26"/>
      <c r="AFY147" s="26"/>
      <c r="AFZ147" s="26"/>
      <c r="AGA147" s="26"/>
      <c r="AGB147" s="26"/>
      <c r="AGC147" s="26"/>
      <c r="AGD147" s="26"/>
      <c r="AGE147" s="26"/>
      <c r="AGF147" s="26"/>
      <c r="AGG147" s="26"/>
      <c r="AGH147" s="26"/>
      <c r="AGI147" s="26"/>
      <c r="AGJ147" s="26"/>
      <c r="AGK147" s="26"/>
      <c r="AGL147" s="26"/>
      <c r="AGM147" s="26"/>
      <c r="AGN147" s="26"/>
      <c r="AGO147" s="26"/>
      <c r="AGP147" s="26"/>
      <c r="AGQ147" s="26"/>
      <c r="AGR147" s="26"/>
      <c r="AGS147" s="26"/>
      <c r="AGT147" s="26"/>
      <c r="AGU147" s="26"/>
      <c r="AGV147" s="26"/>
      <c r="AGW147" s="26"/>
      <c r="AGX147" s="26"/>
      <c r="AGY147" s="26"/>
      <c r="AGZ147" s="26"/>
      <c r="AHA147" s="26"/>
      <c r="AHB147" s="26"/>
      <c r="AHC147" s="26"/>
      <c r="AHD147" s="26"/>
      <c r="AHE147" s="26"/>
      <c r="AHF147" s="26"/>
      <c r="AHG147" s="26"/>
      <c r="AHH147" s="26"/>
      <c r="AHI147" s="26"/>
      <c r="AHJ147" s="26"/>
      <c r="AHK147" s="26"/>
      <c r="AHL147" s="26"/>
      <c r="AHM147" s="26"/>
      <c r="AHN147" s="26"/>
      <c r="AHO147" s="26"/>
      <c r="AHP147" s="26"/>
      <c r="AHQ147" s="26"/>
      <c r="AHR147" s="26"/>
      <c r="AHS147" s="26"/>
      <c r="AHT147" s="26"/>
      <c r="AHU147" s="26"/>
      <c r="AHV147" s="26"/>
      <c r="AHW147" s="26"/>
      <c r="AHX147" s="26"/>
      <c r="AHY147" s="26"/>
      <c r="AHZ147" s="26"/>
      <c r="AIA147" s="26"/>
      <c r="AIB147" s="26"/>
      <c r="AIC147" s="26"/>
      <c r="AID147" s="26"/>
      <c r="AIE147" s="26"/>
      <c r="AIF147" s="26"/>
      <c r="AIG147" s="26"/>
      <c r="AIH147" s="26"/>
      <c r="AII147" s="26"/>
      <c r="AIJ147" s="26"/>
      <c r="AIK147" s="26"/>
      <c r="AIL147" s="26"/>
      <c r="AIM147" s="26"/>
      <c r="AIN147" s="26"/>
      <c r="AIO147" s="26"/>
      <c r="AIP147" s="26"/>
      <c r="AIQ147" s="26"/>
      <c r="AIR147" s="26"/>
      <c r="AIS147" s="26"/>
      <c r="AIT147" s="26"/>
      <c r="AIU147" s="26"/>
      <c r="AIV147" s="26"/>
      <c r="AIW147" s="26"/>
      <c r="AIX147" s="26"/>
      <c r="AIY147" s="26"/>
      <c r="AIZ147" s="26"/>
      <c r="AJA147" s="26"/>
      <c r="AJB147" s="26"/>
      <c r="AJC147" s="26"/>
      <c r="AJD147" s="26"/>
      <c r="AJE147" s="26"/>
      <c r="AJF147" s="26"/>
      <c r="AJG147" s="26"/>
      <c r="AJH147" s="26"/>
      <c r="AJI147" s="26"/>
      <c r="AJJ147" s="26"/>
      <c r="AJK147" s="26"/>
      <c r="AJL147" s="26"/>
      <c r="AJM147" s="26"/>
      <c r="AJN147" s="26"/>
      <c r="AJO147" s="26"/>
      <c r="AJP147" s="26"/>
      <c r="AJQ147" s="26"/>
      <c r="AJR147" s="26"/>
      <c r="AJS147" s="26"/>
      <c r="AJT147" s="26"/>
      <c r="AJU147" s="26"/>
      <c r="AJV147" s="26"/>
      <c r="AJW147" s="26"/>
      <c r="AJX147" s="26"/>
      <c r="AJY147" s="26"/>
      <c r="AJZ147" s="26"/>
      <c r="AKA147" s="26"/>
      <c r="AKB147" s="26"/>
      <c r="AKC147" s="26"/>
      <c r="AKD147" s="26"/>
      <c r="AKE147" s="26"/>
      <c r="AKF147" s="26"/>
      <c r="AKG147" s="26"/>
      <c r="AKH147" s="26"/>
      <c r="AKI147" s="26"/>
      <c r="AKJ147" s="26"/>
      <c r="AKK147" s="26"/>
      <c r="AKL147" s="26"/>
      <c r="AKM147" s="26"/>
      <c r="AKN147" s="26"/>
      <c r="AKO147" s="26"/>
      <c r="AKP147" s="26"/>
      <c r="AKQ147" s="26"/>
      <c r="AKR147" s="26"/>
      <c r="AKS147" s="26"/>
      <c r="AKT147" s="26"/>
      <c r="AKU147" s="26"/>
      <c r="AKV147" s="26"/>
      <c r="AKW147" s="26"/>
      <c r="AKX147" s="26"/>
      <c r="AKY147" s="26"/>
      <c r="AKZ147" s="26"/>
      <c r="ALA147" s="26"/>
      <c r="ALB147" s="26"/>
      <c r="ALC147" s="26"/>
      <c r="ALD147" s="26"/>
      <c r="ALE147" s="26"/>
      <c r="ALF147" s="26"/>
      <c r="ALG147" s="26"/>
      <c r="ALH147" s="26"/>
      <c r="ALI147" s="26"/>
      <c r="ALJ147" s="26"/>
      <c r="ALK147" s="26"/>
      <c r="ALL147" s="26"/>
      <c r="ALM147" s="26"/>
      <c r="ALN147" s="26"/>
      <c r="ALO147" s="26"/>
      <c r="ALP147" s="26"/>
      <c r="ALQ147" s="26"/>
      <c r="ALR147" s="26"/>
      <c r="ALS147" s="26"/>
      <c r="ALT147" s="26"/>
      <c r="ALU147" s="26"/>
      <c r="ALV147" s="26"/>
      <c r="ALW147" s="26"/>
      <c r="ALX147" s="26"/>
      <c r="ALY147" s="26"/>
      <c r="ALZ147" s="26"/>
      <c r="AMA147" s="26"/>
      <c r="AMB147" s="26"/>
      <c r="AMC147" s="26"/>
      <c r="AMD147" s="26"/>
      <c r="AME147" s="26"/>
      <c r="AMF147" s="26"/>
      <c r="AMG147" s="26"/>
      <c r="AMH147" s="26"/>
      <c r="AMI147" s="26"/>
      <c r="AMJ147" s="26"/>
      <c r="AMK147" s="26"/>
      <c r="AML147" s="26"/>
      <c r="AMM147" s="26"/>
      <c r="AMN147" s="26"/>
      <c r="AMO147" s="26"/>
      <c r="AMP147" s="26"/>
      <c r="AMQ147" s="26"/>
      <c r="AMR147" s="26"/>
      <c r="AMS147" s="26"/>
      <c r="AMT147" s="26"/>
      <c r="AMU147" s="26"/>
      <c r="AMV147" s="26"/>
      <c r="AMW147" s="26"/>
      <c r="AMX147" s="26"/>
      <c r="AMY147" s="26"/>
      <c r="AMZ147" s="26"/>
      <c r="ANA147" s="26"/>
      <c r="ANB147" s="26"/>
      <c r="ANC147" s="26"/>
      <c r="AND147" s="26"/>
      <c r="ANE147" s="26"/>
      <c r="ANF147" s="26"/>
      <c r="ANG147" s="26"/>
      <c r="ANH147" s="26"/>
      <c r="ANI147" s="26"/>
      <c r="ANJ147" s="26"/>
      <c r="ANK147" s="26"/>
      <c r="ANL147" s="26"/>
      <c r="ANM147" s="26"/>
      <c r="ANN147" s="26"/>
      <c r="ANO147" s="26"/>
      <c r="ANP147" s="26"/>
      <c r="ANQ147" s="26"/>
      <c r="ANR147" s="26"/>
      <c r="ANS147" s="26"/>
      <c r="ANT147" s="26"/>
      <c r="ANU147" s="26"/>
      <c r="ANV147" s="26"/>
      <c r="ANW147" s="26"/>
      <c r="ANX147" s="26"/>
      <c r="ANY147" s="26"/>
      <c r="ANZ147" s="26"/>
      <c r="AOA147" s="26"/>
      <c r="AOB147" s="26"/>
      <c r="AOC147" s="26"/>
      <c r="AOD147" s="26"/>
      <c r="AOE147" s="26"/>
      <c r="AOF147" s="26"/>
      <c r="AOG147" s="26"/>
      <c r="AOH147" s="26"/>
      <c r="AOI147" s="26"/>
      <c r="AOJ147" s="26"/>
      <c r="AOK147" s="26"/>
      <c r="AOL147" s="26"/>
      <c r="AOM147" s="26"/>
      <c r="AON147" s="26"/>
      <c r="AOO147" s="26"/>
      <c r="AOP147" s="26"/>
      <c r="AOQ147" s="26"/>
      <c r="AOR147" s="26"/>
      <c r="AOS147" s="26"/>
      <c r="AOT147" s="26"/>
      <c r="AOU147" s="26"/>
      <c r="AOV147" s="26"/>
      <c r="AOW147" s="26"/>
      <c r="AOX147" s="26"/>
      <c r="AOY147" s="26"/>
      <c r="AOZ147" s="26"/>
      <c r="APA147" s="26"/>
      <c r="APB147" s="26"/>
      <c r="APC147" s="26"/>
      <c r="APD147" s="26"/>
      <c r="APE147" s="26"/>
      <c r="APF147" s="26"/>
      <c r="APG147" s="26"/>
      <c r="APH147" s="26"/>
      <c r="API147" s="26"/>
      <c r="APJ147" s="26"/>
      <c r="APK147" s="26"/>
      <c r="APL147" s="26"/>
      <c r="APM147" s="26"/>
      <c r="APN147" s="26"/>
      <c r="APO147" s="26"/>
      <c r="APP147" s="26"/>
      <c r="APQ147" s="26"/>
      <c r="APR147" s="26"/>
      <c r="APS147" s="26"/>
      <c r="APT147" s="26"/>
      <c r="APU147" s="26"/>
      <c r="APV147" s="26"/>
      <c r="APW147" s="26"/>
      <c r="APX147" s="26"/>
      <c r="APY147" s="26"/>
      <c r="APZ147" s="26"/>
      <c r="AQA147" s="26"/>
      <c r="AQB147" s="26"/>
      <c r="AQC147" s="26"/>
      <c r="AQD147" s="26"/>
      <c r="AQE147" s="26"/>
      <c r="AQF147" s="26"/>
      <c r="AQG147" s="26"/>
      <c r="AQH147" s="26"/>
      <c r="AQI147" s="26"/>
      <c r="AQJ147" s="26"/>
      <c r="AQK147" s="26"/>
      <c r="AQL147" s="26"/>
      <c r="AQM147" s="26"/>
      <c r="AQN147" s="26"/>
      <c r="AQO147" s="26"/>
      <c r="AQP147" s="26"/>
      <c r="AQQ147" s="26"/>
      <c r="AQR147" s="26"/>
      <c r="AQS147" s="26"/>
      <c r="AQT147" s="26"/>
      <c r="AQU147" s="26"/>
      <c r="AQV147" s="26"/>
      <c r="AQW147" s="26"/>
      <c r="AQX147" s="26"/>
      <c r="AQY147" s="26"/>
      <c r="AQZ147" s="26"/>
      <c r="ARA147" s="26"/>
      <c r="ARB147" s="26"/>
      <c r="ARC147" s="26"/>
      <c r="ARD147" s="26"/>
      <c r="ARE147" s="26"/>
      <c r="ARF147" s="26"/>
      <c r="ARG147" s="26"/>
      <c r="ARH147" s="26"/>
      <c r="ARI147" s="26"/>
      <c r="ARJ147" s="26"/>
      <c r="ARK147" s="26"/>
      <c r="ARL147" s="26"/>
      <c r="ARM147" s="26"/>
      <c r="ARN147" s="26"/>
      <c r="ARO147" s="26"/>
      <c r="ARP147" s="26"/>
      <c r="ARQ147" s="26"/>
      <c r="ARR147" s="26"/>
      <c r="ARS147" s="26"/>
      <c r="ART147" s="26"/>
      <c r="ARU147" s="26"/>
      <c r="ARV147" s="26"/>
      <c r="ARW147" s="26"/>
      <c r="ARX147" s="26"/>
      <c r="ARY147" s="26"/>
      <c r="ARZ147" s="26"/>
      <c r="ASA147" s="26"/>
      <c r="ASB147" s="26"/>
      <c r="ASC147" s="26"/>
      <c r="ASD147" s="26"/>
      <c r="ASE147" s="26"/>
      <c r="ASF147" s="26"/>
      <c r="ASG147" s="26"/>
      <c r="ASH147" s="26"/>
      <c r="ASI147" s="26"/>
      <c r="ASJ147" s="26"/>
      <c r="ASK147" s="26"/>
      <c r="ASL147" s="26"/>
      <c r="ASM147" s="26"/>
      <c r="ASN147" s="26"/>
      <c r="ASO147" s="26"/>
      <c r="ASP147" s="26"/>
      <c r="ASQ147" s="26"/>
      <c r="ASR147" s="26"/>
      <c r="ASS147" s="26"/>
      <c r="AST147" s="26"/>
      <c r="ASU147" s="26"/>
      <c r="ASV147" s="26"/>
      <c r="ASW147" s="26"/>
      <c r="ASX147" s="26"/>
      <c r="ASY147" s="26"/>
      <c r="ASZ147" s="26"/>
      <c r="ATA147" s="26"/>
      <c r="ATB147" s="26"/>
      <c r="ATC147" s="26"/>
      <c r="ATD147" s="26"/>
      <c r="ATE147" s="26"/>
      <c r="ATF147" s="26"/>
      <c r="ATG147" s="26"/>
      <c r="ATH147" s="26"/>
      <c r="ATI147" s="26"/>
      <c r="ATJ147" s="26"/>
      <c r="ATK147" s="26"/>
      <c r="ATL147" s="26"/>
      <c r="ATM147" s="26"/>
      <c r="ATN147" s="26"/>
      <c r="ATO147" s="26"/>
      <c r="ATP147" s="26"/>
      <c r="ATQ147" s="26"/>
      <c r="ATR147" s="26"/>
      <c r="ATS147" s="26"/>
      <c r="ATT147" s="26"/>
      <c r="ATU147" s="26"/>
      <c r="ATV147" s="26"/>
      <c r="ATW147" s="26"/>
      <c r="ATX147" s="26"/>
      <c r="ATY147" s="26"/>
      <c r="ATZ147" s="26"/>
      <c r="AUA147" s="26"/>
      <c r="AUB147" s="26"/>
      <c r="AUC147" s="26"/>
      <c r="AUD147" s="26"/>
      <c r="AUE147" s="26"/>
      <c r="AUF147" s="26"/>
      <c r="AUG147" s="26"/>
      <c r="AUH147" s="26"/>
      <c r="AUI147" s="26"/>
      <c r="AUJ147" s="26"/>
      <c r="AUK147" s="26"/>
      <c r="AUL147" s="26"/>
      <c r="AUM147" s="26"/>
      <c r="AUN147" s="26"/>
      <c r="AUO147" s="26"/>
      <c r="AUP147" s="26"/>
      <c r="AUQ147" s="26"/>
      <c r="AUR147" s="26"/>
      <c r="AUS147" s="26"/>
      <c r="AUT147" s="26"/>
      <c r="AUU147" s="26"/>
      <c r="AUV147" s="26"/>
      <c r="AUW147" s="26"/>
      <c r="AUX147" s="26"/>
      <c r="AUY147" s="26"/>
      <c r="AUZ147" s="26"/>
      <c r="AVA147" s="26"/>
      <c r="AVB147" s="26"/>
      <c r="AVC147" s="26"/>
      <c r="AVD147" s="26"/>
      <c r="AVE147" s="26"/>
      <c r="AVF147" s="26"/>
      <c r="AVG147" s="26"/>
      <c r="AVH147" s="26"/>
      <c r="AVI147" s="26"/>
      <c r="AVJ147" s="26"/>
      <c r="AVK147" s="26"/>
      <c r="AVL147" s="26"/>
      <c r="AVM147" s="26"/>
      <c r="AVN147" s="26"/>
      <c r="AVO147" s="26"/>
      <c r="AVP147" s="26"/>
      <c r="AVQ147" s="26"/>
      <c r="AVR147" s="26"/>
      <c r="AVS147" s="26"/>
      <c r="AVT147" s="26"/>
      <c r="AVU147" s="26"/>
      <c r="AVV147" s="26"/>
      <c r="AVW147" s="26"/>
      <c r="AVX147" s="26"/>
      <c r="AVY147" s="26"/>
      <c r="AVZ147" s="26"/>
      <c r="AWA147" s="26"/>
      <c r="AWB147" s="26"/>
      <c r="AWC147" s="26"/>
      <c r="AWD147" s="26"/>
      <c r="AWE147" s="26"/>
      <c r="AWF147" s="26"/>
      <c r="AWG147" s="26"/>
      <c r="AWH147" s="26"/>
      <c r="AWI147" s="26"/>
      <c r="AWJ147" s="26"/>
      <c r="AWK147" s="26"/>
      <c r="AWL147" s="26"/>
      <c r="AWM147" s="26"/>
      <c r="AWN147" s="26"/>
      <c r="AWO147" s="26"/>
      <c r="AWP147" s="26"/>
      <c r="AWQ147" s="26"/>
      <c r="AWR147" s="26"/>
      <c r="AWS147" s="26"/>
      <c r="AWT147" s="26"/>
      <c r="AWU147" s="26"/>
      <c r="AWV147" s="26"/>
      <c r="AWW147" s="26"/>
      <c r="AWX147" s="26"/>
      <c r="AWY147" s="26"/>
      <c r="AWZ147" s="26"/>
      <c r="AXA147" s="26"/>
      <c r="AXB147" s="26"/>
      <c r="AXC147" s="26"/>
      <c r="AXD147" s="26"/>
      <c r="AXE147" s="26"/>
      <c r="AXF147" s="26"/>
      <c r="AXG147" s="26"/>
      <c r="AXH147" s="26"/>
      <c r="AXI147" s="26"/>
      <c r="AXJ147" s="26"/>
      <c r="AXK147" s="26"/>
      <c r="AXL147" s="26"/>
      <c r="AXM147" s="26"/>
      <c r="AXN147" s="26"/>
      <c r="AXO147" s="26"/>
      <c r="AXP147" s="26"/>
      <c r="AXQ147" s="26"/>
      <c r="AXR147" s="26"/>
      <c r="AXS147" s="26"/>
      <c r="AXT147" s="26"/>
      <c r="AXU147" s="26"/>
      <c r="AXV147" s="26"/>
      <c r="AXW147" s="26"/>
      <c r="AXX147" s="26"/>
      <c r="AXY147" s="26"/>
      <c r="AXZ147" s="26"/>
      <c r="AYA147" s="26"/>
      <c r="AYB147" s="26"/>
      <c r="AYC147" s="26"/>
      <c r="AYD147" s="26"/>
      <c r="AYE147" s="26"/>
      <c r="AYF147" s="26"/>
      <c r="AYG147" s="26"/>
      <c r="AYH147" s="26"/>
      <c r="AYI147" s="26"/>
      <c r="AYJ147" s="26"/>
      <c r="AYK147" s="26"/>
      <c r="AYL147" s="26"/>
      <c r="AYM147" s="26"/>
      <c r="AYN147" s="26"/>
      <c r="AYO147" s="26"/>
      <c r="AYP147" s="26"/>
      <c r="AYQ147" s="26"/>
      <c r="AYR147" s="26"/>
      <c r="AYS147" s="26"/>
      <c r="AYT147" s="26"/>
      <c r="AYU147" s="26"/>
      <c r="AYV147" s="26"/>
      <c r="AYW147" s="26"/>
      <c r="AYX147" s="26"/>
      <c r="AYY147" s="26"/>
      <c r="AYZ147" s="26"/>
      <c r="AZA147" s="26"/>
      <c r="AZB147" s="26"/>
      <c r="AZC147" s="26"/>
      <c r="AZD147" s="26"/>
      <c r="AZE147" s="26"/>
      <c r="AZF147" s="26"/>
      <c r="AZG147" s="26"/>
      <c r="AZH147" s="26"/>
      <c r="AZI147" s="26"/>
      <c r="AZJ147" s="26"/>
      <c r="AZK147" s="26"/>
      <c r="AZL147" s="26"/>
      <c r="AZM147" s="26"/>
      <c r="AZN147" s="26"/>
      <c r="AZO147" s="26"/>
      <c r="AZP147" s="26"/>
      <c r="AZQ147" s="26"/>
      <c r="AZR147" s="26"/>
      <c r="AZS147" s="26"/>
      <c r="AZT147" s="26"/>
      <c r="AZU147" s="26"/>
      <c r="AZV147" s="26"/>
      <c r="AZW147" s="26"/>
      <c r="AZX147" s="26"/>
      <c r="AZY147" s="26"/>
      <c r="AZZ147" s="26"/>
      <c r="BAA147" s="26"/>
      <c r="BAB147" s="26"/>
      <c r="BAC147" s="26"/>
      <c r="BAD147" s="26"/>
      <c r="BAE147" s="26"/>
      <c r="BAF147" s="26"/>
      <c r="BAG147" s="26"/>
      <c r="BAH147" s="26"/>
      <c r="BAI147" s="26"/>
      <c r="BAJ147" s="26"/>
      <c r="BAK147" s="26"/>
      <c r="BAL147" s="26"/>
      <c r="BAM147" s="26"/>
      <c r="BAN147" s="26"/>
      <c r="BAO147" s="26"/>
      <c r="BAP147" s="26"/>
      <c r="BAQ147" s="26"/>
      <c r="BAR147" s="26"/>
      <c r="BAS147" s="26"/>
      <c r="BAT147" s="26"/>
      <c r="BAU147" s="26"/>
      <c r="BAV147" s="26"/>
      <c r="BAW147" s="26"/>
      <c r="BAX147" s="26"/>
      <c r="BAY147" s="26"/>
      <c r="BAZ147" s="26"/>
      <c r="BBA147" s="26"/>
      <c r="BBB147" s="26"/>
      <c r="BBC147" s="26"/>
      <c r="BBD147" s="26"/>
      <c r="BBE147" s="26"/>
      <c r="BBF147" s="26"/>
      <c r="BBG147" s="26"/>
      <c r="BBH147" s="26"/>
      <c r="BBI147" s="26"/>
      <c r="BBJ147" s="26"/>
      <c r="BBK147" s="26"/>
      <c r="BBL147" s="26"/>
      <c r="BBM147" s="26"/>
      <c r="BBN147" s="26"/>
      <c r="BBO147" s="26"/>
      <c r="BBP147" s="26"/>
      <c r="BBQ147" s="26"/>
      <c r="BBR147" s="26"/>
      <c r="BBS147" s="26"/>
      <c r="BBT147" s="26"/>
      <c r="BBU147" s="26"/>
      <c r="BBV147" s="26"/>
      <c r="BBW147" s="26"/>
      <c r="BBX147" s="26"/>
      <c r="BBY147" s="26"/>
      <c r="BBZ147" s="26"/>
      <c r="BCA147" s="26"/>
      <c r="BCB147" s="26"/>
      <c r="BCC147" s="26"/>
      <c r="BCD147" s="26"/>
      <c r="BCE147" s="26"/>
      <c r="BCF147" s="26"/>
      <c r="BCG147" s="26"/>
      <c r="BCH147" s="26"/>
      <c r="BCI147" s="26"/>
      <c r="BCJ147" s="26"/>
      <c r="BCK147" s="26"/>
      <c r="BCL147" s="26"/>
      <c r="BCM147" s="26"/>
      <c r="BCN147" s="26"/>
      <c r="BCO147" s="26"/>
      <c r="BCP147" s="26"/>
      <c r="BCQ147" s="26"/>
      <c r="BCR147" s="26"/>
      <c r="BCS147" s="26"/>
      <c r="BCT147" s="26"/>
      <c r="BCU147" s="26"/>
      <c r="BCV147" s="26"/>
      <c r="BCW147" s="26"/>
      <c r="BCX147" s="26"/>
      <c r="BCY147" s="26"/>
      <c r="BCZ147" s="26"/>
      <c r="BDA147" s="26"/>
      <c r="BDB147" s="26"/>
      <c r="BDC147" s="26"/>
      <c r="BDD147" s="26"/>
      <c r="BDE147" s="26"/>
      <c r="BDF147" s="26"/>
      <c r="BDG147" s="26"/>
      <c r="BDH147" s="26"/>
      <c r="BDI147" s="26"/>
      <c r="BDJ147" s="26"/>
      <c r="BDK147" s="26"/>
      <c r="BDL147" s="26"/>
      <c r="BDM147" s="26"/>
      <c r="BDN147" s="26"/>
      <c r="BDO147" s="26"/>
      <c r="BDP147" s="26"/>
      <c r="BDQ147" s="26"/>
      <c r="BDR147" s="26"/>
      <c r="BDS147" s="26"/>
      <c r="BDT147" s="26"/>
      <c r="BDU147" s="26"/>
      <c r="BDV147" s="26"/>
      <c r="BDW147" s="26"/>
      <c r="BDX147" s="26"/>
      <c r="BDY147" s="26"/>
      <c r="BDZ147" s="26"/>
      <c r="BEA147" s="26"/>
      <c r="BEB147" s="26"/>
      <c r="BEC147" s="26"/>
      <c r="BED147" s="26"/>
      <c r="BEE147" s="26"/>
      <c r="BEF147" s="26"/>
      <c r="BEG147" s="26"/>
      <c r="BEH147" s="26"/>
      <c r="BEI147" s="26"/>
      <c r="BEJ147" s="26"/>
      <c r="BEK147" s="26"/>
      <c r="BEL147" s="26"/>
      <c r="BEM147" s="26"/>
      <c r="BEN147" s="26"/>
      <c r="BEO147" s="26"/>
      <c r="BEP147" s="26"/>
      <c r="BEQ147" s="26"/>
      <c r="BER147" s="26"/>
      <c r="BES147" s="26"/>
      <c r="BET147" s="26"/>
      <c r="BEU147" s="26"/>
      <c r="BEV147" s="26"/>
      <c r="BEW147" s="26"/>
      <c r="BEX147" s="26"/>
      <c r="BEY147" s="26"/>
      <c r="BEZ147" s="26"/>
      <c r="BFA147" s="26"/>
      <c r="BFB147" s="26"/>
      <c r="BFC147" s="26"/>
      <c r="BFD147" s="26"/>
      <c r="BFE147" s="26"/>
      <c r="BFF147" s="26"/>
      <c r="BFG147" s="26"/>
      <c r="BFH147" s="26"/>
      <c r="BFI147" s="26"/>
      <c r="BFJ147" s="26"/>
      <c r="BFK147" s="26"/>
      <c r="BFL147" s="26"/>
      <c r="BFM147" s="26"/>
      <c r="BFN147" s="26"/>
      <c r="BFO147" s="26"/>
      <c r="BFP147" s="26"/>
      <c r="BFQ147" s="26"/>
      <c r="BFR147" s="26"/>
      <c r="BFS147" s="26"/>
      <c r="BFT147" s="26"/>
      <c r="BFU147" s="26"/>
      <c r="BFV147" s="26"/>
      <c r="BFW147" s="26"/>
      <c r="BFX147" s="26"/>
      <c r="BFY147" s="26"/>
      <c r="BFZ147" s="26"/>
      <c r="BGA147" s="26"/>
      <c r="BGB147" s="26"/>
      <c r="BGC147" s="26"/>
      <c r="BGD147" s="26"/>
      <c r="BGE147" s="26"/>
      <c r="BGF147" s="26"/>
      <c r="BGG147" s="26"/>
      <c r="BGH147" s="26"/>
      <c r="BGI147" s="26"/>
      <c r="BGJ147" s="26"/>
      <c r="BGK147" s="26"/>
      <c r="BGL147" s="26"/>
      <c r="BGM147" s="26"/>
      <c r="BGN147" s="26"/>
      <c r="BGO147" s="26"/>
      <c r="BGP147" s="26"/>
      <c r="BGQ147" s="26"/>
      <c r="BGR147" s="26"/>
      <c r="BGS147" s="26"/>
      <c r="BGT147" s="26"/>
      <c r="BGU147" s="26"/>
      <c r="BGV147" s="26"/>
      <c r="BGW147" s="26"/>
      <c r="BGX147" s="26"/>
      <c r="BGY147" s="26"/>
      <c r="BGZ147" s="26"/>
      <c r="BHA147" s="26"/>
      <c r="BHB147" s="26"/>
      <c r="BHC147" s="26"/>
      <c r="BHD147" s="26"/>
      <c r="BHE147" s="26"/>
      <c r="BHF147" s="26"/>
      <c r="BHG147" s="26"/>
      <c r="BHH147" s="26"/>
      <c r="BHI147" s="26"/>
      <c r="BHJ147" s="26"/>
      <c r="BHK147" s="26"/>
      <c r="BHL147" s="26"/>
      <c r="BHM147" s="26"/>
      <c r="BHN147" s="26"/>
      <c r="BHO147" s="26"/>
      <c r="BHP147" s="26"/>
      <c r="BHQ147" s="26"/>
      <c r="BHR147" s="26"/>
      <c r="BHS147" s="26"/>
      <c r="BHT147" s="26"/>
      <c r="BHU147" s="26"/>
      <c r="BHV147" s="26"/>
      <c r="BHW147" s="26"/>
      <c r="BHX147" s="26"/>
      <c r="BHY147" s="26"/>
      <c r="BHZ147" s="26"/>
      <c r="BIA147" s="26"/>
      <c r="BIB147" s="26"/>
      <c r="BIC147" s="26"/>
      <c r="BID147" s="26"/>
      <c r="BIE147" s="26"/>
      <c r="BIF147" s="26"/>
      <c r="BIG147" s="26"/>
      <c r="BIH147" s="26"/>
      <c r="BII147" s="26"/>
      <c r="BIJ147" s="26"/>
      <c r="BIK147" s="26"/>
      <c r="BIL147" s="26"/>
      <c r="BIM147" s="26"/>
      <c r="BIN147" s="26"/>
      <c r="BIO147" s="26"/>
      <c r="BIP147" s="26"/>
      <c r="BIQ147" s="26"/>
      <c r="BIR147" s="26"/>
      <c r="BIS147" s="26"/>
      <c r="BIT147" s="26"/>
      <c r="BIU147" s="26"/>
      <c r="BIV147" s="26"/>
      <c r="BIW147" s="26"/>
      <c r="BIX147" s="26"/>
      <c r="BIY147" s="26"/>
      <c r="BIZ147" s="26"/>
      <c r="BJA147" s="26"/>
      <c r="BJB147" s="26"/>
      <c r="BJC147" s="26"/>
      <c r="BJD147" s="26"/>
      <c r="BJE147" s="26"/>
      <c r="BJF147" s="26"/>
      <c r="BJG147" s="26"/>
      <c r="BJH147" s="26"/>
      <c r="BJI147" s="26"/>
      <c r="BJJ147" s="26"/>
      <c r="BJK147" s="26"/>
      <c r="BJL147" s="26"/>
      <c r="BJM147" s="26"/>
      <c r="BJN147" s="26"/>
      <c r="BJO147" s="26"/>
      <c r="BJP147" s="26"/>
      <c r="BJQ147" s="26"/>
      <c r="BJR147" s="26"/>
      <c r="BJS147" s="26"/>
      <c r="BJT147" s="26"/>
      <c r="BJU147" s="26"/>
      <c r="BJV147" s="26"/>
      <c r="BJW147" s="26"/>
      <c r="BJX147" s="26"/>
      <c r="BJY147" s="26"/>
      <c r="BJZ147" s="26"/>
      <c r="BKA147" s="26"/>
      <c r="BKB147" s="26"/>
      <c r="BKC147" s="26"/>
      <c r="BKD147" s="26"/>
      <c r="BKE147" s="26"/>
      <c r="BKF147" s="26"/>
      <c r="BKG147" s="26"/>
      <c r="BKH147" s="26"/>
      <c r="BKI147" s="26"/>
      <c r="BKJ147" s="26"/>
      <c r="BKK147" s="26"/>
      <c r="BKL147" s="26"/>
      <c r="BKM147" s="26"/>
      <c r="BKN147" s="26"/>
      <c r="BKO147" s="26"/>
      <c r="BKP147" s="26"/>
      <c r="BKQ147" s="26"/>
      <c r="BKR147" s="26"/>
      <c r="BKS147" s="26"/>
      <c r="BKT147" s="26"/>
      <c r="BKU147" s="26"/>
      <c r="BKV147" s="26"/>
      <c r="BKW147" s="26"/>
      <c r="BKX147" s="26"/>
      <c r="BKY147" s="26"/>
      <c r="BKZ147" s="26"/>
      <c r="BLA147" s="26"/>
      <c r="BLB147" s="26"/>
      <c r="BLC147" s="26"/>
      <c r="BLD147" s="26"/>
      <c r="BLE147" s="26"/>
      <c r="BLF147" s="26"/>
      <c r="BLG147" s="26"/>
      <c r="BLH147" s="26"/>
      <c r="BLI147" s="26"/>
      <c r="BLJ147" s="26"/>
      <c r="BLK147" s="26"/>
      <c r="BLL147" s="26"/>
      <c r="BLM147" s="26"/>
      <c r="BLN147" s="26"/>
      <c r="BLO147" s="26"/>
      <c r="BLP147" s="26"/>
      <c r="BLQ147" s="26"/>
      <c r="BLR147" s="26"/>
      <c r="BLS147" s="26"/>
      <c r="BLT147" s="26"/>
      <c r="BLU147" s="26"/>
      <c r="BLV147" s="26"/>
      <c r="BLW147" s="26"/>
      <c r="BLX147" s="26"/>
      <c r="BLY147" s="26"/>
      <c r="BLZ147" s="26"/>
      <c r="BMA147" s="26"/>
      <c r="BMB147" s="26"/>
      <c r="BMC147" s="26"/>
      <c r="BMD147" s="26"/>
      <c r="BME147" s="26"/>
      <c r="BMF147" s="26"/>
      <c r="BMG147" s="26"/>
      <c r="BMH147" s="26"/>
      <c r="BMI147" s="26"/>
      <c r="BMJ147" s="26"/>
      <c r="BMK147" s="26"/>
      <c r="BML147" s="26"/>
      <c r="BMM147" s="26"/>
      <c r="BMN147" s="26"/>
      <c r="BMO147" s="26"/>
      <c r="BMP147" s="26"/>
      <c r="BMQ147" s="26"/>
      <c r="BMR147" s="26"/>
      <c r="BMS147" s="26"/>
      <c r="BMT147" s="26"/>
      <c r="BMU147" s="26"/>
      <c r="BMV147" s="26"/>
      <c r="BMW147" s="26"/>
      <c r="BMX147" s="26"/>
      <c r="BMY147" s="26"/>
      <c r="BMZ147" s="26"/>
      <c r="BNA147" s="26"/>
      <c r="BNB147" s="26"/>
      <c r="BNC147" s="26"/>
      <c r="BND147" s="26"/>
      <c r="BNE147" s="26"/>
      <c r="BNF147" s="26"/>
      <c r="BNG147" s="26"/>
      <c r="BNH147" s="26"/>
      <c r="BNI147" s="26"/>
      <c r="BNJ147" s="26"/>
      <c r="BNK147" s="26"/>
      <c r="BNL147" s="26"/>
      <c r="BNM147" s="26"/>
      <c r="BNN147" s="26"/>
      <c r="BNO147" s="26"/>
      <c r="BNP147" s="26"/>
      <c r="BNQ147" s="26"/>
      <c r="BNR147" s="26"/>
      <c r="BNS147" s="26"/>
      <c r="BNT147" s="26"/>
      <c r="BNU147" s="26"/>
      <c r="BNV147" s="26"/>
      <c r="BNW147" s="26"/>
      <c r="BNX147" s="26"/>
      <c r="BNY147" s="26"/>
      <c r="BNZ147" s="26"/>
      <c r="BOA147" s="26"/>
      <c r="BOB147" s="26"/>
      <c r="BOC147" s="26"/>
      <c r="BOD147" s="26"/>
      <c r="BOE147" s="26"/>
      <c r="BOF147" s="26"/>
      <c r="BOG147" s="26"/>
      <c r="BOH147" s="26"/>
      <c r="BOI147" s="26"/>
      <c r="BOJ147" s="26"/>
      <c r="BOK147" s="26"/>
      <c r="BOL147" s="26"/>
      <c r="BOM147" s="26"/>
      <c r="BON147" s="26"/>
      <c r="BOO147" s="26"/>
      <c r="BOP147" s="26"/>
      <c r="BOQ147" s="26"/>
      <c r="BOR147" s="26"/>
      <c r="BOS147" s="26"/>
      <c r="BOT147" s="26"/>
      <c r="BOU147" s="26"/>
      <c r="BOV147" s="26"/>
      <c r="BOW147" s="26"/>
      <c r="BOX147" s="26"/>
      <c r="BOY147" s="26"/>
      <c r="BOZ147" s="26"/>
      <c r="BPA147" s="26"/>
      <c r="BPB147" s="26"/>
      <c r="BPC147" s="26"/>
      <c r="BPD147" s="26"/>
      <c r="BPE147" s="26"/>
      <c r="BPF147" s="26"/>
      <c r="BPG147" s="26"/>
      <c r="BPH147" s="26"/>
      <c r="BPI147" s="26"/>
      <c r="BPJ147" s="26"/>
      <c r="BPK147" s="26"/>
      <c r="BPL147" s="26"/>
      <c r="BPM147" s="26"/>
      <c r="BPN147" s="26"/>
      <c r="BPO147" s="26"/>
      <c r="BPP147" s="26"/>
      <c r="BPQ147" s="26"/>
      <c r="BPR147" s="26"/>
      <c r="BPS147" s="26"/>
      <c r="BPT147" s="26"/>
      <c r="BPU147" s="26"/>
      <c r="BPV147" s="26"/>
      <c r="BPW147" s="26"/>
      <c r="BPX147" s="26"/>
      <c r="BPY147" s="26"/>
      <c r="BPZ147" s="26"/>
      <c r="BQA147" s="26"/>
      <c r="BQB147" s="26"/>
      <c r="BQC147" s="26"/>
      <c r="BQD147" s="26"/>
      <c r="BQE147" s="26"/>
      <c r="BQF147" s="26"/>
      <c r="BQG147" s="26"/>
      <c r="BQH147" s="26"/>
      <c r="BQI147" s="26"/>
      <c r="BQJ147" s="26"/>
      <c r="BQK147" s="26"/>
      <c r="BQL147" s="26"/>
      <c r="BQM147" s="26"/>
      <c r="BQN147" s="26"/>
      <c r="BQO147" s="26"/>
      <c r="BQP147" s="26"/>
      <c r="BQQ147" s="26"/>
      <c r="BQR147" s="26"/>
      <c r="BQS147" s="26"/>
      <c r="BQT147" s="26"/>
      <c r="BQU147" s="26"/>
      <c r="BQV147" s="26"/>
      <c r="BQW147" s="26"/>
      <c r="BQX147" s="26"/>
      <c r="BQY147" s="26"/>
      <c r="BQZ147" s="26"/>
      <c r="BRA147" s="26"/>
      <c r="BRB147" s="26"/>
      <c r="BRC147" s="26"/>
      <c r="BRD147" s="26"/>
      <c r="BRE147" s="26"/>
      <c r="BRF147" s="26"/>
      <c r="BRG147" s="26"/>
      <c r="BRH147" s="26"/>
      <c r="BRI147" s="26"/>
      <c r="BRJ147" s="26"/>
      <c r="BRK147" s="26"/>
      <c r="BRL147" s="26"/>
      <c r="BRM147" s="26"/>
      <c r="BRN147" s="26"/>
      <c r="BRO147" s="26"/>
      <c r="BRP147" s="26"/>
      <c r="BRQ147" s="26"/>
      <c r="BRR147" s="26"/>
      <c r="BRS147" s="26"/>
      <c r="BRT147" s="26"/>
      <c r="BRU147" s="26"/>
      <c r="BRV147" s="26"/>
      <c r="BRW147" s="26"/>
      <c r="BRX147" s="26"/>
      <c r="BRY147" s="26"/>
      <c r="BRZ147" s="26"/>
      <c r="BSA147" s="26"/>
      <c r="BSB147" s="26"/>
      <c r="BSC147" s="26"/>
      <c r="BSD147" s="26"/>
      <c r="BSE147" s="26"/>
      <c r="BSF147" s="26"/>
      <c r="BSG147" s="26"/>
      <c r="BSH147" s="26"/>
      <c r="BSI147" s="26"/>
      <c r="BSJ147" s="26"/>
      <c r="BSK147" s="26"/>
      <c r="BSL147" s="26"/>
      <c r="BSM147" s="26"/>
      <c r="BSN147" s="26"/>
      <c r="BSO147" s="26"/>
      <c r="BSP147" s="26"/>
      <c r="BSQ147" s="26"/>
      <c r="BSR147" s="26"/>
      <c r="BSS147" s="26"/>
      <c r="BST147" s="26"/>
      <c r="BSU147" s="26"/>
      <c r="BSV147" s="26"/>
      <c r="BSW147" s="26"/>
      <c r="BSX147" s="26"/>
      <c r="BSY147" s="26"/>
      <c r="BSZ147" s="26"/>
      <c r="BTA147" s="26"/>
      <c r="BTB147" s="26"/>
      <c r="BTC147" s="26"/>
      <c r="BTD147" s="26"/>
      <c r="BTE147" s="26"/>
      <c r="BTF147" s="26"/>
      <c r="BTG147" s="26"/>
      <c r="BTH147" s="26"/>
      <c r="BTI147" s="26"/>
      <c r="BTJ147" s="26"/>
      <c r="BTK147" s="26"/>
      <c r="BTL147" s="26"/>
      <c r="BTM147" s="26"/>
      <c r="BTN147" s="26"/>
      <c r="BTO147" s="26"/>
      <c r="BTP147" s="26"/>
      <c r="BTQ147" s="26"/>
      <c r="BTR147" s="26"/>
      <c r="BTS147" s="26"/>
      <c r="BTT147" s="26"/>
      <c r="BTU147" s="26"/>
      <c r="BTV147" s="26"/>
      <c r="BTW147" s="26"/>
      <c r="BTX147" s="26"/>
      <c r="BTY147" s="26"/>
      <c r="BTZ147" s="26"/>
      <c r="BUA147" s="26"/>
      <c r="BUB147" s="26"/>
      <c r="BUC147" s="26"/>
      <c r="BUD147" s="26"/>
      <c r="BUE147" s="26"/>
      <c r="BUF147" s="26"/>
      <c r="BUG147" s="26"/>
      <c r="BUH147" s="26"/>
      <c r="BUI147" s="26"/>
      <c r="BUJ147" s="26"/>
      <c r="BUK147" s="26"/>
      <c r="BUL147" s="26"/>
      <c r="BUM147" s="26"/>
      <c r="BUN147" s="26"/>
      <c r="BUO147" s="26"/>
      <c r="BUP147" s="26"/>
      <c r="BUQ147" s="26"/>
      <c r="BUR147" s="26"/>
      <c r="BUS147" s="26"/>
      <c r="BUT147" s="26"/>
      <c r="BUU147" s="26"/>
      <c r="BUV147" s="26"/>
      <c r="BUW147" s="26"/>
      <c r="BUX147" s="26"/>
      <c r="BUY147" s="26"/>
      <c r="BUZ147" s="26"/>
      <c r="BVA147" s="26"/>
      <c r="BVB147" s="26"/>
      <c r="BVC147" s="26"/>
      <c r="BVD147" s="26"/>
      <c r="BVE147" s="26"/>
      <c r="BVF147" s="26"/>
      <c r="BVG147" s="26"/>
      <c r="BVH147" s="26"/>
      <c r="BVI147" s="26"/>
      <c r="BVJ147" s="26"/>
      <c r="BVK147" s="26"/>
      <c r="BVL147" s="26"/>
      <c r="BVM147" s="26"/>
      <c r="BVN147" s="26"/>
      <c r="BVO147" s="26"/>
      <c r="BVP147" s="26"/>
      <c r="BVQ147" s="26"/>
      <c r="BVR147" s="26"/>
      <c r="BVS147" s="26"/>
      <c r="BVT147" s="26"/>
      <c r="BVU147" s="26"/>
      <c r="BVV147" s="26"/>
      <c r="BVW147" s="26"/>
      <c r="BVX147" s="26"/>
      <c r="BVY147" s="26"/>
      <c r="BVZ147" s="26"/>
      <c r="BWA147" s="26"/>
      <c r="BWB147" s="26"/>
      <c r="BWC147" s="26"/>
      <c r="BWD147" s="26"/>
      <c r="BWE147" s="26"/>
      <c r="BWF147" s="26"/>
      <c r="BWG147" s="26"/>
      <c r="BWH147" s="26"/>
      <c r="BWI147" s="26"/>
      <c r="BWJ147" s="26"/>
      <c r="BWK147" s="26"/>
      <c r="BWL147" s="26"/>
      <c r="BWM147" s="26"/>
      <c r="BWN147" s="26"/>
      <c r="BWO147" s="26"/>
      <c r="BWP147" s="26"/>
      <c r="BWQ147" s="26"/>
      <c r="BWR147" s="26"/>
      <c r="BWS147" s="26"/>
      <c r="BWT147" s="26"/>
      <c r="BWU147" s="26"/>
      <c r="BWV147" s="26"/>
      <c r="BWW147" s="26"/>
      <c r="BWX147" s="26"/>
      <c r="BWY147" s="26"/>
      <c r="BWZ147" s="26"/>
      <c r="BXA147" s="26"/>
      <c r="BXB147" s="26"/>
      <c r="BXC147" s="26"/>
      <c r="BXD147" s="26"/>
      <c r="BXE147" s="26"/>
      <c r="BXF147" s="26"/>
      <c r="BXG147" s="26"/>
      <c r="BXH147" s="26"/>
      <c r="BXI147" s="26"/>
      <c r="BXJ147" s="26"/>
      <c r="BXK147" s="26"/>
      <c r="BXL147" s="26"/>
      <c r="BXM147" s="26"/>
      <c r="BXN147" s="26"/>
      <c r="BXO147" s="26"/>
      <c r="BXP147" s="26"/>
      <c r="BXQ147" s="26"/>
      <c r="BXR147" s="26"/>
      <c r="BXS147" s="26"/>
      <c r="BXT147" s="26"/>
      <c r="BXU147" s="26"/>
      <c r="BXV147" s="26"/>
      <c r="BXW147" s="26"/>
      <c r="BXX147" s="26"/>
      <c r="BXY147" s="26"/>
      <c r="BXZ147" s="26"/>
      <c r="BYA147" s="26"/>
      <c r="BYB147" s="26"/>
      <c r="BYC147" s="26"/>
      <c r="BYD147" s="26"/>
      <c r="BYE147" s="26"/>
      <c r="BYF147" s="26"/>
      <c r="BYG147" s="26"/>
      <c r="BYH147" s="26"/>
      <c r="BYI147" s="26"/>
      <c r="BYJ147" s="26"/>
      <c r="BYK147" s="26"/>
      <c r="BYL147" s="26"/>
      <c r="BYM147" s="26"/>
      <c r="BYN147" s="26"/>
      <c r="BYO147" s="26"/>
      <c r="BYP147" s="26"/>
      <c r="BYQ147" s="26"/>
      <c r="BYR147" s="26"/>
      <c r="BYS147" s="26"/>
      <c r="BYT147" s="26"/>
      <c r="BYU147" s="26"/>
      <c r="BYV147" s="26"/>
      <c r="BYW147" s="26"/>
      <c r="BYX147" s="26"/>
      <c r="BYY147" s="26"/>
      <c r="BYZ147" s="26"/>
      <c r="BZA147" s="26"/>
      <c r="BZB147" s="26"/>
      <c r="BZC147" s="26"/>
      <c r="BZD147" s="26"/>
      <c r="BZE147" s="26"/>
      <c r="BZF147" s="26"/>
      <c r="BZG147" s="26"/>
      <c r="BZH147" s="26"/>
      <c r="BZI147" s="26"/>
      <c r="BZJ147" s="26"/>
      <c r="BZK147" s="26"/>
      <c r="BZL147" s="26"/>
      <c r="BZM147" s="26"/>
      <c r="BZN147" s="26"/>
      <c r="BZO147" s="26"/>
      <c r="BZP147" s="26"/>
      <c r="BZQ147" s="26"/>
      <c r="BZR147" s="26"/>
      <c r="BZS147" s="26"/>
      <c r="BZT147" s="26"/>
      <c r="BZU147" s="26"/>
      <c r="BZV147" s="26"/>
      <c r="BZW147" s="26"/>
      <c r="BZX147" s="26"/>
      <c r="BZY147" s="26"/>
      <c r="BZZ147" s="26"/>
      <c r="CAA147" s="26"/>
      <c r="CAB147" s="26"/>
      <c r="CAC147" s="26"/>
      <c r="CAD147" s="26"/>
      <c r="CAE147" s="26"/>
      <c r="CAF147" s="26"/>
      <c r="CAG147" s="26"/>
      <c r="CAH147" s="26"/>
      <c r="CAI147" s="26"/>
      <c r="CAJ147" s="26"/>
      <c r="CAK147" s="26"/>
      <c r="CAL147" s="26"/>
      <c r="CAM147" s="26"/>
      <c r="CAN147" s="26"/>
      <c r="CAO147" s="26"/>
      <c r="CAP147" s="26"/>
      <c r="CAQ147" s="26"/>
      <c r="CAR147" s="26"/>
      <c r="CAS147" s="26"/>
      <c r="CAT147" s="26"/>
      <c r="CAU147" s="26"/>
      <c r="CAV147" s="26"/>
      <c r="CAW147" s="26"/>
      <c r="CAX147" s="26"/>
      <c r="CAY147" s="26"/>
      <c r="CAZ147" s="26"/>
      <c r="CBA147" s="26"/>
      <c r="CBB147" s="26"/>
      <c r="CBC147" s="26"/>
      <c r="CBD147" s="26"/>
      <c r="CBE147" s="26"/>
      <c r="CBF147" s="26"/>
      <c r="CBG147" s="26"/>
      <c r="CBH147" s="26"/>
      <c r="CBI147" s="26"/>
    </row>
    <row r="148" spans="1:2089" ht="14" customHeight="1">
      <c r="A148" s="27">
        <v>147</v>
      </c>
      <c r="B148" s="27" t="s">
        <v>353</v>
      </c>
      <c r="C148" s="27">
        <v>1991</v>
      </c>
      <c r="D148" s="26" t="s">
        <v>109</v>
      </c>
      <c r="E148" s="26" t="s">
        <v>565</v>
      </c>
      <c r="F148" s="77" t="s">
        <v>175</v>
      </c>
      <c r="G148" s="2" t="s">
        <v>147</v>
      </c>
      <c r="H148" s="2" t="s">
        <v>30</v>
      </c>
      <c r="I148" s="2" t="s">
        <v>548</v>
      </c>
      <c r="J148" s="2" t="s">
        <v>604</v>
      </c>
      <c r="K148" s="2" t="s">
        <v>548</v>
      </c>
      <c r="L148" s="2" t="s">
        <v>548</v>
      </c>
      <c r="M148" s="2" t="s">
        <v>548</v>
      </c>
      <c r="N148" s="2" t="s">
        <v>70</v>
      </c>
      <c r="O148" s="2" t="s">
        <v>209</v>
      </c>
      <c r="P148" s="2" t="s">
        <v>612</v>
      </c>
      <c r="Q148" s="2" t="s">
        <v>42</v>
      </c>
      <c r="R148" s="102" t="s">
        <v>614</v>
      </c>
      <c r="S148" s="88">
        <v>7.0000000000000007E-2</v>
      </c>
      <c r="T148" s="26">
        <v>15</v>
      </c>
      <c r="U148" s="77">
        <v>1</v>
      </c>
      <c r="V148" s="26">
        <v>0</v>
      </c>
      <c r="W148" s="26">
        <v>1</v>
      </c>
      <c r="X148" s="26">
        <v>0</v>
      </c>
      <c r="Y148" s="26">
        <v>1</v>
      </c>
      <c r="Z148" s="26">
        <v>1</v>
      </c>
      <c r="AA148" s="26">
        <v>0</v>
      </c>
      <c r="AB148" s="26">
        <v>0</v>
      </c>
      <c r="AC148" s="33" t="s">
        <v>70</v>
      </c>
      <c r="AD148" s="33" t="s">
        <v>70</v>
      </c>
      <c r="AE148" s="33" t="s">
        <v>70</v>
      </c>
      <c r="AF148" s="33" t="s">
        <v>70</v>
      </c>
      <c r="AG148" s="33" t="s">
        <v>70</v>
      </c>
      <c r="AH148" s="33" t="s">
        <v>70</v>
      </c>
      <c r="AI148" s="33" t="s">
        <v>70</v>
      </c>
      <c r="AJ148" s="33" t="s">
        <v>70</v>
      </c>
      <c r="AK148" s="33" t="s">
        <v>70</v>
      </c>
      <c r="AL148" s="33" t="s">
        <v>70</v>
      </c>
      <c r="AM148" s="35" t="s">
        <v>548</v>
      </c>
      <c r="AN148" s="26" t="s">
        <v>274</v>
      </c>
      <c r="AO148" s="35" t="s">
        <v>548</v>
      </c>
      <c r="AP148" s="35" t="s">
        <v>548</v>
      </c>
      <c r="AQ148" s="35" t="s">
        <v>548</v>
      </c>
      <c r="AR148" s="35" t="s">
        <v>548</v>
      </c>
      <c r="AS148" s="26" t="s">
        <v>175</v>
      </c>
      <c r="AT148" s="26" t="s">
        <v>70</v>
      </c>
      <c r="AU148" s="26" t="s">
        <v>70</v>
      </c>
      <c r="AV148" s="26">
        <v>5</v>
      </c>
    </row>
    <row r="149" spans="1:2089" s="65" customFormat="1" ht="14" customHeight="1">
      <c r="A149" s="27">
        <v>148</v>
      </c>
      <c r="B149" s="27" t="s">
        <v>353</v>
      </c>
      <c r="C149" s="27">
        <v>1991</v>
      </c>
      <c r="D149" s="26" t="s">
        <v>109</v>
      </c>
      <c r="E149" s="26" t="s">
        <v>565</v>
      </c>
      <c r="F149" s="77" t="s">
        <v>175</v>
      </c>
      <c r="G149" s="2" t="s">
        <v>147</v>
      </c>
      <c r="H149" s="2" t="s">
        <v>30</v>
      </c>
      <c r="I149" s="2" t="s">
        <v>548</v>
      </c>
      <c r="J149" s="2" t="s">
        <v>604</v>
      </c>
      <c r="K149" s="2" t="s">
        <v>548</v>
      </c>
      <c r="L149" s="2" t="s">
        <v>548</v>
      </c>
      <c r="M149" s="2" t="s">
        <v>548</v>
      </c>
      <c r="N149" s="2" t="s">
        <v>62</v>
      </c>
      <c r="O149" s="2" t="s">
        <v>43</v>
      </c>
      <c r="P149" s="2" t="s">
        <v>62</v>
      </c>
      <c r="Q149" s="26" t="s">
        <v>606</v>
      </c>
      <c r="R149" s="102" t="s">
        <v>614</v>
      </c>
      <c r="S149" s="88">
        <v>0</v>
      </c>
      <c r="T149" s="26">
        <v>50</v>
      </c>
      <c r="U149" s="77">
        <v>1</v>
      </c>
      <c r="V149" s="26">
        <v>0</v>
      </c>
      <c r="W149" s="26">
        <v>1</v>
      </c>
      <c r="X149" s="26">
        <v>0</v>
      </c>
      <c r="Y149" s="26">
        <v>1</v>
      </c>
      <c r="Z149" s="26">
        <v>1</v>
      </c>
      <c r="AA149" s="26">
        <v>0</v>
      </c>
      <c r="AB149" s="40">
        <v>0</v>
      </c>
      <c r="AC149" s="33" t="s">
        <v>70</v>
      </c>
      <c r="AD149" s="33" t="s">
        <v>70</v>
      </c>
      <c r="AE149" s="33" t="s">
        <v>70</v>
      </c>
      <c r="AF149" s="33" t="s">
        <v>70</v>
      </c>
      <c r="AG149" s="33" t="s">
        <v>70</v>
      </c>
      <c r="AH149" s="33" t="s">
        <v>70</v>
      </c>
      <c r="AI149" s="33" t="s">
        <v>70</v>
      </c>
      <c r="AJ149" s="33" t="s">
        <v>70</v>
      </c>
      <c r="AK149" s="33" t="s">
        <v>70</v>
      </c>
      <c r="AL149" s="33" t="s">
        <v>70</v>
      </c>
      <c r="AM149" s="35" t="s">
        <v>548</v>
      </c>
      <c r="AN149" s="26" t="s">
        <v>274</v>
      </c>
      <c r="AO149" s="35" t="s">
        <v>548</v>
      </c>
      <c r="AP149" s="35" t="s">
        <v>548</v>
      </c>
      <c r="AQ149" s="35" t="s">
        <v>548</v>
      </c>
      <c r="AR149" s="35" t="s">
        <v>548</v>
      </c>
      <c r="AS149" s="26" t="s">
        <v>175</v>
      </c>
      <c r="AT149" s="26" t="s">
        <v>70</v>
      </c>
      <c r="AU149" s="26" t="s">
        <v>70</v>
      </c>
      <c r="AV149" s="26">
        <v>5</v>
      </c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6"/>
      <c r="GT149" s="26"/>
      <c r="GU149" s="26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6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  <c r="JM149" s="26"/>
      <c r="JN149" s="26"/>
      <c r="JO149" s="26"/>
      <c r="JP149" s="26"/>
      <c r="JQ149" s="26"/>
      <c r="JR149" s="26"/>
      <c r="JS149" s="26"/>
      <c r="JT149" s="26"/>
      <c r="JU149" s="26"/>
      <c r="JV149" s="26"/>
      <c r="JW149" s="26"/>
      <c r="JX149" s="26"/>
      <c r="JY149" s="26"/>
      <c r="JZ149" s="26"/>
      <c r="KA149" s="26"/>
      <c r="KB149" s="26"/>
      <c r="KC149" s="26"/>
      <c r="KD149" s="26"/>
      <c r="KE149" s="26"/>
      <c r="KF149" s="26"/>
      <c r="KG149" s="26"/>
      <c r="KH149" s="26"/>
      <c r="KI149" s="26"/>
      <c r="KJ149" s="26"/>
      <c r="KK149" s="26"/>
      <c r="KL149" s="26"/>
      <c r="KM149" s="26"/>
      <c r="KN149" s="26"/>
      <c r="KO149" s="26"/>
      <c r="KP149" s="26"/>
      <c r="KQ149" s="26"/>
      <c r="KR149" s="26"/>
      <c r="KS149" s="26"/>
      <c r="KT149" s="26"/>
      <c r="KU149" s="26"/>
      <c r="KV149" s="26"/>
      <c r="KW149" s="26"/>
      <c r="KX149" s="26"/>
      <c r="KY149" s="26"/>
      <c r="KZ149" s="26"/>
      <c r="LA149" s="26"/>
      <c r="LB149" s="26"/>
      <c r="LC149" s="26"/>
      <c r="LD149" s="26"/>
      <c r="LE149" s="26"/>
      <c r="LF149" s="26"/>
      <c r="LG149" s="26"/>
      <c r="LH149" s="26"/>
      <c r="LI149" s="26"/>
      <c r="LJ149" s="26"/>
      <c r="LK149" s="26"/>
      <c r="LL149" s="26"/>
      <c r="LM149" s="26"/>
      <c r="LN149" s="26"/>
      <c r="LO149" s="26"/>
      <c r="LP149" s="26"/>
      <c r="LQ149" s="26"/>
      <c r="LR149" s="26"/>
      <c r="LS149" s="26"/>
      <c r="LT149" s="26"/>
      <c r="LU149" s="26"/>
      <c r="LV149" s="26"/>
      <c r="LW149" s="26"/>
      <c r="LX149" s="26"/>
      <c r="LY149" s="26"/>
      <c r="LZ149" s="26"/>
      <c r="MA149" s="26"/>
      <c r="MB149" s="26"/>
      <c r="MC149" s="26"/>
      <c r="MD149" s="26"/>
      <c r="ME149" s="26"/>
      <c r="MF149" s="26"/>
      <c r="MG149" s="26"/>
      <c r="MH149" s="26"/>
      <c r="MI149" s="26"/>
      <c r="MJ149" s="26"/>
      <c r="MK149" s="26"/>
      <c r="ML149" s="26"/>
      <c r="MM149" s="26"/>
      <c r="MN149" s="26"/>
      <c r="MO149" s="26"/>
      <c r="MP149" s="26"/>
      <c r="MQ149" s="26"/>
      <c r="MR149" s="26"/>
      <c r="MS149" s="26"/>
      <c r="MT149" s="26"/>
      <c r="MU149" s="26"/>
      <c r="MV149" s="26"/>
      <c r="MW149" s="26"/>
      <c r="MX149" s="26"/>
      <c r="MY149" s="26"/>
      <c r="MZ149" s="26"/>
      <c r="NA149" s="26"/>
      <c r="NB149" s="26"/>
      <c r="NC149" s="26"/>
      <c r="ND149" s="26"/>
      <c r="NE149" s="26"/>
      <c r="NF149" s="26"/>
      <c r="NG149" s="26"/>
      <c r="NH149" s="26"/>
      <c r="NI149" s="26"/>
      <c r="NJ149" s="26"/>
      <c r="NK149" s="26"/>
      <c r="NL149" s="26"/>
      <c r="NM149" s="26"/>
      <c r="NN149" s="26"/>
      <c r="NO149" s="26"/>
      <c r="NP149" s="26"/>
      <c r="NQ149" s="26"/>
      <c r="NR149" s="26"/>
      <c r="NS149" s="26"/>
      <c r="NT149" s="26"/>
      <c r="NU149" s="26"/>
      <c r="NV149" s="26"/>
      <c r="NW149" s="26"/>
      <c r="NX149" s="26"/>
      <c r="NY149" s="26"/>
      <c r="NZ149" s="26"/>
      <c r="OA149" s="26"/>
      <c r="OB149" s="26"/>
      <c r="OC149" s="26"/>
      <c r="OD149" s="26"/>
      <c r="OE149" s="26"/>
      <c r="OF149" s="26"/>
      <c r="OG149" s="26"/>
      <c r="OH149" s="26"/>
      <c r="OI149" s="26"/>
      <c r="OJ149" s="26"/>
      <c r="OK149" s="26"/>
      <c r="OL149" s="26"/>
      <c r="OM149" s="26"/>
      <c r="ON149" s="26"/>
      <c r="OO149" s="26"/>
      <c r="OP149" s="26"/>
      <c r="OQ149" s="26"/>
      <c r="OR149" s="26"/>
      <c r="OS149" s="26"/>
      <c r="OT149" s="26"/>
      <c r="OU149" s="26"/>
      <c r="OV149" s="26"/>
      <c r="OW149" s="26"/>
      <c r="OX149" s="26"/>
      <c r="OY149" s="26"/>
      <c r="OZ149" s="26"/>
      <c r="PA149" s="26"/>
      <c r="PB149" s="26"/>
      <c r="PC149" s="26"/>
      <c r="PD149" s="26"/>
      <c r="PE149" s="26"/>
      <c r="PF149" s="26"/>
      <c r="PG149" s="26"/>
      <c r="PH149" s="26"/>
      <c r="PI149" s="26"/>
      <c r="PJ149" s="26"/>
      <c r="PK149" s="26"/>
      <c r="PL149" s="26"/>
      <c r="PM149" s="26"/>
      <c r="PN149" s="26"/>
      <c r="PO149" s="26"/>
      <c r="PP149" s="26"/>
      <c r="PQ149" s="26"/>
      <c r="PR149" s="26"/>
      <c r="PS149" s="26"/>
      <c r="PT149" s="26"/>
      <c r="PU149" s="26"/>
      <c r="PV149" s="26"/>
      <c r="PW149" s="26"/>
      <c r="PX149" s="26"/>
      <c r="PY149" s="26"/>
      <c r="PZ149" s="26"/>
      <c r="QA149" s="26"/>
      <c r="QB149" s="26"/>
      <c r="QC149" s="26"/>
      <c r="QD149" s="26"/>
      <c r="QE149" s="26"/>
      <c r="QF149" s="26"/>
      <c r="QG149" s="26"/>
      <c r="QH149" s="26"/>
      <c r="QI149" s="26"/>
      <c r="QJ149" s="26"/>
      <c r="QK149" s="26"/>
      <c r="QL149" s="26"/>
      <c r="QM149" s="26"/>
      <c r="QN149" s="26"/>
      <c r="QO149" s="26"/>
      <c r="QP149" s="26"/>
      <c r="QQ149" s="26"/>
      <c r="QR149" s="26"/>
      <c r="QS149" s="26"/>
      <c r="QT149" s="26"/>
      <c r="QU149" s="26"/>
      <c r="QV149" s="26"/>
      <c r="QW149" s="26"/>
      <c r="QX149" s="26"/>
      <c r="QY149" s="26"/>
      <c r="QZ149" s="26"/>
      <c r="RA149" s="26"/>
      <c r="RB149" s="26"/>
      <c r="RC149" s="26"/>
      <c r="RD149" s="26"/>
      <c r="RE149" s="26"/>
      <c r="RF149" s="26"/>
      <c r="RG149" s="26"/>
      <c r="RH149" s="26"/>
      <c r="RI149" s="26"/>
      <c r="RJ149" s="26"/>
      <c r="RK149" s="26"/>
      <c r="RL149" s="26"/>
      <c r="RM149" s="26"/>
      <c r="RN149" s="26"/>
      <c r="RO149" s="26"/>
      <c r="RP149" s="26"/>
      <c r="RQ149" s="26"/>
      <c r="RR149" s="26"/>
      <c r="RS149" s="26"/>
      <c r="RT149" s="26"/>
      <c r="RU149" s="26"/>
      <c r="RV149" s="26"/>
      <c r="RW149" s="26"/>
      <c r="RX149" s="26"/>
      <c r="RY149" s="26"/>
      <c r="RZ149" s="26"/>
      <c r="SA149" s="26"/>
      <c r="SB149" s="26"/>
      <c r="SC149" s="26"/>
      <c r="SD149" s="26"/>
      <c r="SE149" s="26"/>
      <c r="SF149" s="26"/>
      <c r="SG149" s="26"/>
      <c r="SH149" s="26"/>
      <c r="SI149" s="26"/>
      <c r="SJ149" s="26"/>
      <c r="SK149" s="26"/>
      <c r="SL149" s="26"/>
      <c r="SM149" s="26"/>
      <c r="SN149" s="26"/>
      <c r="SO149" s="26"/>
      <c r="SP149" s="26"/>
      <c r="SQ149" s="26"/>
      <c r="SR149" s="26"/>
      <c r="SS149" s="26"/>
      <c r="ST149" s="26"/>
      <c r="SU149" s="26"/>
      <c r="SV149" s="26"/>
      <c r="SW149" s="26"/>
      <c r="SX149" s="26"/>
      <c r="SY149" s="26"/>
      <c r="SZ149" s="26"/>
      <c r="TA149" s="26"/>
      <c r="TB149" s="26"/>
      <c r="TC149" s="26"/>
      <c r="TD149" s="26"/>
      <c r="TE149" s="26"/>
      <c r="TF149" s="26"/>
      <c r="TG149" s="26"/>
      <c r="TH149" s="26"/>
      <c r="TI149" s="26"/>
      <c r="TJ149" s="26"/>
      <c r="TK149" s="26"/>
      <c r="TL149" s="26"/>
      <c r="TM149" s="26"/>
      <c r="TN149" s="26"/>
      <c r="TO149" s="26"/>
      <c r="TP149" s="26"/>
      <c r="TQ149" s="26"/>
      <c r="TR149" s="26"/>
      <c r="TS149" s="26"/>
      <c r="TT149" s="26"/>
      <c r="TU149" s="26"/>
      <c r="TV149" s="26"/>
      <c r="TW149" s="26"/>
      <c r="TX149" s="26"/>
      <c r="TY149" s="26"/>
      <c r="TZ149" s="26"/>
      <c r="UA149" s="26"/>
      <c r="UB149" s="26"/>
      <c r="UC149" s="26"/>
      <c r="UD149" s="26"/>
      <c r="UE149" s="26"/>
      <c r="UF149" s="26"/>
      <c r="UG149" s="26"/>
      <c r="UH149" s="26"/>
      <c r="UI149" s="26"/>
      <c r="UJ149" s="26"/>
      <c r="UK149" s="26"/>
      <c r="UL149" s="26"/>
      <c r="UM149" s="26"/>
      <c r="UN149" s="26"/>
      <c r="UO149" s="26"/>
      <c r="UP149" s="26"/>
      <c r="UQ149" s="26"/>
      <c r="UR149" s="26"/>
      <c r="US149" s="26"/>
      <c r="UT149" s="26"/>
      <c r="UU149" s="26"/>
      <c r="UV149" s="26"/>
      <c r="UW149" s="26"/>
      <c r="UX149" s="26"/>
      <c r="UY149" s="26"/>
      <c r="UZ149" s="26"/>
      <c r="VA149" s="26"/>
      <c r="VB149" s="26"/>
      <c r="VC149" s="26"/>
      <c r="VD149" s="26"/>
      <c r="VE149" s="26"/>
      <c r="VF149" s="26"/>
      <c r="VG149" s="26"/>
      <c r="VH149" s="26"/>
      <c r="VI149" s="26"/>
      <c r="VJ149" s="26"/>
      <c r="VK149" s="26"/>
      <c r="VL149" s="26"/>
      <c r="VM149" s="26"/>
      <c r="VN149" s="26"/>
      <c r="VO149" s="26"/>
      <c r="VP149" s="26"/>
      <c r="VQ149" s="26"/>
      <c r="VR149" s="26"/>
      <c r="VS149" s="26"/>
      <c r="VT149" s="26"/>
      <c r="VU149" s="26"/>
      <c r="VV149" s="26"/>
      <c r="VW149" s="26"/>
      <c r="VX149" s="26"/>
      <c r="VY149" s="26"/>
      <c r="VZ149" s="26"/>
      <c r="WA149" s="26"/>
      <c r="WB149" s="26"/>
      <c r="WC149" s="26"/>
      <c r="WD149" s="26"/>
      <c r="WE149" s="26"/>
      <c r="WF149" s="26"/>
      <c r="WG149" s="26"/>
      <c r="WH149" s="26"/>
      <c r="WI149" s="26"/>
      <c r="WJ149" s="26"/>
      <c r="WK149" s="26"/>
      <c r="WL149" s="26"/>
      <c r="WM149" s="26"/>
      <c r="WN149" s="26"/>
      <c r="WO149" s="26"/>
      <c r="WP149" s="26"/>
      <c r="WQ149" s="26"/>
      <c r="WR149" s="26"/>
      <c r="WS149" s="26"/>
      <c r="WT149" s="26"/>
      <c r="WU149" s="26"/>
      <c r="WV149" s="26"/>
      <c r="WW149" s="26"/>
      <c r="WX149" s="26"/>
      <c r="WY149" s="26"/>
      <c r="WZ149" s="26"/>
      <c r="XA149" s="26"/>
      <c r="XB149" s="26"/>
      <c r="XC149" s="26"/>
      <c r="XD149" s="26"/>
      <c r="XE149" s="26"/>
      <c r="XF149" s="26"/>
      <c r="XG149" s="26"/>
      <c r="XH149" s="26"/>
      <c r="XI149" s="26"/>
      <c r="XJ149" s="26"/>
      <c r="XK149" s="26"/>
      <c r="XL149" s="26"/>
      <c r="XM149" s="26"/>
      <c r="XN149" s="26"/>
      <c r="XO149" s="26"/>
      <c r="XP149" s="26"/>
      <c r="XQ149" s="26"/>
      <c r="XR149" s="26"/>
      <c r="XS149" s="26"/>
      <c r="XT149" s="26"/>
      <c r="XU149" s="26"/>
      <c r="XV149" s="26"/>
      <c r="XW149" s="26"/>
      <c r="XX149" s="26"/>
      <c r="XY149" s="26"/>
      <c r="XZ149" s="26"/>
      <c r="YA149" s="26"/>
      <c r="YB149" s="26"/>
      <c r="YC149" s="26"/>
      <c r="YD149" s="26"/>
      <c r="YE149" s="26"/>
      <c r="YF149" s="26"/>
      <c r="YG149" s="26"/>
      <c r="YH149" s="26"/>
      <c r="YI149" s="26"/>
      <c r="YJ149" s="26"/>
      <c r="YK149" s="26"/>
      <c r="YL149" s="26"/>
      <c r="YM149" s="26"/>
      <c r="YN149" s="26"/>
      <c r="YO149" s="26"/>
      <c r="YP149" s="26"/>
      <c r="YQ149" s="26"/>
      <c r="YR149" s="26"/>
      <c r="YS149" s="26"/>
      <c r="YT149" s="26"/>
      <c r="YU149" s="26"/>
      <c r="YV149" s="26"/>
      <c r="YW149" s="26"/>
      <c r="YX149" s="26"/>
      <c r="YY149" s="26"/>
      <c r="YZ149" s="26"/>
      <c r="ZA149" s="26"/>
      <c r="ZB149" s="26"/>
      <c r="ZC149" s="26"/>
      <c r="ZD149" s="26"/>
      <c r="ZE149" s="26"/>
      <c r="ZF149" s="26"/>
      <c r="ZG149" s="26"/>
      <c r="ZH149" s="26"/>
      <c r="ZI149" s="26"/>
      <c r="ZJ149" s="26"/>
      <c r="ZK149" s="26"/>
      <c r="ZL149" s="26"/>
      <c r="ZM149" s="26"/>
      <c r="ZN149" s="26"/>
      <c r="ZO149" s="26"/>
      <c r="ZP149" s="26"/>
      <c r="ZQ149" s="26"/>
      <c r="ZR149" s="26"/>
      <c r="ZS149" s="26"/>
      <c r="ZT149" s="26"/>
      <c r="ZU149" s="26"/>
      <c r="ZV149" s="26"/>
      <c r="ZW149" s="26"/>
      <c r="ZX149" s="26"/>
      <c r="ZY149" s="26"/>
      <c r="ZZ149" s="26"/>
      <c r="AAA149" s="26"/>
      <c r="AAB149" s="26"/>
      <c r="AAC149" s="26"/>
      <c r="AAD149" s="26"/>
      <c r="AAE149" s="26"/>
      <c r="AAF149" s="26"/>
      <c r="AAG149" s="26"/>
      <c r="AAH149" s="26"/>
      <c r="AAI149" s="26"/>
      <c r="AAJ149" s="26"/>
      <c r="AAK149" s="26"/>
      <c r="AAL149" s="26"/>
      <c r="AAM149" s="26"/>
      <c r="AAN149" s="26"/>
      <c r="AAO149" s="26"/>
      <c r="AAP149" s="26"/>
      <c r="AAQ149" s="26"/>
      <c r="AAR149" s="26"/>
      <c r="AAS149" s="26"/>
      <c r="AAT149" s="26"/>
      <c r="AAU149" s="26"/>
      <c r="AAV149" s="26"/>
      <c r="AAW149" s="26"/>
      <c r="AAX149" s="26"/>
      <c r="AAY149" s="26"/>
      <c r="AAZ149" s="26"/>
      <c r="ABA149" s="26"/>
      <c r="ABB149" s="26"/>
      <c r="ABC149" s="26"/>
      <c r="ABD149" s="26"/>
      <c r="ABE149" s="26"/>
      <c r="ABF149" s="26"/>
      <c r="ABG149" s="26"/>
      <c r="ABH149" s="26"/>
      <c r="ABI149" s="26"/>
      <c r="ABJ149" s="26"/>
      <c r="ABK149" s="26"/>
      <c r="ABL149" s="26"/>
      <c r="ABM149" s="26"/>
      <c r="ABN149" s="26"/>
      <c r="ABO149" s="26"/>
      <c r="ABP149" s="26"/>
      <c r="ABQ149" s="26"/>
      <c r="ABR149" s="26"/>
      <c r="ABS149" s="26"/>
      <c r="ABT149" s="26"/>
      <c r="ABU149" s="26"/>
      <c r="ABV149" s="26"/>
      <c r="ABW149" s="26"/>
      <c r="ABX149" s="26"/>
      <c r="ABY149" s="26"/>
      <c r="ABZ149" s="26"/>
      <c r="ACA149" s="26"/>
      <c r="ACB149" s="26"/>
      <c r="ACC149" s="26"/>
      <c r="ACD149" s="26"/>
      <c r="ACE149" s="26"/>
      <c r="ACF149" s="26"/>
      <c r="ACG149" s="26"/>
      <c r="ACH149" s="26"/>
      <c r="ACI149" s="26"/>
      <c r="ACJ149" s="26"/>
      <c r="ACK149" s="26"/>
      <c r="ACL149" s="26"/>
      <c r="ACM149" s="26"/>
      <c r="ACN149" s="26"/>
      <c r="ACO149" s="26"/>
      <c r="ACP149" s="26"/>
      <c r="ACQ149" s="26"/>
      <c r="ACR149" s="26"/>
      <c r="ACS149" s="26"/>
      <c r="ACT149" s="26"/>
      <c r="ACU149" s="26"/>
      <c r="ACV149" s="26"/>
      <c r="ACW149" s="26"/>
      <c r="ACX149" s="26"/>
      <c r="ACY149" s="26"/>
      <c r="ACZ149" s="26"/>
      <c r="ADA149" s="26"/>
      <c r="ADB149" s="26"/>
      <c r="ADC149" s="26"/>
      <c r="ADD149" s="26"/>
      <c r="ADE149" s="26"/>
      <c r="ADF149" s="26"/>
      <c r="ADG149" s="26"/>
      <c r="ADH149" s="26"/>
      <c r="ADI149" s="26"/>
      <c r="ADJ149" s="26"/>
      <c r="ADK149" s="26"/>
      <c r="ADL149" s="26"/>
      <c r="ADM149" s="26"/>
      <c r="ADN149" s="26"/>
      <c r="ADO149" s="26"/>
      <c r="ADP149" s="26"/>
      <c r="ADQ149" s="26"/>
      <c r="ADR149" s="26"/>
      <c r="ADS149" s="26"/>
      <c r="ADT149" s="26"/>
      <c r="ADU149" s="26"/>
      <c r="ADV149" s="26"/>
      <c r="ADW149" s="26"/>
      <c r="ADX149" s="26"/>
      <c r="ADY149" s="26"/>
      <c r="ADZ149" s="26"/>
      <c r="AEA149" s="26"/>
      <c r="AEB149" s="26"/>
      <c r="AEC149" s="26"/>
      <c r="AED149" s="26"/>
      <c r="AEE149" s="26"/>
      <c r="AEF149" s="26"/>
      <c r="AEG149" s="26"/>
      <c r="AEH149" s="26"/>
      <c r="AEI149" s="26"/>
      <c r="AEJ149" s="26"/>
      <c r="AEK149" s="26"/>
      <c r="AEL149" s="26"/>
      <c r="AEM149" s="26"/>
      <c r="AEN149" s="26"/>
      <c r="AEO149" s="26"/>
      <c r="AEP149" s="26"/>
      <c r="AEQ149" s="26"/>
      <c r="AER149" s="26"/>
      <c r="AES149" s="26"/>
      <c r="AET149" s="26"/>
      <c r="AEU149" s="26"/>
      <c r="AEV149" s="26"/>
      <c r="AEW149" s="26"/>
      <c r="AEX149" s="26"/>
      <c r="AEY149" s="26"/>
      <c r="AEZ149" s="26"/>
      <c r="AFA149" s="26"/>
      <c r="AFB149" s="26"/>
      <c r="AFC149" s="26"/>
      <c r="AFD149" s="26"/>
      <c r="AFE149" s="26"/>
      <c r="AFF149" s="26"/>
      <c r="AFG149" s="26"/>
      <c r="AFH149" s="26"/>
      <c r="AFI149" s="26"/>
      <c r="AFJ149" s="26"/>
      <c r="AFK149" s="26"/>
      <c r="AFL149" s="26"/>
      <c r="AFM149" s="26"/>
      <c r="AFN149" s="26"/>
      <c r="AFO149" s="26"/>
      <c r="AFP149" s="26"/>
      <c r="AFQ149" s="26"/>
      <c r="AFR149" s="26"/>
      <c r="AFS149" s="26"/>
      <c r="AFT149" s="26"/>
      <c r="AFU149" s="26"/>
      <c r="AFV149" s="26"/>
      <c r="AFW149" s="26"/>
      <c r="AFX149" s="26"/>
      <c r="AFY149" s="26"/>
      <c r="AFZ149" s="26"/>
      <c r="AGA149" s="26"/>
      <c r="AGB149" s="26"/>
      <c r="AGC149" s="26"/>
      <c r="AGD149" s="26"/>
      <c r="AGE149" s="26"/>
      <c r="AGF149" s="26"/>
      <c r="AGG149" s="26"/>
      <c r="AGH149" s="26"/>
      <c r="AGI149" s="26"/>
      <c r="AGJ149" s="26"/>
      <c r="AGK149" s="26"/>
      <c r="AGL149" s="26"/>
      <c r="AGM149" s="26"/>
      <c r="AGN149" s="26"/>
      <c r="AGO149" s="26"/>
      <c r="AGP149" s="26"/>
      <c r="AGQ149" s="26"/>
      <c r="AGR149" s="26"/>
      <c r="AGS149" s="26"/>
      <c r="AGT149" s="26"/>
      <c r="AGU149" s="26"/>
      <c r="AGV149" s="26"/>
      <c r="AGW149" s="26"/>
      <c r="AGX149" s="26"/>
      <c r="AGY149" s="26"/>
      <c r="AGZ149" s="26"/>
      <c r="AHA149" s="26"/>
      <c r="AHB149" s="26"/>
      <c r="AHC149" s="26"/>
      <c r="AHD149" s="26"/>
      <c r="AHE149" s="26"/>
      <c r="AHF149" s="26"/>
      <c r="AHG149" s="26"/>
      <c r="AHH149" s="26"/>
      <c r="AHI149" s="26"/>
      <c r="AHJ149" s="26"/>
      <c r="AHK149" s="26"/>
      <c r="AHL149" s="26"/>
      <c r="AHM149" s="26"/>
      <c r="AHN149" s="26"/>
      <c r="AHO149" s="26"/>
      <c r="AHP149" s="26"/>
      <c r="AHQ149" s="26"/>
      <c r="AHR149" s="26"/>
      <c r="AHS149" s="26"/>
      <c r="AHT149" s="26"/>
      <c r="AHU149" s="26"/>
      <c r="AHV149" s="26"/>
      <c r="AHW149" s="26"/>
      <c r="AHX149" s="26"/>
      <c r="AHY149" s="26"/>
      <c r="AHZ149" s="26"/>
      <c r="AIA149" s="26"/>
      <c r="AIB149" s="26"/>
      <c r="AIC149" s="26"/>
      <c r="AID149" s="26"/>
      <c r="AIE149" s="26"/>
      <c r="AIF149" s="26"/>
      <c r="AIG149" s="26"/>
      <c r="AIH149" s="26"/>
      <c r="AII149" s="26"/>
      <c r="AIJ149" s="26"/>
      <c r="AIK149" s="26"/>
      <c r="AIL149" s="26"/>
      <c r="AIM149" s="26"/>
      <c r="AIN149" s="26"/>
      <c r="AIO149" s="26"/>
      <c r="AIP149" s="26"/>
      <c r="AIQ149" s="26"/>
      <c r="AIR149" s="26"/>
      <c r="AIS149" s="26"/>
      <c r="AIT149" s="26"/>
      <c r="AIU149" s="26"/>
      <c r="AIV149" s="26"/>
      <c r="AIW149" s="26"/>
      <c r="AIX149" s="26"/>
      <c r="AIY149" s="26"/>
      <c r="AIZ149" s="26"/>
      <c r="AJA149" s="26"/>
      <c r="AJB149" s="26"/>
      <c r="AJC149" s="26"/>
      <c r="AJD149" s="26"/>
      <c r="AJE149" s="26"/>
      <c r="AJF149" s="26"/>
      <c r="AJG149" s="26"/>
      <c r="AJH149" s="26"/>
      <c r="AJI149" s="26"/>
      <c r="AJJ149" s="26"/>
      <c r="AJK149" s="26"/>
      <c r="AJL149" s="26"/>
      <c r="AJM149" s="26"/>
      <c r="AJN149" s="26"/>
      <c r="AJO149" s="26"/>
      <c r="AJP149" s="26"/>
      <c r="AJQ149" s="26"/>
      <c r="AJR149" s="26"/>
      <c r="AJS149" s="26"/>
      <c r="AJT149" s="26"/>
      <c r="AJU149" s="26"/>
      <c r="AJV149" s="26"/>
      <c r="AJW149" s="26"/>
      <c r="AJX149" s="26"/>
      <c r="AJY149" s="26"/>
      <c r="AJZ149" s="26"/>
      <c r="AKA149" s="26"/>
      <c r="AKB149" s="26"/>
      <c r="AKC149" s="26"/>
      <c r="AKD149" s="26"/>
      <c r="AKE149" s="26"/>
      <c r="AKF149" s="26"/>
      <c r="AKG149" s="26"/>
      <c r="AKH149" s="26"/>
      <c r="AKI149" s="26"/>
      <c r="AKJ149" s="26"/>
      <c r="AKK149" s="26"/>
      <c r="AKL149" s="26"/>
      <c r="AKM149" s="26"/>
      <c r="AKN149" s="26"/>
      <c r="AKO149" s="26"/>
      <c r="AKP149" s="26"/>
      <c r="AKQ149" s="26"/>
      <c r="AKR149" s="26"/>
      <c r="AKS149" s="26"/>
      <c r="AKT149" s="26"/>
      <c r="AKU149" s="26"/>
      <c r="AKV149" s="26"/>
      <c r="AKW149" s="26"/>
      <c r="AKX149" s="26"/>
      <c r="AKY149" s="26"/>
      <c r="AKZ149" s="26"/>
      <c r="ALA149" s="26"/>
      <c r="ALB149" s="26"/>
      <c r="ALC149" s="26"/>
      <c r="ALD149" s="26"/>
      <c r="ALE149" s="26"/>
      <c r="ALF149" s="26"/>
      <c r="ALG149" s="26"/>
      <c r="ALH149" s="26"/>
      <c r="ALI149" s="26"/>
      <c r="ALJ149" s="26"/>
      <c r="ALK149" s="26"/>
      <c r="ALL149" s="26"/>
      <c r="ALM149" s="26"/>
      <c r="ALN149" s="26"/>
      <c r="ALO149" s="26"/>
      <c r="ALP149" s="26"/>
      <c r="ALQ149" s="26"/>
      <c r="ALR149" s="26"/>
      <c r="ALS149" s="26"/>
      <c r="ALT149" s="26"/>
      <c r="ALU149" s="26"/>
      <c r="ALV149" s="26"/>
      <c r="ALW149" s="26"/>
      <c r="ALX149" s="26"/>
      <c r="ALY149" s="26"/>
      <c r="ALZ149" s="26"/>
      <c r="AMA149" s="26"/>
      <c r="AMB149" s="26"/>
      <c r="AMC149" s="26"/>
      <c r="AMD149" s="26"/>
      <c r="AME149" s="26"/>
      <c r="AMF149" s="26"/>
      <c r="AMG149" s="26"/>
      <c r="AMH149" s="26"/>
      <c r="AMI149" s="26"/>
      <c r="AMJ149" s="26"/>
      <c r="AMK149" s="26"/>
      <c r="AML149" s="26"/>
      <c r="AMM149" s="26"/>
      <c r="AMN149" s="26"/>
      <c r="AMO149" s="26"/>
      <c r="AMP149" s="26"/>
      <c r="AMQ149" s="26"/>
      <c r="AMR149" s="26"/>
      <c r="AMS149" s="26"/>
      <c r="AMT149" s="26"/>
      <c r="AMU149" s="26"/>
      <c r="AMV149" s="26"/>
      <c r="AMW149" s="26"/>
      <c r="AMX149" s="26"/>
      <c r="AMY149" s="26"/>
      <c r="AMZ149" s="26"/>
      <c r="ANA149" s="26"/>
      <c r="ANB149" s="26"/>
      <c r="ANC149" s="26"/>
      <c r="AND149" s="26"/>
      <c r="ANE149" s="26"/>
      <c r="ANF149" s="26"/>
      <c r="ANG149" s="26"/>
      <c r="ANH149" s="26"/>
      <c r="ANI149" s="26"/>
      <c r="ANJ149" s="26"/>
      <c r="ANK149" s="26"/>
      <c r="ANL149" s="26"/>
      <c r="ANM149" s="26"/>
      <c r="ANN149" s="26"/>
      <c r="ANO149" s="26"/>
      <c r="ANP149" s="26"/>
      <c r="ANQ149" s="26"/>
      <c r="ANR149" s="26"/>
      <c r="ANS149" s="26"/>
      <c r="ANT149" s="26"/>
      <c r="ANU149" s="26"/>
      <c r="ANV149" s="26"/>
      <c r="ANW149" s="26"/>
      <c r="ANX149" s="26"/>
      <c r="ANY149" s="26"/>
      <c r="ANZ149" s="26"/>
      <c r="AOA149" s="26"/>
      <c r="AOB149" s="26"/>
      <c r="AOC149" s="26"/>
      <c r="AOD149" s="26"/>
      <c r="AOE149" s="26"/>
      <c r="AOF149" s="26"/>
      <c r="AOG149" s="26"/>
      <c r="AOH149" s="26"/>
      <c r="AOI149" s="26"/>
      <c r="AOJ149" s="26"/>
      <c r="AOK149" s="26"/>
      <c r="AOL149" s="26"/>
      <c r="AOM149" s="26"/>
      <c r="AON149" s="26"/>
      <c r="AOO149" s="26"/>
      <c r="AOP149" s="26"/>
      <c r="AOQ149" s="26"/>
      <c r="AOR149" s="26"/>
      <c r="AOS149" s="26"/>
      <c r="AOT149" s="26"/>
      <c r="AOU149" s="26"/>
      <c r="AOV149" s="26"/>
      <c r="AOW149" s="26"/>
      <c r="AOX149" s="26"/>
      <c r="AOY149" s="26"/>
      <c r="AOZ149" s="26"/>
      <c r="APA149" s="26"/>
      <c r="APB149" s="26"/>
      <c r="APC149" s="26"/>
      <c r="APD149" s="26"/>
      <c r="APE149" s="26"/>
      <c r="APF149" s="26"/>
      <c r="APG149" s="26"/>
      <c r="APH149" s="26"/>
      <c r="API149" s="26"/>
      <c r="APJ149" s="26"/>
      <c r="APK149" s="26"/>
      <c r="APL149" s="26"/>
      <c r="APM149" s="26"/>
      <c r="APN149" s="26"/>
      <c r="APO149" s="26"/>
      <c r="APP149" s="26"/>
      <c r="APQ149" s="26"/>
      <c r="APR149" s="26"/>
      <c r="APS149" s="26"/>
      <c r="APT149" s="26"/>
      <c r="APU149" s="26"/>
      <c r="APV149" s="26"/>
      <c r="APW149" s="26"/>
      <c r="APX149" s="26"/>
      <c r="APY149" s="26"/>
      <c r="APZ149" s="26"/>
      <c r="AQA149" s="26"/>
      <c r="AQB149" s="26"/>
      <c r="AQC149" s="26"/>
      <c r="AQD149" s="26"/>
      <c r="AQE149" s="26"/>
      <c r="AQF149" s="26"/>
      <c r="AQG149" s="26"/>
      <c r="AQH149" s="26"/>
      <c r="AQI149" s="26"/>
      <c r="AQJ149" s="26"/>
      <c r="AQK149" s="26"/>
      <c r="AQL149" s="26"/>
      <c r="AQM149" s="26"/>
      <c r="AQN149" s="26"/>
      <c r="AQO149" s="26"/>
      <c r="AQP149" s="26"/>
      <c r="AQQ149" s="26"/>
      <c r="AQR149" s="26"/>
      <c r="AQS149" s="26"/>
      <c r="AQT149" s="26"/>
      <c r="AQU149" s="26"/>
      <c r="AQV149" s="26"/>
      <c r="AQW149" s="26"/>
      <c r="AQX149" s="26"/>
      <c r="AQY149" s="26"/>
      <c r="AQZ149" s="26"/>
      <c r="ARA149" s="26"/>
      <c r="ARB149" s="26"/>
      <c r="ARC149" s="26"/>
      <c r="ARD149" s="26"/>
      <c r="ARE149" s="26"/>
      <c r="ARF149" s="26"/>
      <c r="ARG149" s="26"/>
      <c r="ARH149" s="26"/>
      <c r="ARI149" s="26"/>
      <c r="ARJ149" s="26"/>
      <c r="ARK149" s="26"/>
      <c r="ARL149" s="26"/>
      <c r="ARM149" s="26"/>
      <c r="ARN149" s="26"/>
      <c r="ARO149" s="26"/>
      <c r="ARP149" s="26"/>
      <c r="ARQ149" s="26"/>
      <c r="ARR149" s="26"/>
      <c r="ARS149" s="26"/>
      <c r="ART149" s="26"/>
      <c r="ARU149" s="26"/>
      <c r="ARV149" s="26"/>
      <c r="ARW149" s="26"/>
      <c r="ARX149" s="26"/>
      <c r="ARY149" s="26"/>
      <c r="ARZ149" s="26"/>
      <c r="ASA149" s="26"/>
      <c r="ASB149" s="26"/>
      <c r="ASC149" s="26"/>
      <c r="ASD149" s="26"/>
      <c r="ASE149" s="26"/>
      <c r="ASF149" s="26"/>
      <c r="ASG149" s="26"/>
      <c r="ASH149" s="26"/>
      <c r="ASI149" s="26"/>
      <c r="ASJ149" s="26"/>
      <c r="ASK149" s="26"/>
      <c r="ASL149" s="26"/>
      <c r="ASM149" s="26"/>
      <c r="ASN149" s="26"/>
      <c r="ASO149" s="26"/>
      <c r="ASP149" s="26"/>
      <c r="ASQ149" s="26"/>
      <c r="ASR149" s="26"/>
      <c r="ASS149" s="26"/>
      <c r="AST149" s="26"/>
      <c r="ASU149" s="26"/>
      <c r="ASV149" s="26"/>
      <c r="ASW149" s="26"/>
      <c r="ASX149" s="26"/>
      <c r="ASY149" s="26"/>
      <c r="ASZ149" s="26"/>
      <c r="ATA149" s="26"/>
      <c r="ATB149" s="26"/>
      <c r="ATC149" s="26"/>
      <c r="ATD149" s="26"/>
      <c r="ATE149" s="26"/>
      <c r="ATF149" s="26"/>
      <c r="ATG149" s="26"/>
      <c r="ATH149" s="26"/>
      <c r="ATI149" s="26"/>
      <c r="ATJ149" s="26"/>
      <c r="ATK149" s="26"/>
      <c r="ATL149" s="26"/>
      <c r="ATM149" s="26"/>
      <c r="ATN149" s="26"/>
      <c r="ATO149" s="26"/>
      <c r="ATP149" s="26"/>
      <c r="ATQ149" s="26"/>
      <c r="ATR149" s="26"/>
      <c r="ATS149" s="26"/>
      <c r="ATT149" s="26"/>
      <c r="ATU149" s="26"/>
      <c r="ATV149" s="26"/>
      <c r="ATW149" s="26"/>
      <c r="ATX149" s="26"/>
      <c r="ATY149" s="26"/>
      <c r="ATZ149" s="26"/>
      <c r="AUA149" s="26"/>
      <c r="AUB149" s="26"/>
      <c r="AUC149" s="26"/>
      <c r="AUD149" s="26"/>
      <c r="AUE149" s="26"/>
      <c r="AUF149" s="26"/>
      <c r="AUG149" s="26"/>
      <c r="AUH149" s="26"/>
      <c r="AUI149" s="26"/>
      <c r="AUJ149" s="26"/>
      <c r="AUK149" s="26"/>
      <c r="AUL149" s="26"/>
      <c r="AUM149" s="26"/>
      <c r="AUN149" s="26"/>
      <c r="AUO149" s="26"/>
      <c r="AUP149" s="26"/>
      <c r="AUQ149" s="26"/>
      <c r="AUR149" s="26"/>
      <c r="AUS149" s="26"/>
      <c r="AUT149" s="26"/>
      <c r="AUU149" s="26"/>
      <c r="AUV149" s="26"/>
      <c r="AUW149" s="26"/>
      <c r="AUX149" s="26"/>
      <c r="AUY149" s="26"/>
      <c r="AUZ149" s="26"/>
      <c r="AVA149" s="26"/>
      <c r="AVB149" s="26"/>
      <c r="AVC149" s="26"/>
      <c r="AVD149" s="26"/>
      <c r="AVE149" s="26"/>
      <c r="AVF149" s="26"/>
      <c r="AVG149" s="26"/>
      <c r="AVH149" s="26"/>
      <c r="AVI149" s="26"/>
      <c r="AVJ149" s="26"/>
      <c r="AVK149" s="26"/>
      <c r="AVL149" s="26"/>
      <c r="AVM149" s="26"/>
      <c r="AVN149" s="26"/>
      <c r="AVO149" s="26"/>
      <c r="AVP149" s="26"/>
      <c r="AVQ149" s="26"/>
      <c r="AVR149" s="26"/>
      <c r="AVS149" s="26"/>
      <c r="AVT149" s="26"/>
      <c r="AVU149" s="26"/>
      <c r="AVV149" s="26"/>
      <c r="AVW149" s="26"/>
      <c r="AVX149" s="26"/>
      <c r="AVY149" s="26"/>
      <c r="AVZ149" s="26"/>
      <c r="AWA149" s="26"/>
      <c r="AWB149" s="26"/>
      <c r="AWC149" s="26"/>
      <c r="AWD149" s="26"/>
      <c r="AWE149" s="26"/>
      <c r="AWF149" s="26"/>
      <c r="AWG149" s="26"/>
      <c r="AWH149" s="26"/>
      <c r="AWI149" s="26"/>
      <c r="AWJ149" s="26"/>
      <c r="AWK149" s="26"/>
      <c r="AWL149" s="26"/>
      <c r="AWM149" s="26"/>
      <c r="AWN149" s="26"/>
      <c r="AWO149" s="26"/>
      <c r="AWP149" s="26"/>
      <c r="AWQ149" s="26"/>
      <c r="AWR149" s="26"/>
      <c r="AWS149" s="26"/>
      <c r="AWT149" s="26"/>
      <c r="AWU149" s="26"/>
      <c r="AWV149" s="26"/>
      <c r="AWW149" s="26"/>
      <c r="AWX149" s="26"/>
      <c r="AWY149" s="26"/>
      <c r="AWZ149" s="26"/>
      <c r="AXA149" s="26"/>
      <c r="AXB149" s="26"/>
      <c r="AXC149" s="26"/>
      <c r="AXD149" s="26"/>
      <c r="AXE149" s="26"/>
      <c r="AXF149" s="26"/>
      <c r="AXG149" s="26"/>
      <c r="AXH149" s="26"/>
      <c r="AXI149" s="26"/>
      <c r="AXJ149" s="26"/>
      <c r="AXK149" s="26"/>
      <c r="AXL149" s="26"/>
      <c r="AXM149" s="26"/>
      <c r="AXN149" s="26"/>
      <c r="AXO149" s="26"/>
      <c r="AXP149" s="26"/>
      <c r="AXQ149" s="26"/>
      <c r="AXR149" s="26"/>
      <c r="AXS149" s="26"/>
      <c r="AXT149" s="26"/>
      <c r="AXU149" s="26"/>
      <c r="AXV149" s="26"/>
      <c r="AXW149" s="26"/>
      <c r="AXX149" s="26"/>
      <c r="AXY149" s="26"/>
      <c r="AXZ149" s="26"/>
      <c r="AYA149" s="26"/>
      <c r="AYB149" s="26"/>
      <c r="AYC149" s="26"/>
      <c r="AYD149" s="26"/>
      <c r="AYE149" s="26"/>
      <c r="AYF149" s="26"/>
      <c r="AYG149" s="26"/>
      <c r="AYH149" s="26"/>
      <c r="AYI149" s="26"/>
      <c r="AYJ149" s="26"/>
      <c r="AYK149" s="26"/>
      <c r="AYL149" s="26"/>
      <c r="AYM149" s="26"/>
      <c r="AYN149" s="26"/>
      <c r="AYO149" s="26"/>
      <c r="AYP149" s="26"/>
      <c r="AYQ149" s="26"/>
      <c r="AYR149" s="26"/>
      <c r="AYS149" s="26"/>
      <c r="AYT149" s="26"/>
      <c r="AYU149" s="26"/>
      <c r="AYV149" s="26"/>
      <c r="AYW149" s="26"/>
      <c r="AYX149" s="26"/>
      <c r="AYY149" s="26"/>
      <c r="AYZ149" s="26"/>
      <c r="AZA149" s="26"/>
      <c r="AZB149" s="26"/>
      <c r="AZC149" s="26"/>
      <c r="AZD149" s="26"/>
      <c r="AZE149" s="26"/>
      <c r="AZF149" s="26"/>
      <c r="AZG149" s="26"/>
      <c r="AZH149" s="26"/>
      <c r="AZI149" s="26"/>
      <c r="AZJ149" s="26"/>
      <c r="AZK149" s="26"/>
      <c r="AZL149" s="26"/>
      <c r="AZM149" s="26"/>
      <c r="AZN149" s="26"/>
      <c r="AZO149" s="26"/>
      <c r="AZP149" s="26"/>
      <c r="AZQ149" s="26"/>
      <c r="AZR149" s="26"/>
      <c r="AZS149" s="26"/>
      <c r="AZT149" s="26"/>
      <c r="AZU149" s="26"/>
      <c r="AZV149" s="26"/>
      <c r="AZW149" s="26"/>
      <c r="AZX149" s="26"/>
      <c r="AZY149" s="26"/>
      <c r="AZZ149" s="26"/>
      <c r="BAA149" s="26"/>
      <c r="BAB149" s="26"/>
      <c r="BAC149" s="26"/>
      <c r="BAD149" s="26"/>
      <c r="BAE149" s="26"/>
      <c r="BAF149" s="26"/>
      <c r="BAG149" s="26"/>
      <c r="BAH149" s="26"/>
      <c r="BAI149" s="26"/>
      <c r="BAJ149" s="26"/>
      <c r="BAK149" s="26"/>
      <c r="BAL149" s="26"/>
      <c r="BAM149" s="26"/>
      <c r="BAN149" s="26"/>
      <c r="BAO149" s="26"/>
      <c r="BAP149" s="26"/>
      <c r="BAQ149" s="26"/>
      <c r="BAR149" s="26"/>
      <c r="BAS149" s="26"/>
      <c r="BAT149" s="26"/>
      <c r="BAU149" s="26"/>
      <c r="BAV149" s="26"/>
      <c r="BAW149" s="26"/>
      <c r="BAX149" s="26"/>
      <c r="BAY149" s="26"/>
      <c r="BAZ149" s="26"/>
      <c r="BBA149" s="26"/>
      <c r="BBB149" s="26"/>
      <c r="BBC149" s="26"/>
      <c r="BBD149" s="26"/>
      <c r="BBE149" s="26"/>
      <c r="BBF149" s="26"/>
      <c r="BBG149" s="26"/>
      <c r="BBH149" s="26"/>
      <c r="BBI149" s="26"/>
      <c r="BBJ149" s="26"/>
      <c r="BBK149" s="26"/>
      <c r="BBL149" s="26"/>
      <c r="BBM149" s="26"/>
      <c r="BBN149" s="26"/>
      <c r="BBO149" s="26"/>
      <c r="BBP149" s="26"/>
      <c r="BBQ149" s="26"/>
      <c r="BBR149" s="26"/>
      <c r="BBS149" s="26"/>
      <c r="BBT149" s="26"/>
      <c r="BBU149" s="26"/>
      <c r="BBV149" s="26"/>
      <c r="BBW149" s="26"/>
      <c r="BBX149" s="26"/>
      <c r="BBY149" s="26"/>
      <c r="BBZ149" s="26"/>
      <c r="BCA149" s="26"/>
      <c r="BCB149" s="26"/>
      <c r="BCC149" s="26"/>
      <c r="BCD149" s="26"/>
      <c r="BCE149" s="26"/>
      <c r="BCF149" s="26"/>
      <c r="BCG149" s="26"/>
      <c r="BCH149" s="26"/>
      <c r="BCI149" s="26"/>
      <c r="BCJ149" s="26"/>
      <c r="BCK149" s="26"/>
      <c r="BCL149" s="26"/>
      <c r="BCM149" s="26"/>
      <c r="BCN149" s="26"/>
      <c r="BCO149" s="26"/>
      <c r="BCP149" s="26"/>
      <c r="BCQ149" s="26"/>
      <c r="BCR149" s="26"/>
      <c r="BCS149" s="26"/>
      <c r="BCT149" s="26"/>
      <c r="BCU149" s="26"/>
      <c r="BCV149" s="26"/>
      <c r="BCW149" s="26"/>
      <c r="BCX149" s="26"/>
      <c r="BCY149" s="26"/>
      <c r="BCZ149" s="26"/>
      <c r="BDA149" s="26"/>
      <c r="BDB149" s="26"/>
      <c r="BDC149" s="26"/>
      <c r="BDD149" s="26"/>
      <c r="BDE149" s="26"/>
      <c r="BDF149" s="26"/>
      <c r="BDG149" s="26"/>
      <c r="BDH149" s="26"/>
      <c r="BDI149" s="26"/>
      <c r="BDJ149" s="26"/>
      <c r="BDK149" s="26"/>
      <c r="BDL149" s="26"/>
      <c r="BDM149" s="26"/>
      <c r="BDN149" s="26"/>
      <c r="BDO149" s="26"/>
      <c r="BDP149" s="26"/>
      <c r="BDQ149" s="26"/>
      <c r="BDR149" s="26"/>
      <c r="BDS149" s="26"/>
      <c r="BDT149" s="26"/>
      <c r="BDU149" s="26"/>
      <c r="BDV149" s="26"/>
      <c r="BDW149" s="26"/>
      <c r="BDX149" s="26"/>
      <c r="BDY149" s="26"/>
      <c r="BDZ149" s="26"/>
      <c r="BEA149" s="26"/>
      <c r="BEB149" s="26"/>
      <c r="BEC149" s="26"/>
      <c r="BED149" s="26"/>
      <c r="BEE149" s="26"/>
      <c r="BEF149" s="26"/>
      <c r="BEG149" s="26"/>
      <c r="BEH149" s="26"/>
      <c r="BEI149" s="26"/>
      <c r="BEJ149" s="26"/>
      <c r="BEK149" s="26"/>
      <c r="BEL149" s="26"/>
      <c r="BEM149" s="26"/>
      <c r="BEN149" s="26"/>
      <c r="BEO149" s="26"/>
      <c r="BEP149" s="26"/>
      <c r="BEQ149" s="26"/>
      <c r="BER149" s="26"/>
      <c r="BES149" s="26"/>
      <c r="BET149" s="26"/>
      <c r="BEU149" s="26"/>
      <c r="BEV149" s="26"/>
      <c r="BEW149" s="26"/>
      <c r="BEX149" s="26"/>
      <c r="BEY149" s="26"/>
      <c r="BEZ149" s="26"/>
      <c r="BFA149" s="26"/>
      <c r="BFB149" s="26"/>
      <c r="BFC149" s="26"/>
      <c r="BFD149" s="26"/>
      <c r="BFE149" s="26"/>
      <c r="BFF149" s="26"/>
      <c r="BFG149" s="26"/>
      <c r="BFH149" s="26"/>
      <c r="BFI149" s="26"/>
      <c r="BFJ149" s="26"/>
      <c r="BFK149" s="26"/>
      <c r="BFL149" s="26"/>
      <c r="BFM149" s="26"/>
      <c r="BFN149" s="26"/>
      <c r="BFO149" s="26"/>
      <c r="BFP149" s="26"/>
      <c r="BFQ149" s="26"/>
      <c r="BFR149" s="26"/>
      <c r="BFS149" s="26"/>
      <c r="BFT149" s="26"/>
      <c r="BFU149" s="26"/>
      <c r="BFV149" s="26"/>
      <c r="BFW149" s="26"/>
      <c r="BFX149" s="26"/>
      <c r="BFY149" s="26"/>
      <c r="BFZ149" s="26"/>
      <c r="BGA149" s="26"/>
      <c r="BGB149" s="26"/>
      <c r="BGC149" s="26"/>
      <c r="BGD149" s="26"/>
      <c r="BGE149" s="26"/>
      <c r="BGF149" s="26"/>
      <c r="BGG149" s="26"/>
      <c r="BGH149" s="26"/>
      <c r="BGI149" s="26"/>
      <c r="BGJ149" s="26"/>
      <c r="BGK149" s="26"/>
      <c r="BGL149" s="26"/>
      <c r="BGM149" s="26"/>
      <c r="BGN149" s="26"/>
      <c r="BGO149" s="26"/>
      <c r="BGP149" s="26"/>
      <c r="BGQ149" s="26"/>
      <c r="BGR149" s="26"/>
      <c r="BGS149" s="26"/>
      <c r="BGT149" s="26"/>
      <c r="BGU149" s="26"/>
      <c r="BGV149" s="26"/>
      <c r="BGW149" s="26"/>
      <c r="BGX149" s="26"/>
      <c r="BGY149" s="26"/>
      <c r="BGZ149" s="26"/>
      <c r="BHA149" s="26"/>
      <c r="BHB149" s="26"/>
      <c r="BHC149" s="26"/>
      <c r="BHD149" s="26"/>
      <c r="BHE149" s="26"/>
      <c r="BHF149" s="26"/>
      <c r="BHG149" s="26"/>
      <c r="BHH149" s="26"/>
      <c r="BHI149" s="26"/>
      <c r="BHJ149" s="26"/>
      <c r="BHK149" s="26"/>
      <c r="BHL149" s="26"/>
      <c r="BHM149" s="26"/>
      <c r="BHN149" s="26"/>
      <c r="BHO149" s="26"/>
      <c r="BHP149" s="26"/>
      <c r="BHQ149" s="26"/>
      <c r="BHR149" s="26"/>
      <c r="BHS149" s="26"/>
      <c r="BHT149" s="26"/>
      <c r="BHU149" s="26"/>
      <c r="BHV149" s="26"/>
      <c r="BHW149" s="26"/>
      <c r="BHX149" s="26"/>
      <c r="BHY149" s="26"/>
      <c r="BHZ149" s="26"/>
      <c r="BIA149" s="26"/>
      <c r="BIB149" s="26"/>
      <c r="BIC149" s="26"/>
      <c r="BID149" s="26"/>
      <c r="BIE149" s="26"/>
      <c r="BIF149" s="26"/>
      <c r="BIG149" s="26"/>
      <c r="BIH149" s="26"/>
      <c r="BII149" s="26"/>
      <c r="BIJ149" s="26"/>
      <c r="BIK149" s="26"/>
      <c r="BIL149" s="26"/>
      <c r="BIM149" s="26"/>
      <c r="BIN149" s="26"/>
      <c r="BIO149" s="26"/>
      <c r="BIP149" s="26"/>
      <c r="BIQ149" s="26"/>
      <c r="BIR149" s="26"/>
      <c r="BIS149" s="26"/>
      <c r="BIT149" s="26"/>
      <c r="BIU149" s="26"/>
      <c r="BIV149" s="26"/>
      <c r="BIW149" s="26"/>
      <c r="BIX149" s="26"/>
      <c r="BIY149" s="26"/>
      <c r="BIZ149" s="26"/>
      <c r="BJA149" s="26"/>
      <c r="BJB149" s="26"/>
      <c r="BJC149" s="26"/>
      <c r="BJD149" s="26"/>
      <c r="BJE149" s="26"/>
      <c r="BJF149" s="26"/>
      <c r="BJG149" s="26"/>
      <c r="BJH149" s="26"/>
      <c r="BJI149" s="26"/>
      <c r="BJJ149" s="26"/>
      <c r="BJK149" s="26"/>
      <c r="BJL149" s="26"/>
      <c r="BJM149" s="26"/>
      <c r="BJN149" s="26"/>
      <c r="BJO149" s="26"/>
      <c r="BJP149" s="26"/>
      <c r="BJQ149" s="26"/>
      <c r="BJR149" s="26"/>
      <c r="BJS149" s="26"/>
      <c r="BJT149" s="26"/>
      <c r="BJU149" s="26"/>
      <c r="BJV149" s="26"/>
      <c r="BJW149" s="26"/>
      <c r="BJX149" s="26"/>
      <c r="BJY149" s="26"/>
      <c r="BJZ149" s="26"/>
      <c r="BKA149" s="26"/>
      <c r="BKB149" s="26"/>
      <c r="BKC149" s="26"/>
      <c r="BKD149" s="26"/>
      <c r="BKE149" s="26"/>
      <c r="BKF149" s="26"/>
      <c r="BKG149" s="26"/>
      <c r="BKH149" s="26"/>
      <c r="BKI149" s="26"/>
      <c r="BKJ149" s="26"/>
      <c r="BKK149" s="26"/>
      <c r="BKL149" s="26"/>
      <c r="BKM149" s="26"/>
      <c r="BKN149" s="26"/>
      <c r="BKO149" s="26"/>
      <c r="BKP149" s="26"/>
      <c r="BKQ149" s="26"/>
      <c r="BKR149" s="26"/>
      <c r="BKS149" s="26"/>
      <c r="BKT149" s="26"/>
      <c r="BKU149" s="26"/>
      <c r="BKV149" s="26"/>
      <c r="BKW149" s="26"/>
      <c r="BKX149" s="26"/>
      <c r="BKY149" s="26"/>
      <c r="BKZ149" s="26"/>
      <c r="BLA149" s="26"/>
      <c r="BLB149" s="26"/>
      <c r="BLC149" s="26"/>
      <c r="BLD149" s="26"/>
      <c r="BLE149" s="26"/>
      <c r="BLF149" s="26"/>
      <c r="BLG149" s="26"/>
      <c r="BLH149" s="26"/>
      <c r="BLI149" s="26"/>
      <c r="BLJ149" s="26"/>
      <c r="BLK149" s="26"/>
      <c r="BLL149" s="26"/>
      <c r="BLM149" s="26"/>
      <c r="BLN149" s="26"/>
      <c r="BLO149" s="26"/>
      <c r="BLP149" s="26"/>
      <c r="BLQ149" s="26"/>
      <c r="BLR149" s="26"/>
      <c r="BLS149" s="26"/>
      <c r="BLT149" s="26"/>
      <c r="BLU149" s="26"/>
      <c r="BLV149" s="26"/>
      <c r="BLW149" s="26"/>
      <c r="BLX149" s="26"/>
      <c r="BLY149" s="26"/>
      <c r="BLZ149" s="26"/>
      <c r="BMA149" s="26"/>
      <c r="BMB149" s="26"/>
      <c r="BMC149" s="26"/>
      <c r="BMD149" s="26"/>
      <c r="BME149" s="26"/>
      <c r="BMF149" s="26"/>
      <c r="BMG149" s="26"/>
      <c r="BMH149" s="26"/>
      <c r="BMI149" s="26"/>
      <c r="BMJ149" s="26"/>
      <c r="BMK149" s="26"/>
      <c r="BML149" s="26"/>
      <c r="BMM149" s="26"/>
      <c r="BMN149" s="26"/>
      <c r="BMO149" s="26"/>
      <c r="BMP149" s="26"/>
      <c r="BMQ149" s="26"/>
      <c r="BMR149" s="26"/>
      <c r="BMS149" s="26"/>
      <c r="BMT149" s="26"/>
      <c r="BMU149" s="26"/>
      <c r="BMV149" s="26"/>
      <c r="BMW149" s="26"/>
      <c r="BMX149" s="26"/>
      <c r="BMY149" s="26"/>
      <c r="BMZ149" s="26"/>
      <c r="BNA149" s="26"/>
      <c r="BNB149" s="26"/>
      <c r="BNC149" s="26"/>
      <c r="BND149" s="26"/>
      <c r="BNE149" s="26"/>
      <c r="BNF149" s="26"/>
      <c r="BNG149" s="26"/>
      <c r="BNH149" s="26"/>
      <c r="BNI149" s="26"/>
      <c r="BNJ149" s="26"/>
      <c r="BNK149" s="26"/>
      <c r="BNL149" s="26"/>
      <c r="BNM149" s="26"/>
      <c r="BNN149" s="26"/>
      <c r="BNO149" s="26"/>
      <c r="BNP149" s="26"/>
      <c r="BNQ149" s="26"/>
      <c r="BNR149" s="26"/>
      <c r="BNS149" s="26"/>
      <c r="BNT149" s="26"/>
      <c r="BNU149" s="26"/>
      <c r="BNV149" s="26"/>
      <c r="BNW149" s="26"/>
      <c r="BNX149" s="26"/>
      <c r="BNY149" s="26"/>
      <c r="BNZ149" s="26"/>
      <c r="BOA149" s="26"/>
      <c r="BOB149" s="26"/>
      <c r="BOC149" s="26"/>
      <c r="BOD149" s="26"/>
      <c r="BOE149" s="26"/>
      <c r="BOF149" s="26"/>
      <c r="BOG149" s="26"/>
      <c r="BOH149" s="26"/>
      <c r="BOI149" s="26"/>
      <c r="BOJ149" s="26"/>
      <c r="BOK149" s="26"/>
      <c r="BOL149" s="26"/>
      <c r="BOM149" s="26"/>
      <c r="BON149" s="26"/>
      <c r="BOO149" s="26"/>
      <c r="BOP149" s="26"/>
      <c r="BOQ149" s="26"/>
      <c r="BOR149" s="26"/>
      <c r="BOS149" s="26"/>
      <c r="BOT149" s="26"/>
      <c r="BOU149" s="26"/>
      <c r="BOV149" s="26"/>
      <c r="BOW149" s="26"/>
      <c r="BOX149" s="26"/>
      <c r="BOY149" s="26"/>
      <c r="BOZ149" s="26"/>
      <c r="BPA149" s="26"/>
      <c r="BPB149" s="26"/>
      <c r="BPC149" s="26"/>
      <c r="BPD149" s="26"/>
      <c r="BPE149" s="26"/>
      <c r="BPF149" s="26"/>
      <c r="BPG149" s="26"/>
      <c r="BPH149" s="26"/>
      <c r="BPI149" s="26"/>
      <c r="BPJ149" s="26"/>
      <c r="BPK149" s="26"/>
      <c r="BPL149" s="26"/>
      <c r="BPM149" s="26"/>
      <c r="BPN149" s="26"/>
      <c r="BPO149" s="26"/>
      <c r="BPP149" s="26"/>
      <c r="BPQ149" s="26"/>
      <c r="BPR149" s="26"/>
      <c r="BPS149" s="26"/>
      <c r="BPT149" s="26"/>
      <c r="BPU149" s="26"/>
      <c r="BPV149" s="26"/>
      <c r="BPW149" s="26"/>
      <c r="BPX149" s="26"/>
      <c r="BPY149" s="26"/>
      <c r="BPZ149" s="26"/>
      <c r="BQA149" s="26"/>
      <c r="BQB149" s="26"/>
      <c r="BQC149" s="26"/>
      <c r="BQD149" s="26"/>
      <c r="BQE149" s="26"/>
      <c r="BQF149" s="26"/>
      <c r="BQG149" s="26"/>
      <c r="BQH149" s="26"/>
      <c r="BQI149" s="26"/>
      <c r="BQJ149" s="26"/>
      <c r="BQK149" s="26"/>
      <c r="BQL149" s="26"/>
      <c r="BQM149" s="26"/>
      <c r="BQN149" s="26"/>
      <c r="BQO149" s="26"/>
      <c r="BQP149" s="26"/>
      <c r="BQQ149" s="26"/>
      <c r="BQR149" s="26"/>
      <c r="BQS149" s="26"/>
      <c r="BQT149" s="26"/>
      <c r="BQU149" s="26"/>
      <c r="BQV149" s="26"/>
      <c r="BQW149" s="26"/>
      <c r="BQX149" s="26"/>
      <c r="BQY149" s="26"/>
      <c r="BQZ149" s="26"/>
      <c r="BRA149" s="26"/>
      <c r="BRB149" s="26"/>
      <c r="BRC149" s="26"/>
      <c r="BRD149" s="26"/>
      <c r="BRE149" s="26"/>
      <c r="BRF149" s="26"/>
      <c r="BRG149" s="26"/>
      <c r="BRH149" s="26"/>
      <c r="BRI149" s="26"/>
      <c r="BRJ149" s="26"/>
      <c r="BRK149" s="26"/>
      <c r="BRL149" s="26"/>
      <c r="BRM149" s="26"/>
      <c r="BRN149" s="26"/>
      <c r="BRO149" s="26"/>
      <c r="BRP149" s="26"/>
      <c r="BRQ149" s="26"/>
      <c r="BRR149" s="26"/>
      <c r="BRS149" s="26"/>
      <c r="BRT149" s="26"/>
      <c r="BRU149" s="26"/>
      <c r="BRV149" s="26"/>
      <c r="BRW149" s="26"/>
      <c r="BRX149" s="26"/>
      <c r="BRY149" s="26"/>
      <c r="BRZ149" s="26"/>
      <c r="BSA149" s="26"/>
      <c r="BSB149" s="26"/>
      <c r="BSC149" s="26"/>
      <c r="BSD149" s="26"/>
      <c r="BSE149" s="26"/>
      <c r="BSF149" s="26"/>
      <c r="BSG149" s="26"/>
      <c r="BSH149" s="26"/>
      <c r="BSI149" s="26"/>
      <c r="BSJ149" s="26"/>
      <c r="BSK149" s="26"/>
      <c r="BSL149" s="26"/>
      <c r="BSM149" s="26"/>
      <c r="BSN149" s="26"/>
      <c r="BSO149" s="26"/>
      <c r="BSP149" s="26"/>
      <c r="BSQ149" s="26"/>
      <c r="BSR149" s="26"/>
      <c r="BSS149" s="26"/>
      <c r="BST149" s="26"/>
      <c r="BSU149" s="26"/>
      <c r="BSV149" s="26"/>
      <c r="BSW149" s="26"/>
      <c r="BSX149" s="26"/>
      <c r="BSY149" s="26"/>
      <c r="BSZ149" s="26"/>
      <c r="BTA149" s="26"/>
      <c r="BTB149" s="26"/>
      <c r="BTC149" s="26"/>
      <c r="BTD149" s="26"/>
      <c r="BTE149" s="26"/>
      <c r="BTF149" s="26"/>
      <c r="BTG149" s="26"/>
      <c r="BTH149" s="26"/>
      <c r="BTI149" s="26"/>
      <c r="BTJ149" s="26"/>
      <c r="BTK149" s="26"/>
      <c r="BTL149" s="26"/>
      <c r="BTM149" s="26"/>
      <c r="BTN149" s="26"/>
      <c r="BTO149" s="26"/>
      <c r="BTP149" s="26"/>
      <c r="BTQ149" s="26"/>
      <c r="BTR149" s="26"/>
      <c r="BTS149" s="26"/>
      <c r="BTT149" s="26"/>
      <c r="BTU149" s="26"/>
      <c r="BTV149" s="26"/>
      <c r="BTW149" s="26"/>
      <c r="BTX149" s="26"/>
      <c r="BTY149" s="26"/>
      <c r="BTZ149" s="26"/>
      <c r="BUA149" s="26"/>
      <c r="BUB149" s="26"/>
      <c r="BUC149" s="26"/>
      <c r="BUD149" s="26"/>
      <c r="BUE149" s="26"/>
      <c r="BUF149" s="26"/>
      <c r="BUG149" s="26"/>
      <c r="BUH149" s="26"/>
      <c r="BUI149" s="26"/>
      <c r="BUJ149" s="26"/>
      <c r="BUK149" s="26"/>
      <c r="BUL149" s="26"/>
      <c r="BUM149" s="26"/>
      <c r="BUN149" s="26"/>
      <c r="BUO149" s="26"/>
      <c r="BUP149" s="26"/>
      <c r="BUQ149" s="26"/>
      <c r="BUR149" s="26"/>
      <c r="BUS149" s="26"/>
      <c r="BUT149" s="26"/>
      <c r="BUU149" s="26"/>
      <c r="BUV149" s="26"/>
      <c r="BUW149" s="26"/>
      <c r="BUX149" s="26"/>
      <c r="BUY149" s="26"/>
      <c r="BUZ149" s="26"/>
      <c r="BVA149" s="26"/>
      <c r="BVB149" s="26"/>
      <c r="BVC149" s="26"/>
      <c r="BVD149" s="26"/>
      <c r="BVE149" s="26"/>
      <c r="BVF149" s="26"/>
      <c r="BVG149" s="26"/>
      <c r="BVH149" s="26"/>
      <c r="BVI149" s="26"/>
      <c r="BVJ149" s="26"/>
      <c r="BVK149" s="26"/>
      <c r="BVL149" s="26"/>
      <c r="BVM149" s="26"/>
      <c r="BVN149" s="26"/>
      <c r="BVO149" s="26"/>
      <c r="BVP149" s="26"/>
      <c r="BVQ149" s="26"/>
      <c r="BVR149" s="26"/>
      <c r="BVS149" s="26"/>
      <c r="BVT149" s="26"/>
      <c r="BVU149" s="26"/>
      <c r="BVV149" s="26"/>
      <c r="BVW149" s="26"/>
      <c r="BVX149" s="26"/>
      <c r="BVY149" s="26"/>
      <c r="BVZ149" s="26"/>
      <c r="BWA149" s="26"/>
      <c r="BWB149" s="26"/>
      <c r="BWC149" s="26"/>
      <c r="BWD149" s="26"/>
      <c r="BWE149" s="26"/>
      <c r="BWF149" s="26"/>
      <c r="BWG149" s="26"/>
      <c r="BWH149" s="26"/>
      <c r="BWI149" s="26"/>
      <c r="BWJ149" s="26"/>
      <c r="BWK149" s="26"/>
      <c r="BWL149" s="26"/>
      <c r="BWM149" s="26"/>
      <c r="BWN149" s="26"/>
      <c r="BWO149" s="26"/>
      <c r="BWP149" s="26"/>
      <c r="BWQ149" s="26"/>
      <c r="BWR149" s="26"/>
      <c r="BWS149" s="26"/>
      <c r="BWT149" s="26"/>
      <c r="BWU149" s="26"/>
      <c r="BWV149" s="26"/>
      <c r="BWW149" s="26"/>
      <c r="BWX149" s="26"/>
      <c r="BWY149" s="26"/>
      <c r="BWZ149" s="26"/>
      <c r="BXA149" s="26"/>
      <c r="BXB149" s="26"/>
      <c r="BXC149" s="26"/>
      <c r="BXD149" s="26"/>
      <c r="BXE149" s="26"/>
      <c r="BXF149" s="26"/>
      <c r="BXG149" s="26"/>
      <c r="BXH149" s="26"/>
      <c r="BXI149" s="26"/>
      <c r="BXJ149" s="26"/>
      <c r="BXK149" s="26"/>
      <c r="BXL149" s="26"/>
      <c r="BXM149" s="26"/>
      <c r="BXN149" s="26"/>
      <c r="BXO149" s="26"/>
      <c r="BXP149" s="26"/>
      <c r="BXQ149" s="26"/>
      <c r="BXR149" s="26"/>
      <c r="BXS149" s="26"/>
      <c r="BXT149" s="26"/>
      <c r="BXU149" s="26"/>
      <c r="BXV149" s="26"/>
      <c r="BXW149" s="26"/>
      <c r="BXX149" s="26"/>
      <c r="BXY149" s="26"/>
      <c r="BXZ149" s="26"/>
      <c r="BYA149" s="26"/>
      <c r="BYB149" s="26"/>
      <c r="BYC149" s="26"/>
      <c r="BYD149" s="26"/>
      <c r="BYE149" s="26"/>
      <c r="BYF149" s="26"/>
      <c r="BYG149" s="26"/>
      <c r="BYH149" s="26"/>
      <c r="BYI149" s="26"/>
      <c r="BYJ149" s="26"/>
      <c r="BYK149" s="26"/>
      <c r="BYL149" s="26"/>
      <c r="BYM149" s="26"/>
      <c r="BYN149" s="26"/>
      <c r="BYO149" s="26"/>
      <c r="BYP149" s="26"/>
      <c r="BYQ149" s="26"/>
      <c r="BYR149" s="26"/>
      <c r="BYS149" s="26"/>
      <c r="BYT149" s="26"/>
      <c r="BYU149" s="26"/>
      <c r="BYV149" s="26"/>
      <c r="BYW149" s="26"/>
      <c r="BYX149" s="26"/>
      <c r="BYY149" s="26"/>
      <c r="BYZ149" s="26"/>
      <c r="BZA149" s="26"/>
      <c r="BZB149" s="26"/>
      <c r="BZC149" s="26"/>
      <c r="BZD149" s="26"/>
      <c r="BZE149" s="26"/>
      <c r="BZF149" s="26"/>
      <c r="BZG149" s="26"/>
      <c r="BZH149" s="26"/>
      <c r="BZI149" s="26"/>
      <c r="BZJ149" s="26"/>
      <c r="BZK149" s="26"/>
      <c r="BZL149" s="26"/>
      <c r="BZM149" s="26"/>
      <c r="BZN149" s="26"/>
      <c r="BZO149" s="26"/>
      <c r="BZP149" s="26"/>
      <c r="BZQ149" s="26"/>
      <c r="BZR149" s="26"/>
      <c r="BZS149" s="26"/>
      <c r="BZT149" s="26"/>
      <c r="BZU149" s="26"/>
      <c r="BZV149" s="26"/>
      <c r="BZW149" s="26"/>
      <c r="BZX149" s="26"/>
      <c r="BZY149" s="26"/>
      <c r="BZZ149" s="26"/>
      <c r="CAA149" s="26"/>
      <c r="CAB149" s="26"/>
      <c r="CAC149" s="26"/>
      <c r="CAD149" s="26"/>
      <c r="CAE149" s="26"/>
      <c r="CAF149" s="26"/>
      <c r="CAG149" s="26"/>
      <c r="CAH149" s="26"/>
      <c r="CAI149" s="26"/>
      <c r="CAJ149" s="26"/>
      <c r="CAK149" s="26"/>
      <c r="CAL149" s="26"/>
      <c r="CAM149" s="26"/>
      <c r="CAN149" s="26"/>
      <c r="CAO149" s="26"/>
      <c r="CAP149" s="26"/>
      <c r="CAQ149" s="26"/>
      <c r="CAR149" s="26"/>
      <c r="CAS149" s="26"/>
      <c r="CAT149" s="26"/>
      <c r="CAU149" s="26"/>
      <c r="CAV149" s="26"/>
      <c r="CAW149" s="26"/>
      <c r="CAX149" s="26"/>
      <c r="CAY149" s="26"/>
      <c r="CAZ149" s="26"/>
      <c r="CBA149" s="26"/>
      <c r="CBB149" s="26"/>
      <c r="CBC149" s="26"/>
      <c r="CBD149" s="26"/>
      <c r="CBE149" s="26"/>
      <c r="CBF149" s="26"/>
      <c r="CBG149" s="26"/>
      <c r="CBH149" s="26"/>
      <c r="CBI149" s="26"/>
    </row>
    <row r="150" spans="1:2089" s="41" customFormat="1" ht="14" customHeight="1">
      <c r="A150" s="27">
        <v>149</v>
      </c>
      <c r="B150" s="27" t="s">
        <v>354</v>
      </c>
      <c r="C150" s="26">
        <v>1995</v>
      </c>
      <c r="D150" s="26" t="s">
        <v>12</v>
      </c>
      <c r="E150" s="26" t="s">
        <v>566</v>
      </c>
      <c r="F150" s="77" t="s">
        <v>175</v>
      </c>
      <c r="G150" s="2" t="s">
        <v>106</v>
      </c>
      <c r="H150" s="2" t="s">
        <v>275</v>
      </c>
      <c r="I150" s="2" t="s">
        <v>175</v>
      </c>
      <c r="J150" s="2" t="s">
        <v>604</v>
      </c>
      <c r="K150" s="2" t="s">
        <v>548</v>
      </c>
      <c r="L150" s="2" t="s">
        <v>548</v>
      </c>
      <c r="M150" s="2" t="s">
        <v>175</v>
      </c>
      <c r="N150" s="2" t="s">
        <v>70</v>
      </c>
      <c r="O150" s="2" t="s">
        <v>209</v>
      </c>
      <c r="P150" s="2" t="s">
        <v>612</v>
      </c>
      <c r="Q150" s="2" t="s">
        <v>42</v>
      </c>
      <c r="R150" s="79" t="s">
        <v>613</v>
      </c>
      <c r="S150" s="88" t="s">
        <v>70</v>
      </c>
      <c r="T150" s="61">
        <f>72+47</f>
        <v>119</v>
      </c>
      <c r="U150" s="77">
        <v>1</v>
      </c>
      <c r="V150" s="26">
        <v>0</v>
      </c>
      <c r="W150" s="26">
        <v>1</v>
      </c>
      <c r="X150" s="26">
        <v>1</v>
      </c>
      <c r="Y150" s="26">
        <v>0</v>
      </c>
      <c r="Z150" s="26">
        <v>0</v>
      </c>
      <c r="AA150" s="26">
        <v>0</v>
      </c>
      <c r="AB150" s="26">
        <v>0</v>
      </c>
      <c r="AC150" s="33" t="s">
        <v>70</v>
      </c>
      <c r="AD150" s="33" t="s">
        <v>70</v>
      </c>
      <c r="AE150" s="33" t="s">
        <v>70</v>
      </c>
      <c r="AF150" s="33" t="s">
        <v>70</v>
      </c>
      <c r="AG150" s="33" t="s">
        <v>70</v>
      </c>
      <c r="AH150" s="33">
        <f>(174*72 + 47*131)/(72+47)</f>
        <v>157.01680672268907</v>
      </c>
      <c r="AI150" s="33" t="s">
        <v>70</v>
      </c>
      <c r="AJ150" s="33" t="s">
        <v>70</v>
      </c>
      <c r="AK150" s="33" t="s">
        <v>70</v>
      </c>
      <c r="AL150" s="33" t="s">
        <v>70</v>
      </c>
      <c r="AM150" s="61" t="s">
        <v>175</v>
      </c>
      <c r="AN150" s="32" t="s">
        <v>9</v>
      </c>
      <c r="AO150" s="35" t="s">
        <v>548</v>
      </c>
      <c r="AP150" s="35" t="s">
        <v>175</v>
      </c>
      <c r="AQ150" s="35" t="s">
        <v>548</v>
      </c>
      <c r="AR150" s="35" t="s">
        <v>548</v>
      </c>
      <c r="AS150" s="26" t="s">
        <v>175</v>
      </c>
      <c r="AT150" s="26" t="s">
        <v>548</v>
      </c>
      <c r="AU150" s="40" t="s">
        <v>548</v>
      </c>
      <c r="AV150" s="26">
        <v>7</v>
      </c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6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6"/>
      <c r="LG150" s="26"/>
      <c r="LH150" s="26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6"/>
      <c r="MT150" s="26"/>
      <c r="MU150" s="26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6"/>
      <c r="OG150" s="26"/>
      <c r="OH150" s="26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  <c r="PS150" s="26"/>
      <c r="PT150" s="26"/>
      <c r="PU150" s="26"/>
      <c r="PV150" s="26"/>
      <c r="PW150" s="26"/>
      <c r="PX150" s="26"/>
      <c r="PY150" s="26"/>
      <c r="PZ150" s="26"/>
      <c r="QA150" s="26"/>
      <c r="QB150" s="26"/>
      <c r="QC150" s="26"/>
      <c r="QD150" s="26"/>
      <c r="QE150" s="26"/>
      <c r="QF150" s="26"/>
      <c r="QG150" s="26"/>
      <c r="QH150" s="26"/>
      <c r="QI150" s="26"/>
      <c r="QJ150" s="26"/>
      <c r="QK150" s="26"/>
      <c r="QL150" s="26"/>
      <c r="QM150" s="26"/>
      <c r="QN150" s="26"/>
      <c r="QO150" s="26"/>
      <c r="QP150" s="26"/>
      <c r="QQ150" s="26"/>
      <c r="QR150" s="26"/>
      <c r="QS150" s="26"/>
      <c r="QT150" s="26"/>
      <c r="QU150" s="26"/>
      <c r="QV150" s="26"/>
      <c r="QW150" s="26"/>
      <c r="QX150" s="26"/>
      <c r="QY150" s="26"/>
      <c r="QZ150" s="26"/>
      <c r="RA150" s="26"/>
      <c r="RB150" s="26"/>
      <c r="RC150" s="26"/>
      <c r="RD150" s="26"/>
      <c r="RE150" s="26"/>
      <c r="RF150" s="26"/>
      <c r="RG150" s="26"/>
      <c r="RH150" s="26"/>
      <c r="RI150" s="26"/>
      <c r="RJ150" s="26"/>
      <c r="RK150" s="26"/>
      <c r="RL150" s="26"/>
      <c r="RM150" s="26"/>
      <c r="RN150" s="26"/>
      <c r="RO150" s="26"/>
      <c r="RP150" s="26"/>
      <c r="RQ150" s="26"/>
      <c r="RR150" s="26"/>
      <c r="RS150" s="26"/>
      <c r="RT150" s="26"/>
      <c r="RU150" s="26"/>
      <c r="RV150" s="26"/>
      <c r="RW150" s="26"/>
      <c r="RX150" s="26"/>
      <c r="RY150" s="26"/>
      <c r="RZ150" s="26"/>
      <c r="SA150" s="26"/>
      <c r="SB150" s="26"/>
      <c r="SC150" s="26"/>
      <c r="SD150" s="26"/>
      <c r="SE150" s="26"/>
      <c r="SF150" s="26"/>
      <c r="SG150" s="26"/>
      <c r="SH150" s="26"/>
      <c r="SI150" s="26"/>
      <c r="SJ150" s="26"/>
      <c r="SK150" s="26"/>
      <c r="SL150" s="26"/>
      <c r="SM150" s="26"/>
      <c r="SN150" s="26"/>
      <c r="SO150" s="26"/>
      <c r="SP150" s="26"/>
      <c r="SQ150" s="26"/>
      <c r="SR150" s="26"/>
      <c r="SS150" s="26"/>
      <c r="ST150" s="26"/>
      <c r="SU150" s="26"/>
      <c r="SV150" s="26"/>
      <c r="SW150" s="26"/>
      <c r="SX150" s="26"/>
      <c r="SY150" s="26"/>
      <c r="SZ150" s="26"/>
      <c r="TA150" s="26"/>
      <c r="TB150" s="26"/>
      <c r="TC150" s="26"/>
      <c r="TD150" s="26"/>
      <c r="TE150" s="26"/>
      <c r="TF150" s="26"/>
      <c r="TG150" s="26"/>
      <c r="TH150" s="26"/>
      <c r="TI150" s="26"/>
      <c r="TJ150" s="26"/>
      <c r="TK150" s="26"/>
      <c r="TL150" s="26"/>
      <c r="TM150" s="26"/>
      <c r="TN150" s="26"/>
      <c r="TO150" s="26"/>
      <c r="TP150" s="26"/>
      <c r="TQ150" s="26"/>
      <c r="TR150" s="26"/>
      <c r="TS150" s="26"/>
      <c r="TT150" s="26"/>
      <c r="TU150" s="26"/>
      <c r="TV150" s="26"/>
      <c r="TW150" s="26"/>
      <c r="TX150" s="26"/>
      <c r="TY150" s="26"/>
      <c r="TZ150" s="26"/>
      <c r="UA150" s="26"/>
      <c r="UB150" s="26"/>
      <c r="UC150" s="26"/>
      <c r="UD150" s="26"/>
      <c r="UE150" s="26"/>
      <c r="UF150" s="26"/>
      <c r="UG150" s="26"/>
      <c r="UH150" s="26"/>
      <c r="UI150" s="26"/>
      <c r="UJ150" s="26"/>
      <c r="UK150" s="26"/>
      <c r="UL150" s="26"/>
      <c r="UM150" s="26"/>
      <c r="UN150" s="26"/>
      <c r="UO150" s="26"/>
      <c r="UP150" s="26"/>
      <c r="UQ150" s="26"/>
      <c r="UR150" s="26"/>
      <c r="US150" s="26"/>
      <c r="UT150" s="26"/>
      <c r="UU150" s="26"/>
      <c r="UV150" s="26"/>
      <c r="UW150" s="26"/>
      <c r="UX150" s="26"/>
      <c r="UY150" s="26"/>
      <c r="UZ150" s="26"/>
      <c r="VA150" s="26"/>
      <c r="VB150" s="26"/>
      <c r="VC150" s="26"/>
      <c r="VD150" s="26"/>
      <c r="VE150" s="26"/>
      <c r="VF150" s="26"/>
      <c r="VG150" s="26"/>
      <c r="VH150" s="26"/>
      <c r="VI150" s="26"/>
      <c r="VJ150" s="26"/>
      <c r="VK150" s="26"/>
      <c r="VL150" s="26"/>
      <c r="VM150" s="26"/>
      <c r="VN150" s="26"/>
      <c r="VO150" s="26"/>
      <c r="VP150" s="26"/>
      <c r="VQ150" s="26"/>
      <c r="VR150" s="26"/>
      <c r="VS150" s="26"/>
      <c r="VT150" s="26"/>
      <c r="VU150" s="26"/>
      <c r="VV150" s="26"/>
      <c r="VW150" s="26"/>
      <c r="VX150" s="26"/>
      <c r="VY150" s="26"/>
      <c r="VZ150" s="26"/>
      <c r="WA150" s="26"/>
      <c r="WB150" s="26"/>
      <c r="WC150" s="26"/>
      <c r="WD150" s="26"/>
      <c r="WE150" s="26"/>
      <c r="WF150" s="26"/>
      <c r="WG150" s="26"/>
      <c r="WH150" s="26"/>
      <c r="WI150" s="26"/>
      <c r="WJ150" s="26"/>
      <c r="WK150" s="26"/>
      <c r="WL150" s="26"/>
      <c r="WM150" s="26"/>
      <c r="WN150" s="26"/>
      <c r="WO150" s="26"/>
      <c r="WP150" s="26"/>
      <c r="WQ150" s="26"/>
      <c r="WR150" s="26"/>
      <c r="WS150" s="26"/>
      <c r="WT150" s="26"/>
      <c r="WU150" s="26"/>
      <c r="WV150" s="26"/>
      <c r="WW150" s="26"/>
      <c r="WX150" s="26"/>
      <c r="WY150" s="26"/>
      <c r="WZ150" s="26"/>
      <c r="XA150" s="26"/>
      <c r="XB150" s="26"/>
      <c r="XC150" s="26"/>
      <c r="XD150" s="26"/>
      <c r="XE150" s="26"/>
      <c r="XF150" s="26"/>
      <c r="XG150" s="26"/>
      <c r="XH150" s="26"/>
      <c r="XI150" s="26"/>
      <c r="XJ150" s="26"/>
      <c r="XK150" s="26"/>
      <c r="XL150" s="26"/>
      <c r="XM150" s="26"/>
      <c r="XN150" s="26"/>
      <c r="XO150" s="26"/>
      <c r="XP150" s="26"/>
      <c r="XQ150" s="26"/>
      <c r="XR150" s="26"/>
      <c r="XS150" s="26"/>
      <c r="XT150" s="26"/>
      <c r="XU150" s="26"/>
      <c r="XV150" s="26"/>
      <c r="XW150" s="26"/>
      <c r="XX150" s="26"/>
      <c r="XY150" s="26"/>
      <c r="XZ150" s="26"/>
      <c r="YA150" s="26"/>
      <c r="YB150" s="26"/>
      <c r="YC150" s="26"/>
      <c r="YD150" s="26"/>
      <c r="YE150" s="26"/>
      <c r="YF150" s="26"/>
      <c r="YG150" s="26"/>
      <c r="YH150" s="26"/>
      <c r="YI150" s="26"/>
      <c r="YJ150" s="26"/>
      <c r="YK150" s="26"/>
      <c r="YL150" s="26"/>
      <c r="YM150" s="26"/>
      <c r="YN150" s="26"/>
      <c r="YO150" s="26"/>
      <c r="YP150" s="26"/>
      <c r="YQ150" s="26"/>
      <c r="YR150" s="26"/>
      <c r="YS150" s="26"/>
      <c r="YT150" s="26"/>
      <c r="YU150" s="26"/>
      <c r="YV150" s="26"/>
      <c r="YW150" s="26"/>
      <c r="YX150" s="26"/>
      <c r="YY150" s="26"/>
      <c r="YZ150" s="26"/>
      <c r="ZA150" s="26"/>
      <c r="ZB150" s="26"/>
      <c r="ZC150" s="26"/>
      <c r="ZD150" s="26"/>
      <c r="ZE150" s="26"/>
      <c r="ZF150" s="26"/>
      <c r="ZG150" s="26"/>
      <c r="ZH150" s="26"/>
      <c r="ZI150" s="26"/>
      <c r="ZJ150" s="26"/>
      <c r="ZK150" s="26"/>
      <c r="ZL150" s="26"/>
      <c r="ZM150" s="26"/>
      <c r="ZN150" s="26"/>
      <c r="ZO150" s="26"/>
      <c r="ZP150" s="26"/>
      <c r="ZQ150" s="26"/>
      <c r="ZR150" s="26"/>
      <c r="ZS150" s="26"/>
      <c r="ZT150" s="26"/>
      <c r="ZU150" s="26"/>
      <c r="ZV150" s="26"/>
      <c r="ZW150" s="26"/>
      <c r="ZX150" s="26"/>
      <c r="ZY150" s="26"/>
      <c r="ZZ150" s="26"/>
      <c r="AAA150" s="26"/>
      <c r="AAB150" s="26"/>
      <c r="AAC150" s="26"/>
      <c r="AAD150" s="26"/>
      <c r="AAE150" s="26"/>
      <c r="AAF150" s="26"/>
      <c r="AAG150" s="26"/>
      <c r="AAH150" s="26"/>
      <c r="AAI150" s="26"/>
      <c r="AAJ150" s="26"/>
      <c r="AAK150" s="26"/>
      <c r="AAL150" s="26"/>
      <c r="AAM150" s="26"/>
      <c r="AAN150" s="26"/>
      <c r="AAO150" s="26"/>
      <c r="AAP150" s="26"/>
      <c r="AAQ150" s="26"/>
      <c r="AAR150" s="26"/>
      <c r="AAS150" s="26"/>
      <c r="AAT150" s="26"/>
      <c r="AAU150" s="26"/>
      <c r="AAV150" s="26"/>
      <c r="AAW150" s="26"/>
      <c r="AAX150" s="26"/>
      <c r="AAY150" s="26"/>
      <c r="AAZ150" s="26"/>
      <c r="ABA150" s="26"/>
      <c r="ABB150" s="26"/>
      <c r="ABC150" s="26"/>
      <c r="ABD150" s="26"/>
      <c r="ABE150" s="26"/>
      <c r="ABF150" s="26"/>
      <c r="ABG150" s="26"/>
      <c r="ABH150" s="26"/>
      <c r="ABI150" s="26"/>
      <c r="ABJ150" s="26"/>
      <c r="ABK150" s="26"/>
      <c r="ABL150" s="26"/>
      <c r="ABM150" s="26"/>
      <c r="ABN150" s="26"/>
      <c r="ABO150" s="26"/>
      <c r="ABP150" s="26"/>
      <c r="ABQ150" s="26"/>
      <c r="ABR150" s="26"/>
      <c r="ABS150" s="26"/>
      <c r="ABT150" s="26"/>
      <c r="ABU150" s="26"/>
      <c r="ABV150" s="26"/>
      <c r="ABW150" s="26"/>
      <c r="ABX150" s="26"/>
      <c r="ABY150" s="26"/>
      <c r="ABZ150" s="26"/>
      <c r="ACA150" s="26"/>
      <c r="ACB150" s="26"/>
      <c r="ACC150" s="26"/>
      <c r="ACD150" s="26"/>
      <c r="ACE150" s="26"/>
      <c r="ACF150" s="26"/>
      <c r="ACG150" s="26"/>
      <c r="ACH150" s="26"/>
      <c r="ACI150" s="26"/>
      <c r="ACJ150" s="26"/>
      <c r="ACK150" s="26"/>
      <c r="ACL150" s="26"/>
      <c r="ACM150" s="26"/>
      <c r="ACN150" s="26"/>
      <c r="ACO150" s="26"/>
      <c r="ACP150" s="26"/>
      <c r="ACQ150" s="26"/>
      <c r="ACR150" s="26"/>
      <c r="ACS150" s="26"/>
      <c r="ACT150" s="26"/>
      <c r="ACU150" s="26"/>
      <c r="ACV150" s="26"/>
      <c r="ACW150" s="26"/>
      <c r="ACX150" s="26"/>
      <c r="ACY150" s="26"/>
      <c r="ACZ150" s="26"/>
      <c r="ADA150" s="26"/>
      <c r="ADB150" s="26"/>
      <c r="ADC150" s="26"/>
      <c r="ADD150" s="26"/>
      <c r="ADE150" s="26"/>
      <c r="ADF150" s="26"/>
      <c r="ADG150" s="26"/>
      <c r="ADH150" s="26"/>
      <c r="ADI150" s="26"/>
      <c r="ADJ150" s="26"/>
      <c r="ADK150" s="26"/>
      <c r="ADL150" s="26"/>
      <c r="ADM150" s="26"/>
      <c r="ADN150" s="26"/>
      <c r="ADO150" s="26"/>
      <c r="ADP150" s="26"/>
      <c r="ADQ150" s="26"/>
      <c r="ADR150" s="26"/>
      <c r="ADS150" s="26"/>
      <c r="ADT150" s="26"/>
      <c r="ADU150" s="26"/>
      <c r="ADV150" s="26"/>
      <c r="ADW150" s="26"/>
      <c r="ADX150" s="26"/>
      <c r="ADY150" s="26"/>
      <c r="ADZ150" s="26"/>
      <c r="AEA150" s="26"/>
      <c r="AEB150" s="26"/>
      <c r="AEC150" s="26"/>
      <c r="AED150" s="26"/>
      <c r="AEE150" s="26"/>
      <c r="AEF150" s="26"/>
      <c r="AEG150" s="26"/>
      <c r="AEH150" s="26"/>
      <c r="AEI150" s="26"/>
      <c r="AEJ150" s="26"/>
      <c r="AEK150" s="26"/>
      <c r="AEL150" s="26"/>
      <c r="AEM150" s="26"/>
      <c r="AEN150" s="26"/>
      <c r="AEO150" s="26"/>
      <c r="AEP150" s="26"/>
      <c r="AEQ150" s="26"/>
      <c r="AER150" s="26"/>
      <c r="AES150" s="26"/>
      <c r="AET150" s="26"/>
      <c r="AEU150" s="26"/>
      <c r="AEV150" s="26"/>
      <c r="AEW150" s="26"/>
      <c r="AEX150" s="26"/>
      <c r="AEY150" s="26"/>
      <c r="AEZ150" s="26"/>
      <c r="AFA150" s="26"/>
      <c r="AFB150" s="26"/>
      <c r="AFC150" s="26"/>
      <c r="AFD150" s="26"/>
      <c r="AFE150" s="26"/>
      <c r="AFF150" s="26"/>
      <c r="AFG150" s="26"/>
      <c r="AFH150" s="26"/>
      <c r="AFI150" s="26"/>
      <c r="AFJ150" s="26"/>
      <c r="AFK150" s="26"/>
      <c r="AFL150" s="26"/>
      <c r="AFM150" s="26"/>
      <c r="AFN150" s="26"/>
      <c r="AFO150" s="26"/>
      <c r="AFP150" s="26"/>
      <c r="AFQ150" s="26"/>
      <c r="AFR150" s="26"/>
      <c r="AFS150" s="26"/>
      <c r="AFT150" s="26"/>
      <c r="AFU150" s="26"/>
      <c r="AFV150" s="26"/>
      <c r="AFW150" s="26"/>
      <c r="AFX150" s="26"/>
      <c r="AFY150" s="26"/>
      <c r="AFZ150" s="26"/>
      <c r="AGA150" s="26"/>
      <c r="AGB150" s="26"/>
      <c r="AGC150" s="26"/>
      <c r="AGD150" s="26"/>
      <c r="AGE150" s="26"/>
      <c r="AGF150" s="26"/>
      <c r="AGG150" s="26"/>
      <c r="AGH150" s="26"/>
      <c r="AGI150" s="26"/>
      <c r="AGJ150" s="26"/>
      <c r="AGK150" s="26"/>
      <c r="AGL150" s="26"/>
      <c r="AGM150" s="26"/>
      <c r="AGN150" s="26"/>
      <c r="AGO150" s="26"/>
      <c r="AGP150" s="26"/>
      <c r="AGQ150" s="26"/>
      <c r="AGR150" s="26"/>
      <c r="AGS150" s="26"/>
      <c r="AGT150" s="26"/>
      <c r="AGU150" s="26"/>
      <c r="AGV150" s="26"/>
      <c r="AGW150" s="26"/>
      <c r="AGX150" s="26"/>
      <c r="AGY150" s="26"/>
      <c r="AGZ150" s="26"/>
      <c r="AHA150" s="26"/>
      <c r="AHB150" s="26"/>
      <c r="AHC150" s="26"/>
      <c r="AHD150" s="26"/>
      <c r="AHE150" s="26"/>
      <c r="AHF150" s="26"/>
      <c r="AHG150" s="26"/>
      <c r="AHH150" s="26"/>
      <c r="AHI150" s="26"/>
      <c r="AHJ150" s="26"/>
      <c r="AHK150" s="26"/>
      <c r="AHL150" s="26"/>
      <c r="AHM150" s="26"/>
      <c r="AHN150" s="26"/>
      <c r="AHO150" s="26"/>
      <c r="AHP150" s="26"/>
      <c r="AHQ150" s="26"/>
      <c r="AHR150" s="26"/>
      <c r="AHS150" s="26"/>
      <c r="AHT150" s="26"/>
      <c r="AHU150" s="26"/>
      <c r="AHV150" s="26"/>
      <c r="AHW150" s="26"/>
      <c r="AHX150" s="26"/>
      <c r="AHY150" s="26"/>
      <c r="AHZ150" s="26"/>
      <c r="AIA150" s="26"/>
      <c r="AIB150" s="26"/>
      <c r="AIC150" s="26"/>
      <c r="AID150" s="26"/>
      <c r="AIE150" s="26"/>
      <c r="AIF150" s="26"/>
      <c r="AIG150" s="26"/>
      <c r="AIH150" s="26"/>
      <c r="AII150" s="26"/>
      <c r="AIJ150" s="26"/>
      <c r="AIK150" s="26"/>
      <c r="AIL150" s="26"/>
      <c r="AIM150" s="26"/>
      <c r="AIN150" s="26"/>
      <c r="AIO150" s="26"/>
      <c r="AIP150" s="26"/>
      <c r="AIQ150" s="26"/>
      <c r="AIR150" s="26"/>
      <c r="AIS150" s="26"/>
      <c r="AIT150" s="26"/>
      <c r="AIU150" s="26"/>
      <c r="AIV150" s="26"/>
      <c r="AIW150" s="26"/>
      <c r="AIX150" s="26"/>
      <c r="AIY150" s="26"/>
      <c r="AIZ150" s="26"/>
      <c r="AJA150" s="26"/>
      <c r="AJB150" s="26"/>
      <c r="AJC150" s="26"/>
      <c r="AJD150" s="26"/>
      <c r="AJE150" s="26"/>
      <c r="AJF150" s="26"/>
      <c r="AJG150" s="26"/>
      <c r="AJH150" s="26"/>
      <c r="AJI150" s="26"/>
      <c r="AJJ150" s="26"/>
      <c r="AJK150" s="26"/>
      <c r="AJL150" s="26"/>
      <c r="AJM150" s="26"/>
      <c r="AJN150" s="26"/>
      <c r="AJO150" s="26"/>
      <c r="AJP150" s="26"/>
      <c r="AJQ150" s="26"/>
      <c r="AJR150" s="26"/>
      <c r="AJS150" s="26"/>
      <c r="AJT150" s="26"/>
      <c r="AJU150" s="26"/>
      <c r="AJV150" s="26"/>
      <c r="AJW150" s="26"/>
      <c r="AJX150" s="26"/>
      <c r="AJY150" s="26"/>
      <c r="AJZ150" s="26"/>
      <c r="AKA150" s="26"/>
      <c r="AKB150" s="26"/>
      <c r="AKC150" s="26"/>
      <c r="AKD150" s="26"/>
      <c r="AKE150" s="26"/>
      <c r="AKF150" s="26"/>
      <c r="AKG150" s="26"/>
      <c r="AKH150" s="26"/>
      <c r="AKI150" s="26"/>
      <c r="AKJ150" s="26"/>
      <c r="AKK150" s="26"/>
      <c r="AKL150" s="26"/>
      <c r="AKM150" s="26"/>
      <c r="AKN150" s="26"/>
      <c r="AKO150" s="26"/>
      <c r="AKP150" s="26"/>
      <c r="AKQ150" s="26"/>
      <c r="AKR150" s="26"/>
      <c r="AKS150" s="26"/>
      <c r="AKT150" s="26"/>
      <c r="AKU150" s="26"/>
      <c r="AKV150" s="26"/>
      <c r="AKW150" s="26"/>
      <c r="AKX150" s="26"/>
      <c r="AKY150" s="26"/>
      <c r="AKZ150" s="26"/>
      <c r="ALA150" s="26"/>
      <c r="ALB150" s="26"/>
      <c r="ALC150" s="26"/>
      <c r="ALD150" s="26"/>
      <c r="ALE150" s="26"/>
      <c r="ALF150" s="26"/>
      <c r="ALG150" s="26"/>
      <c r="ALH150" s="26"/>
      <c r="ALI150" s="26"/>
      <c r="ALJ150" s="26"/>
      <c r="ALK150" s="26"/>
      <c r="ALL150" s="26"/>
      <c r="ALM150" s="26"/>
      <c r="ALN150" s="26"/>
      <c r="ALO150" s="26"/>
      <c r="ALP150" s="26"/>
      <c r="ALQ150" s="26"/>
      <c r="ALR150" s="26"/>
      <c r="ALS150" s="26"/>
      <c r="ALT150" s="26"/>
      <c r="ALU150" s="26"/>
      <c r="ALV150" s="26"/>
      <c r="ALW150" s="26"/>
      <c r="ALX150" s="26"/>
      <c r="ALY150" s="26"/>
      <c r="ALZ150" s="26"/>
      <c r="AMA150" s="26"/>
      <c r="AMB150" s="26"/>
      <c r="AMC150" s="26"/>
      <c r="AMD150" s="26"/>
      <c r="AME150" s="26"/>
      <c r="AMF150" s="26"/>
      <c r="AMG150" s="26"/>
      <c r="AMH150" s="26"/>
      <c r="AMI150" s="26"/>
      <c r="AMJ150" s="26"/>
      <c r="AMK150" s="26"/>
      <c r="AML150" s="26"/>
      <c r="AMM150" s="26"/>
      <c r="AMN150" s="26"/>
      <c r="AMO150" s="26"/>
      <c r="AMP150" s="26"/>
      <c r="AMQ150" s="26"/>
      <c r="AMR150" s="26"/>
      <c r="AMS150" s="26"/>
      <c r="AMT150" s="26"/>
      <c r="AMU150" s="26"/>
      <c r="AMV150" s="26"/>
      <c r="AMW150" s="26"/>
      <c r="AMX150" s="26"/>
      <c r="AMY150" s="26"/>
      <c r="AMZ150" s="26"/>
      <c r="ANA150" s="26"/>
      <c r="ANB150" s="26"/>
      <c r="ANC150" s="26"/>
      <c r="AND150" s="26"/>
      <c r="ANE150" s="26"/>
      <c r="ANF150" s="26"/>
      <c r="ANG150" s="26"/>
      <c r="ANH150" s="26"/>
      <c r="ANI150" s="26"/>
      <c r="ANJ150" s="26"/>
      <c r="ANK150" s="26"/>
      <c r="ANL150" s="26"/>
      <c r="ANM150" s="26"/>
      <c r="ANN150" s="26"/>
      <c r="ANO150" s="26"/>
      <c r="ANP150" s="26"/>
      <c r="ANQ150" s="26"/>
      <c r="ANR150" s="26"/>
      <c r="ANS150" s="26"/>
      <c r="ANT150" s="26"/>
      <c r="ANU150" s="26"/>
      <c r="ANV150" s="26"/>
      <c r="ANW150" s="26"/>
      <c r="ANX150" s="26"/>
      <c r="ANY150" s="26"/>
      <c r="ANZ150" s="26"/>
      <c r="AOA150" s="26"/>
      <c r="AOB150" s="26"/>
      <c r="AOC150" s="26"/>
      <c r="AOD150" s="26"/>
      <c r="AOE150" s="26"/>
      <c r="AOF150" s="26"/>
      <c r="AOG150" s="26"/>
      <c r="AOH150" s="26"/>
      <c r="AOI150" s="26"/>
      <c r="AOJ150" s="26"/>
      <c r="AOK150" s="26"/>
      <c r="AOL150" s="26"/>
      <c r="AOM150" s="26"/>
      <c r="AON150" s="26"/>
      <c r="AOO150" s="26"/>
      <c r="AOP150" s="26"/>
      <c r="AOQ150" s="26"/>
      <c r="AOR150" s="26"/>
      <c r="AOS150" s="26"/>
      <c r="AOT150" s="26"/>
      <c r="AOU150" s="26"/>
      <c r="AOV150" s="26"/>
      <c r="AOW150" s="26"/>
      <c r="AOX150" s="26"/>
      <c r="AOY150" s="26"/>
      <c r="AOZ150" s="26"/>
      <c r="APA150" s="26"/>
      <c r="APB150" s="26"/>
      <c r="APC150" s="26"/>
      <c r="APD150" s="26"/>
      <c r="APE150" s="26"/>
      <c r="APF150" s="26"/>
      <c r="APG150" s="26"/>
      <c r="APH150" s="26"/>
      <c r="API150" s="26"/>
      <c r="APJ150" s="26"/>
      <c r="APK150" s="26"/>
      <c r="APL150" s="26"/>
      <c r="APM150" s="26"/>
      <c r="APN150" s="26"/>
      <c r="APO150" s="26"/>
      <c r="APP150" s="26"/>
      <c r="APQ150" s="26"/>
      <c r="APR150" s="26"/>
      <c r="APS150" s="26"/>
      <c r="APT150" s="26"/>
      <c r="APU150" s="26"/>
      <c r="APV150" s="26"/>
      <c r="APW150" s="26"/>
      <c r="APX150" s="26"/>
      <c r="APY150" s="26"/>
      <c r="APZ150" s="26"/>
      <c r="AQA150" s="26"/>
      <c r="AQB150" s="26"/>
      <c r="AQC150" s="26"/>
      <c r="AQD150" s="26"/>
      <c r="AQE150" s="26"/>
      <c r="AQF150" s="26"/>
      <c r="AQG150" s="26"/>
      <c r="AQH150" s="26"/>
      <c r="AQI150" s="26"/>
      <c r="AQJ150" s="26"/>
      <c r="AQK150" s="26"/>
      <c r="AQL150" s="26"/>
      <c r="AQM150" s="26"/>
      <c r="AQN150" s="26"/>
      <c r="AQO150" s="26"/>
      <c r="AQP150" s="26"/>
      <c r="AQQ150" s="26"/>
      <c r="AQR150" s="26"/>
      <c r="AQS150" s="26"/>
      <c r="AQT150" s="26"/>
      <c r="AQU150" s="26"/>
      <c r="AQV150" s="26"/>
      <c r="AQW150" s="26"/>
      <c r="AQX150" s="26"/>
      <c r="AQY150" s="26"/>
      <c r="AQZ150" s="26"/>
      <c r="ARA150" s="26"/>
      <c r="ARB150" s="26"/>
      <c r="ARC150" s="26"/>
      <c r="ARD150" s="26"/>
      <c r="ARE150" s="26"/>
      <c r="ARF150" s="26"/>
      <c r="ARG150" s="26"/>
      <c r="ARH150" s="26"/>
      <c r="ARI150" s="26"/>
      <c r="ARJ150" s="26"/>
      <c r="ARK150" s="26"/>
      <c r="ARL150" s="26"/>
      <c r="ARM150" s="26"/>
      <c r="ARN150" s="26"/>
      <c r="ARO150" s="26"/>
      <c r="ARP150" s="26"/>
      <c r="ARQ150" s="26"/>
      <c r="ARR150" s="26"/>
      <c r="ARS150" s="26"/>
      <c r="ART150" s="26"/>
      <c r="ARU150" s="26"/>
      <c r="ARV150" s="26"/>
      <c r="ARW150" s="26"/>
      <c r="ARX150" s="26"/>
      <c r="ARY150" s="26"/>
      <c r="ARZ150" s="26"/>
      <c r="ASA150" s="26"/>
      <c r="ASB150" s="26"/>
      <c r="ASC150" s="26"/>
      <c r="ASD150" s="26"/>
      <c r="ASE150" s="26"/>
      <c r="ASF150" s="26"/>
      <c r="ASG150" s="26"/>
      <c r="ASH150" s="26"/>
      <c r="ASI150" s="26"/>
      <c r="ASJ150" s="26"/>
      <c r="ASK150" s="26"/>
      <c r="ASL150" s="26"/>
      <c r="ASM150" s="26"/>
      <c r="ASN150" s="26"/>
      <c r="ASO150" s="26"/>
      <c r="ASP150" s="26"/>
      <c r="ASQ150" s="26"/>
      <c r="ASR150" s="26"/>
      <c r="ASS150" s="26"/>
      <c r="AST150" s="26"/>
      <c r="ASU150" s="26"/>
      <c r="ASV150" s="26"/>
      <c r="ASW150" s="26"/>
      <c r="ASX150" s="26"/>
      <c r="ASY150" s="26"/>
      <c r="ASZ150" s="26"/>
      <c r="ATA150" s="26"/>
      <c r="ATB150" s="26"/>
      <c r="ATC150" s="26"/>
      <c r="ATD150" s="26"/>
      <c r="ATE150" s="26"/>
      <c r="ATF150" s="26"/>
      <c r="ATG150" s="26"/>
      <c r="ATH150" s="26"/>
      <c r="ATI150" s="26"/>
      <c r="ATJ150" s="26"/>
      <c r="ATK150" s="26"/>
      <c r="ATL150" s="26"/>
      <c r="ATM150" s="26"/>
      <c r="ATN150" s="26"/>
      <c r="ATO150" s="26"/>
      <c r="ATP150" s="26"/>
      <c r="ATQ150" s="26"/>
      <c r="ATR150" s="26"/>
      <c r="ATS150" s="26"/>
      <c r="ATT150" s="26"/>
      <c r="ATU150" s="26"/>
      <c r="ATV150" s="26"/>
      <c r="ATW150" s="26"/>
      <c r="ATX150" s="26"/>
      <c r="ATY150" s="26"/>
      <c r="ATZ150" s="26"/>
      <c r="AUA150" s="26"/>
      <c r="AUB150" s="26"/>
      <c r="AUC150" s="26"/>
      <c r="AUD150" s="26"/>
      <c r="AUE150" s="26"/>
      <c r="AUF150" s="26"/>
      <c r="AUG150" s="26"/>
      <c r="AUH150" s="26"/>
      <c r="AUI150" s="26"/>
      <c r="AUJ150" s="26"/>
      <c r="AUK150" s="26"/>
      <c r="AUL150" s="26"/>
      <c r="AUM150" s="26"/>
      <c r="AUN150" s="26"/>
      <c r="AUO150" s="26"/>
      <c r="AUP150" s="26"/>
      <c r="AUQ150" s="26"/>
      <c r="AUR150" s="26"/>
      <c r="AUS150" s="26"/>
      <c r="AUT150" s="26"/>
      <c r="AUU150" s="26"/>
      <c r="AUV150" s="26"/>
      <c r="AUW150" s="26"/>
      <c r="AUX150" s="26"/>
      <c r="AUY150" s="26"/>
      <c r="AUZ150" s="26"/>
      <c r="AVA150" s="26"/>
      <c r="AVB150" s="26"/>
      <c r="AVC150" s="26"/>
      <c r="AVD150" s="26"/>
      <c r="AVE150" s="26"/>
      <c r="AVF150" s="26"/>
      <c r="AVG150" s="26"/>
      <c r="AVH150" s="26"/>
      <c r="AVI150" s="26"/>
      <c r="AVJ150" s="26"/>
      <c r="AVK150" s="26"/>
      <c r="AVL150" s="26"/>
      <c r="AVM150" s="26"/>
      <c r="AVN150" s="26"/>
      <c r="AVO150" s="26"/>
      <c r="AVP150" s="26"/>
      <c r="AVQ150" s="26"/>
      <c r="AVR150" s="26"/>
      <c r="AVS150" s="26"/>
      <c r="AVT150" s="26"/>
      <c r="AVU150" s="26"/>
      <c r="AVV150" s="26"/>
      <c r="AVW150" s="26"/>
      <c r="AVX150" s="26"/>
      <c r="AVY150" s="26"/>
      <c r="AVZ150" s="26"/>
      <c r="AWA150" s="26"/>
      <c r="AWB150" s="26"/>
      <c r="AWC150" s="26"/>
      <c r="AWD150" s="26"/>
      <c r="AWE150" s="26"/>
      <c r="AWF150" s="26"/>
      <c r="AWG150" s="26"/>
      <c r="AWH150" s="26"/>
      <c r="AWI150" s="26"/>
      <c r="AWJ150" s="26"/>
      <c r="AWK150" s="26"/>
      <c r="AWL150" s="26"/>
      <c r="AWM150" s="26"/>
      <c r="AWN150" s="26"/>
      <c r="AWO150" s="26"/>
      <c r="AWP150" s="26"/>
      <c r="AWQ150" s="26"/>
      <c r="AWR150" s="26"/>
      <c r="AWS150" s="26"/>
      <c r="AWT150" s="26"/>
      <c r="AWU150" s="26"/>
      <c r="AWV150" s="26"/>
      <c r="AWW150" s="26"/>
      <c r="AWX150" s="26"/>
      <c r="AWY150" s="26"/>
      <c r="AWZ150" s="26"/>
      <c r="AXA150" s="26"/>
      <c r="AXB150" s="26"/>
      <c r="AXC150" s="26"/>
      <c r="AXD150" s="26"/>
      <c r="AXE150" s="26"/>
      <c r="AXF150" s="26"/>
      <c r="AXG150" s="26"/>
      <c r="AXH150" s="26"/>
      <c r="AXI150" s="26"/>
      <c r="AXJ150" s="26"/>
      <c r="AXK150" s="26"/>
      <c r="AXL150" s="26"/>
      <c r="AXM150" s="26"/>
      <c r="AXN150" s="26"/>
      <c r="AXO150" s="26"/>
      <c r="AXP150" s="26"/>
      <c r="AXQ150" s="26"/>
      <c r="AXR150" s="26"/>
      <c r="AXS150" s="26"/>
      <c r="AXT150" s="26"/>
      <c r="AXU150" s="26"/>
      <c r="AXV150" s="26"/>
      <c r="AXW150" s="26"/>
      <c r="AXX150" s="26"/>
      <c r="AXY150" s="26"/>
      <c r="AXZ150" s="26"/>
      <c r="AYA150" s="26"/>
      <c r="AYB150" s="26"/>
      <c r="AYC150" s="26"/>
      <c r="AYD150" s="26"/>
      <c r="AYE150" s="26"/>
      <c r="AYF150" s="26"/>
      <c r="AYG150" s="26"/>
      <c r="AYH150" s="26"/>
      <c r="AYI150" s="26"/>
      <c r="AYJ150" s="26"/>
      <c r="AYK150" s="26"/>
      <c r="AYL150" s="26"/>
      <c r="AYM150" s="26"/>
      <c r="AYN150" s="26"/>
      <c r="AYO150" s="26"/>
      <c r="AYP150" s="26"/>
      <c r="AYQ150" s="26"/>
      <c r="AYR150" s="26"/>
      <c r="AYS150" s="26"/>
      <c r="AYT150" s="26"/>
      <c r="AYU150" s="26"/>
      <c r="AYV150" s="26"/>
      <c r="AYW150" s="26"/>
      <c r="AYX150" s="26"/>
      <c r="AYY150" s="26"/>
      <c r="AYZ150" s="26"/>
      <c r="AZA150" s="26"/>
      <c r="AZB150" s="26"/>
      <c r="AZC150" s="26"/>
      <c r="AZD150" s="26"/>
      <c r="AZE150" s="26"/>
      <c r="AZF150" s="26"/>
      <c r="AZG150" s="26"/>
      <c r="AZH150" s="26"/>
      <c r="AZI150" s="26"/>
      <c r="AZJ150" s="26"/>
      <c r="AZK150" s="26"/>
      <c r="AZL150" s="26"/>
      <c r="AZM150" s="26"/>
      <c r="AZN150" s="26"/>
      <c r="AZO150" s="26"/>
      <c r="AZP150" s="26"/>
      <c r="AZQ150" s="26"/>
      <c r="AZR150" s="26"/>
      <c r="AZS150" s="26"/>
      <c r="AZT150" s="26"/>
      <c r="AZU150" s="26"/>
      <c r="AZV150" s="26"/>
      <c r="AZW150" s="26"/>
      <c r="AZX150" s="26"/>
      <c r="AZY150" s="26"/>
      <c r="AZZ150" s="26"/>
      <c r="BAA150" s="26"/>
      <c r="BAB150" s="26"/>
      <c r="BAC150" s="26"/>
      <c r="BAD150" s="26"/>
      <c r="BAE150" s="26"/>
      <c r="BAF150" s="26"/>
      <c r="BAG150" s="26"/>
      <c r="BAH150" s="26"/>
      <c r="BAI150" s="26"/>
      <c r="BAJ150" s="26"/>
      <c r="BAK150" s="26"/>
      <c r="BAL150" s="26"/>
      <c r="BAM150" s="26"/>
      <c r="BAN150" s="26"/>
      <c r="BAO150" s="26"/>
      <c r="BAP150" s="26"/>
      <c r="BAQ150" s="26"/>
      <c r="BAR150" s="26"/>
      <c r="BAS150" s="26"/>
      <c r="BAT150" s="26"/>
      <c r="BAU150" s="26"/>
      <c r="BAV150" s="26"/>
      <c r="BAW150" s="26"/>
      <c r="BAX150" s="26"/>
      <c r="BAY150" s="26"/>
      <c r="BAZ150" s="26"/>
      <c r="BBA150" s="26"/>
      <c r="BBB150" s="26"/>
      <c r="BBC150" s="26"/>
      <c r="BBD150" s="26"/>
      <c r="BBE150" s="26"/>
      <c r="BBF150" s="26"/>
      <c r="BBG150" s="26"/>
      <c r="BBH150" s="26"/>
      <c r="BBI150" s="26"/>
      <c r="BBJ150" s="26"/>
      <c r="BBK150" s="26"/>
      <c r="BBL150" s="26"/>
      <c r="BBM150" s="26"/>
      <c r="BBN150" s="26"/>
      <c r="BBO150" s="26"/>
      <c r="BBP150" s="26"/>
      <c r="BBQ150" s="26"/>
      <c r="BBR150" s="26"/>
      <c r="BBS150" s="26"/>
      <c r="BBT150" s="26"/>
      <c r="BBU150" s="26"/>
      <c r="BBV150" s="26"/>
      <c r="BBW150" s="26"/>
      <c r="BBX150" s="26"/>
      <c r="BBY150" s="26"/>
      <c r="BBZ150" s="26"/>
      <c r="BCA150" s="26"/>
      <c r="BCB150" s="26"/>
      <c r="BCC150" s="26"/>
      <c r="BCD150" s="26"/>
      <c r="BCE150" s="26"/>
      <c r="BCF150" s="26"/>
      <c r="BCG150" s="26"/>
      <c r="BCH150" s="26"/>
      <c r="BCI150" s="26"/>
      <c r="BCJ150" s="26"/>
      <c r="BCK150" s="26"/>
      <c r="BCL150" s="26"/>
      <c r="BCM150" s="26"/>
      <c r="BCN150" s="26"/>
      <c r="BCO150" s="26"/>
      <c r="BCP150" s="26"/>
      <c r="BCQ150" s="26"/>
      <c r="BCR150" s="26"/>
      <c r="BCS150" s="26"/>
      <c r="BCT150" s="26"/>
      <c r="BCU150" s="26"/>
      <c r="BCV150" s="26"/>
      <c r="BCW150" s="26"/>
      <c r="BCX150" s="26"/>
      <c r="BCY150" s="26"/>
      <c r="BCZ150" s="26"/>
      <c r="BDA150" s="26"/>
      <c r="BDB150" s="26"/>
      <c r="BDC150" s="26"/>
      <c r="BDD150" s="26"/>
      <c r="BDE150" s="26"/>
      <c r="BDF150" s="26"/>
      <c r="BDG150" s="26"/>
      <c r="BDH150" s="26"/>
      <c r="BDI150" s="26"/>
      <c r="BDJ150" s="26"/>
      <c r="BDK150" s="26"/>
      <c r="BDL150" s="26"/>
      <c r="BDM150" s="26"/>
      <c r="BDN150" s="26"/>
      <c r="BDO150" s="26"/>
      <c r="BDP150" s="26"/>
      <c r="BDQ150" s="26"/>
      <c r="BDR150" s="26"/>
      <c r="BDS150" s="26"/>
      <c r="BDT150" s="26"/>
      <c r="BDU150" s="26"/>
      <c r="BDV150" s="26"/>
      <c r="BDW150" s="26"/>
      <c r="BDX150" s="26"/>
      <c r="BDY150" s="26"/>
      <c r="BDZ150" s="26"/>
      <c r="BEA150" s="26"/>
      <c r="BEB150" s="26"/>
      <c r="BEC150" s="26"/>
      <c r="BED150" s="26"/>
      <c r="BEE150" s="26"/>
      <c r="BEF150" s="26"/>
      <c r="BEG150" s="26"/>
      <c r="BEH150" s="26"/>
      <c r="BEI150" s="26"/>
      <c r="BEJ150" s="26"/>
      <c r="BEK150" s="26"/>
      <c r="BEL150" s="26"/>
      <c r="BEM150" s="26"/>
      <c r="BEN150" s="26"/>
      <c r="BEO150" s="26"/>
      <c r="BEP150" s="26"/>
      <c r="BEQ150" s="26"/>
      <c r="BER150" s="26"/>
      <c r="BES150" s="26"/>
      <c r="BET150" s="26"/>
      <c r="BEU150" s="26"/>
      <c r="BEV150" s="26"/>
      <c r="BEW150" s="26"/>
      <c r="BEX150" s="26"/>
      <c r="BEY150" s="26"/>
      <c r="BEZ150" s="26"/>
      <c r="BFA150" s="26"/>
      <c r="BFB150" s="26"/>
      <c r="BFC150" s="26"/>
      <c r="BFD150" s="26"/>
      <c r="BFE150" s="26"/>
      <c r="BFF150" s="26"/>
      <c r="BFG150" s="26"/>
      <c r="BFH150" s="26"/>
      <c r="BFI150" s="26"/>
      <c r="BFJ150" s="26"/>
      <c r="BFK150" s="26"/>
      <c r="BFL150" s="26"/>
      <c r="BFM150" s="26"/>
      <c r="BFN150" s="26"/>
      <c r="BFO150" s="26"/>
      <c r="BFP150" s="26"/>
      <c r="BFQ150" s="26"/>
      <c r="BFR150" s="26"/>
      <c r="BFS150" s="26"/>
      <c r="BFT150" s="26"/>
      <c r="BFU150" s="26"/>
      <c r="BFV150" s="26"/>
      <c r="BFW150" s="26"/>
      <c r="BFX150" s="26"/>
      <c r="BFY150" s="26"/>
      <c r="BFZ150" s="26"/>
      <c r="BGA150" s="26"/>
      <c r="BGB150" s="26"/>
      <c r="BGC150" s="26"/>
      <c r="BGD150" s="26"/>
      <c r="BGE150" s="26"/>
      <c r="BGF150" s="26"/>
      <c r="BGG150" s="26"/>
      <c r="BGH150" s="26"/>
      <c r="BGI150" s="26"/>
      <c r="BGJ150" s="26"/>
      <c r="BGK150" s="26"/>
      <c r="BGL150" s="26"/>
      <c r="BGM150" s="26"/>
      <c r="BGN150" s="26"/>
      <c r="BGO150" s="26"/>
      <c r="BGP150" s="26"/>
      <c r="BGQ150" s="26"/>
      <c r="BGR150" s="26"/>
      <c r="BGS150" s="26"/>
      <c r="BGT150" s="26"/>
      <c r="BGU150" s="26"/>
      <c r="BGV150" s="26"/>
      <c r="BGW150" s="26"/>
      <c r="BGX150" s="26"/>
      <c r="BGY150" s="26"/>
      <c r="BGZ150" s="26"/>
      <c r="BHA150" s="26"/>
      <c r="BHB150" s="26"/>
      <c r="BHC150" s="26"/>
      <c r="BHD150" s="26"/>
      <c r="BHE150" s="26"/>
      <c r="BHF150" s="26"/>
      <c r="BHG150" s="26"/>
      <c r="BHH150" s="26"/>
      <c r="BHI150" s="26"/>
      <c r="BHJ150" s="26"/>
      <c r="BHK150" s="26"/>
      <c r="BHL150" s="26"/>
      <c r="BHM150" s="26"/>
      <c r="BHN150" s="26"/>
      <c r="BHO150" s="26"/>
      <c r="BHP150" s="26"/>
      <c r="BHQ150" s="26"/>
      <c r="BHR150" s="26"/>
      <c r="BHS150" s="26"/>
      <c r="BHT150" s="26"/>
      <c r="BHU150" s="26"/>
      <c r="BHV150" s="26"/>
      <c r="BHW150" s="26"/>
      <c r="BHX150" s="26"/>
      <c r="BHY150" s="26"/>
      <c r="BHZ150" s="26"/>
      <c r="BIA150" s="26"/>
      <c r="BIB150" s="26"/>
      <c r="BIC150" s="26"/>
      <c r="BID150" s="26"/>
      <c r="BIE150" s="26"/>
      <c r="BIF150" s="26"/>
      <c r="BIG150" s="26"/>
      <c r="BIH150" s="26"/>
      <c r="BII150" s="26"/>
      <c r="BIJ150" s="26"/>
      <c r="BIK150" s="26"/>
      <c r="BIL150" s="26"/>
      <c r="BIM150" s="26"/>
      <c r="BIN150" s="26"/>
      <c r="BIO150" s="26"/>
      <c r="BIP150" s="26"/>
      <c r="BIQ150" s="26"/>
      <c r="BIR150" s="26"/>
      <c r="BIS150" s="26"/>
      <c r="BIT150" s="26"/>
      <c r="BIU150" s="26"/>
      <c r="BIV150" s="26"/>
      <c r="BIW150" s="26"/>
      <c r="BIX150" s="26"/>
      <c r="BIY150" s="26"/>
      <c r="BIZ150" s="26"/>
      <c r="BJA150" s="26"/>
      <c r="BJB150" s="26"/>
      <c r="BJC150" s="26"/>
      <c r="BJD150" s="26"/>
      <c r="BJE150" s="26"/>
      <c r="BJF150" s="26"/>
      <c r="BJG150" s="26"/>
      <c r="BJH150" s="26"/>
      <c r="BJI150" s="26"/>
      <c r="BJJ150" s="26"/>
      <c r="BJK150" s="26"/>
      <c r="BJL150" s="26"/>
      <c r="BJM150" s="26"/>
      <c r="BJN150" s="26"/>
      <c r="BJO150" s="26"/>
      <c r="BJP150" s="26"/>
      <c r="BJQ150" s="26"/>
      <c r="BJR150" s="26"/>
      <c r="BJS150" s="26"/>
      <c r="BJT150" s="26"/>
      <c r="BJU150" s="26"/>
      <c r="BJV150" s="26"/>
      <c r="BJW150" s="26"/>
      <c r="BJX150" s="26"/>
      <c r="BJY150" s="26"/>
      <c r="BJZ150" s="26"/>
      <c r="BKA150" s="26"/>
      <c r="BKB150" s="26"/>
      <c r="BKC150" s="26"/>
      <c r="BKD150" s="26"/>
      <c r="BKE150" s="26"/>
      <c r="BKF150" s="26"/>
      <c r="BKG150" s="26"/>
      <c r="BKH150" s="26"/>
      <c r="BKI150" s="26"/>
      <c r="BKJ150" s="26"/>
      <c r="BKK150" s="26"/>
      <c r="BKL150" s="26"/>
      <c r="BKM150" s="26"/>
      <c r="BKN150" s="26"/>
      <c r="BKO150" s="26"/>
      <c r="BKP150" s="26"/>
      <c r="BKQ150" s="26"/>
      <c r="BKR150" s="26"/>
      <c r="BKS150" s="26"/>
      <c r="BKT150" s="26"/>
      <c r="BKU150" s="26"/>
      <c r="BKV150" s="26"/>
      <c r="BKW150" s="26"/>
      <c r="BKX150" s="26"/>
      <c r="BKY150" s="26"/>
      <c r="BKZ150" s="26"/>
      <c r="BLA150" s="26"/>
      <c r="BLB150" s="26"/>
      <c r="BLC150" s="26"/>
      <c r="BLD150" s="26"/>
      <c r="BLE150" s="26"/>
      <c r="BLF150" s="26"/>
      <c r="BLG150" s="26"/>
      <c r="BLH150" s="26"/>
      <c r="BLI150" s="26"/>
      <c r="BLJ150" s="26"/>
      <c r="BLK150" s="26"/>
      <c r="BLL150" s="26"/>
      <c r="BLM150" s="26"/>
      <c r="BLN150" s="26"/>
      <c r="BLO150" s="26"/>
      <c r="BLP150" s="26"/>
      <c r="BLQ150" s="26"/>
      <c r="BLR150" s="26"/>
      <c r="BLS150" s="26"/>
      <c r="BLT150" s="26"/>
      <c r="BLU150" s="26"/>
      <c r="BLV150" s="26"/>
      <c r="BLW150" s="26"/>
      <c r="BLX150" s="26"/>
      <c r="BLY150" s="26"/>
      <c r="BLZ150" s="26"/>
      <c r="BMA150" s="26"/>
      <c r="BMB150" s="26"/>
      <c r="BMC150" s="26"/>
      <c r="BMD150" s="26"/>
      <c r="BME150" s="26"/>
      <c r="BMF150" s="26"/>
      <c r="BMG150" s="26"/>
      <c r="BMH150" s="26"/>
      <c r="BMI150" s="26"/>
      <c r="BMJ150" s="26"/>
      <c r="BMK150" s="26"/>
      <c r="BML150" s="26"/>
      <c r="BMM150" s="26"/>
      <c r="BMN150" s="26"/>
      <c r="BMO150" s="26"/>
      <c r="BMP150" s="26"/>
      <c r="BMQ150" s="26"/>
      <c r="BMR150" s="26"/>
      <c r="BMS150" s="26"/>
      <c r="BMT150" s="26"/>
      <c r="BMU150" s="26"/>
      <c r="BMV150" s="26"/>
      <c r="BMW150" s="26"/>
      <c r="BMX150" s="26"/>
      <c r="BMY150" s="26"/>
      <c r="BMZ150" s="26"/>
      <c r="BNA150" s="26"/>
      <c r="BNB150" s="26"/>
      <c r="BNC150" s="26"/>
      <c r="BND150" s="26"/>
      <c r="BNE150" s="26"/>
      <c r="BNF150" s="26"/>
      <c r="BNG150" s="26"/>
      <c r="BNH150" s="26"/>
      <c r="BNI150" s="26"/>
      <c r="BNJ150" s="26"/>
      <c r="BNK150" s="26"/>
      <c r="BNL150" s="26"/>
      <c r="BNM150" s="26"/>
      <c r="BNN150" s="26"/>
      <c r="BNO150" s="26"/>
      <c r="BNP150" s="26"/>
      <c r="BNQ150" s="26"/>
      <c r="BNR150" s="26"/>
      <c r="BNS150" s="26"/>
      <c r="BNT150" s="26"/>
      <c r="BNU150" s="26"/>
      <c r="BNV150" s="26"/>
      <c r="BNW150" s="26"/>
      <c r="BNX150" s="26"/>
      <c r="BNY150" s="26"/>
      <c r="BNZ150" s="26"/>
      <c r="BOA150" s="26"/>
      <c r="BOB150" s="26"/>
      <c r="BOC150" s="26"/>
      <c r="BOD150" s="26"/>
      <c r="BOE150" s="26"/>
      <c r="BOF150" s="26"/>
      <c r="BOG150" s="26"/>
      <c r="BOH150" s="26"/>
      <c r="BOI150" s="26"/>
      <c r="BOJ150" s="26"/>
      <c r="BOK150" s="26"/>
      <c r="BOL150" s="26"/>
      <c r="BOM150" s="26"/>
      <c r="BON150" s="26"/>
      <c r="BOO150" s="26"/>
      <c r="BOP150" s="26"/>
      <c r="BOQ150" s="26"/>
      <c r="BOR150" s="26"/>
      <c r="BOS150" s="26"/>
      <c r="BOT150" s="26"/>
      <c r="BOU150" s="26"/>
      <c r="BOV150" s="26"/>
      <c r="BOW150" s="26"/>
      <c r="BOX150" s="26"/>
      <c r="BOY150" s="26"/>
      <c r="BOZ150" s="26"/>
      <c r="BPA150" s="26"/>
      <c r="BPB150" s="26"/>
      <c r="BPC150" s="26"/>
      <c r="BPD150" s="26"/>
      <c r="BPE150" s="26"/>
      <c r="BPF150" s="26"/>
      <c r="BPG150" s="26"/>
      <c r="BPH150" s="26"/>
      <c r="BPI150" s="26"/>
      <c r="BPJ150" s="26"/>
      <c r="BPK150" s="26"/>
      <c r="BPL150" s="26"/>
      <c r="BPM150" s="26"/>
      <c r="BPN150" s="26"/>
      <c r="BPO150" s="26"/>
      <c r="BPP150" s="26"/>
      <c r="BPQ150" s="26"/>
      <c r="BPR150" s="26"/>
      <c r="BPS150" s="26"/>
      <c r="BPT150" s="26"/>
      <c r="BPU150" s="26"/>
      <c r="BPV150" s="26"/>
      <c r="BPW150" s="26"/>
      <c r="BPX150" s="26"/>
      <c r="BPY150" s="26"/>
      <c r="BPZ150" s="26"/>
      <c r="BQA150" s="26"/>
      <c r="BQB150" s="26"/>
      <c r="BQC150" s="26"/>
      <c r="BQD150" s="26"/>
      <c r="BQE150" s="26"/>
      <c r="BQF150" s="26"/>
      <c r="BQG150" s="26"/>
      <c r="BQH150" s="26"/>
      <c r="BQI150" s="26"/>
      <c r="BQJ150" s="26"/>
      <c r="BQK150" s="26"/>
      <c r="BQL150" s="26"/>
      <c r="BQM150" s="26"/>
      <c r="BQN150" s="26"/>
      <c r="BQO150" s="26"/>
      <c r="BQP150" s="26"/>
      <c r="BQQ150" s="26"/>
      <c r="BQR150" s="26"/>
      <c r="BQS150" s="26"/>
      <c r="BQT150" s="26"/>
      <c r="BQU150" s="26"/>
      <c r="BQV150" s="26"/>
      <c r="BQW150" s="26"/>
      <c r="BQX150" s="26"/>
      <c r="BQY150" s="26"/>
      <c r="BQZ150" s="26"/>
      <c r="BRA150" s="26"/>
      <c r="BRB150" s="26"/>
      <c r="BRC150" s="26"/>
      <c r="BRD150" s="26"/>
      <c r="BRE150" s="26"/>
      <c r="BRF150" s="26"/>
      <c r="BRG150" s="26"/>
      <c r="BRH150" s="26"/>
      <c r="BRI150" s="26"/>
      <c r="BRJ150" s="26"/>
      <c r="BRK150" s="26"/>
      <c r="BRL150" s="26"/>
      <c r="BRM150" s="26"/>
      <c r="BRN150" s="26"/>
      <c r="BRO150" s="26"/>
      <c r="BRP150" s="26"/>
      <c r="BRQ150" s="26"/>
      <c r="BRR150" s="26"/>
      <c r="BRS150" s="26"/>
      <c r="BRT150" s="26"/>
      <c r="BRU150" s="26"/>
      <c r="BRV150" s="26"/>
      <c r="BRW150" s="26"/>
      <c r="BRX150" s="26"/>
      <c r="BRY150" s="26"/>
      <c r="BRZ150" s="26"/>
      <c r="BSA150" s="26"/>
      <c r="BSB150" s="26"/>
      <c r="BSC150" s="26"/>
      <c r="BSD150" s="26"/>
      <c r="BSE150" s="26"/>
      <c r="BSF150" s="26"/>
      <c r="BSG150" s="26"/>
      <c r="BSH150" s="26"/>
      <c r="BSI150" s="26"/>
      <c r="BSJ150" s="26"/>
      <c r="BSK150" s="26"/>
      <c r="BSL150" s="26"/>
      <c r="BSM150" s="26"/>
      <c r="BSN150" s="26"/>
      <c r="BSO150" s="26"/>
      <c r="BSP150" s="26"/>
      <c r="BSQ150" s="26"/>
      <c r="BSR150" s="26"/>
      <c r="BSS150" s="26"/>
      <c r="BST150" s="26"/>
      <c r="BSU150" s="26"/>
      <c r="BSV150" s="26"/>
      <c r="BSW150" s="26"/>
      <c r="BSX150" s="26"/>
      <c r="BSY150" s="26"/>
      <c r="BSZ150" s="26"/>
      <c r="BTA150" s="26"/>
      <c r="BTB150" s="26"/>
      <c r="BTC150" s="26"/>
      <c r="BTD150" s="26"/>
      <c r="BTE150" s="26"/>
      <c r="BTF150" s="26"/>
      <c r="BTG150" s="26"/>
      <c r="BTH150" s="26"/>
      <c r="BTI150" s="26"/>
      <c r="BTJ150" s="26"/>
      <c r="BTK150" s="26"/>
      <c r="BTL150" s="26"/>
      <c r="BTM150" s="26"/>
      <c r="BTN150" s="26"/>
      <c r="BTO150" s="26"/>
      <c r="BTP150" s="26"/>
      <c r="BTQ150" s="26"/>
      <c r="BTR150" s="26"/>
      <c r="BTS150" s="26"/>
      <c r="BTT150" s="26"/>
      <c r="BTU150" s="26"/>
      <c r="BTV150" s="26"/>
      <c r="BTW150" s="26"/>
      <c r="BTX150" s="26"/>
      <c r="BTY150" s="26"/>
      <c r="BTZ150" s="26"/>
      <c r="BUA150" s="26"/>
      <c r="BUB150" s="26"/>
      <c r="BUC150" s="26"/>
      <c r="BUD150" s="26"/>
      <c r="BUE150" s="26"/>
      <c r="BUF150" s="26"/>
      <c r="BUG150" s="26"/>
      <c r="BUH150" s="26"/>
      <c r="BUI150" s="26"/>
      <c r="BUJ150" s="26"/>
      <c r="BUK150" s="26"/>
      <c r="BUL150" s="26"/>
      <c r="BUM150" s="26"/>
      <c r="BUN150" s="26"/>
      <c r="BUO150" s="26"/>
      <c r="BUP150" s="26"/>
      <c r="BUQ150" s="26"/>
      <c r="BUR150" s="26"/>
      <c r="BUS150" s="26"/>
      <c r="BUT150" s="26"/>
      <c r="BUU150" s="26"/>
      <c r="BUV150" s="26"/>
      <c r="BUW150" s="26"/>
      <c r="BUX150" s="26"/>
      <c r="BUY150" s="26"/>
      <c r="BUZ150" s="26"/>
      <c r="BVA150" s="26"/>
      <c r="BVB150" s="26"/>
      <c r="BVC150" s="26"/>
      <c r="BVD150" s="26"/>
      <c r="BVE150" s="26"/>
      <c r="BVF150" s="26"/>
      <c r="BVG150" s="26"/>
      <c r="BVH150" s="26"/>
      <c r="BVI150" s="26"/>
      <c r="BVJ150" s="26"/>
      <c r="BVK150" s="26"/>
      <c r="BVL150" s="26"/>
      <c r="BVM150" s="26"/>
      <c r="BVN150" s="26"/>
      <c r="BVO150" s="26"/>
      <c r="BVP150" s="26"/>
      <c r="BVQ150" s="26"/>
      <c r="BVR150" s="26"/>
      <c r="BVS150" s="26"/>
      <c r="BVT150" s="26"/>
      <c r="BVU150" s="26"/>
      <c r="BVV150" s="26"/>
      <c r="BVW150" s="26"/>
      <c r="BVX150" s="26"/>
      <c r="BVY150" s="26"/>
      <c r="BVZ150" s="26"/>
      <c r="BWA150" s="26"/>
      <c r="BWB150" s="26"/>
      <c r="BWC150" s="26"/>
      <c r="BWD150" s="26"/>
      <c r="BWE150" s="26"/>
      <c r="BWF150" s="26"/>
      <c r="BWG150" s="26"/>
      <c r="BWH150" s="26"/>
      <c r="BWI150" s="26"/>
      <c r="BWJ150" s="26"/>
      <c r="BWK150" s="26"/>
      <c r="BWL150" s="26"/>
      <c r="BWM150" s="26"/>
      <c r="BWN150" s="26"/>
      <c r="BWO150" s="26"/>
      <c r="BWP150" s="26"/>
      <c r="BWQ150" s="26"/>
      <c r="BWR150" s="26"/>
      <c r="BWS150" s="26"/>
      <c r="BWT150" s="26"/>
      <c r="BWU150" s="26"/>
      <c r="BWV150" s="26"/>
      <c r="BWW150" s="26"/>
      <c r="BWX150" s="26"/>
      <c r="BWY150" s="26"/>
      <c r="BWZ150" s="26"/>
      <c r="BXA150" s="26"/>
      <c r="BXB150" s="26"/>
      <c r="BXC150" s="26"/>
      <c r="BXD150" s="26"/>
      <c r="BXE150" s="26"/>
      <c r="BXF150" s="26"/>
      <c r="BXG150" s="26"/>
      <c r="BXH150" s="26"/>
      <c r="BXI150" s="26"/>
      <c r="BXJ150" s="26"/>
      <c r="BXK150" s="26"/>
      <c r="BXL150" s="26"/>
      <c r="BXM150" s="26"/>
      <c r="BXN150" s="26"/>
      <c r="BXO150" s="26"/>
      <c r="BXP150" s="26"/>
      <c r="BXQ150" s="26"/>
      <c r="BXR150" s="26"/>
      <c r="BXS150" s="26"/>
      <c r="BXT150" s="26"/>
      <c r="BXU150" s="26"/>
      <c r="BXV150" s="26"/>
      <c r="BXW150" s="26"/>
      <c r="BXX150" s="26"/>
      <c r="BXY150" s="26"/>
      <c r="BXZ150" s="26"/>
      <c r="BYA150" s="26"/>
      <c r="BYB150" s="26"/>
      <c r="BYC150" s="26"/>
      <c r="BYD150" s="26"/>
      <c r="BYE150" s="26"/>
      <c r="BYF150" s="26"/>
      <c r="BYG150" s="26"/>
      <c r="BYH150" s="26"/>
      <c r="BYI150" s="26"/>
      <c r="BYJ150" s="26"/>
      <c r="BYK150" s="26"/>
      <c r="BYL150" s="26"/>
      <c r="BYM150" s="26"/>
      <c r="BYN150" s="26"/>
      <c r="BYO150" s="26"/>
      <c r="BYP150" s="26"/>
      <c r="BYQ150" s="26"/>
      <c r="BYR150" s="26"/>
      <c r="BYS150" s="26"/>
      <c r="BYT150" s="26"/>
      <c r="BYU150" s="26"/>
      <c r="BYV150" s="26"/>
      <c r="BYW150" s="26"/>
      <c r="BYX150" s="26"/>
      <c r="BYY150" s="26"/>
      <c r="BYZ150" s="26"/>
      <c r="BZA150" s="26"/>
      <c r="BZB150" s="26"/>
      <c r="BZC150" s="26"/>
      <c r="BZD150" s="26"/>
      <c r="BZE150" s="26"/>
      <c r="BZF150" s="26"/>
      <c r="BZG150" s="26"/>
      <c r="BZH150" s="26"/>
      <c r="BZI150" s="26"/>
      <c r="BZJ150" s="26"/>
      <c r="BZK150" s="26"/>
      <c r="BZL150" s="26"/>
      <c r="BZM150" s="26"/>
      <c r="BZN150" s="26"/>
      <c r="BZO150" s="26"/>
      <c r="BZP150" s="26"/>
      <c r="BZQ150" s="26"/>
      <c r="BZR150" s="26"/>
      <c r="BZS150" s="26"/>
      <c r="BZT150" s="26"/>
      <c r="BZU150" s="26"/>
      <c r="BZV150" s="26"/>
      <c r="BZW150" s="26"/>
      <c r="BZX150" s="26"/>
      <c r="BZY150" s="26"/>
      <c r="BZZ150" s="26"/>
      <c r="CAA150" s="26"/>
      <c r="CAB150" s="26"/>
      <c r="CAC150" s="26"/>
      <c r="CAD150" s="26"/>
      <c r="CAE150" s="26"/>
      <c r="CAF150" s="26"/>
      <c r="CAG150" s="26"/>
      <c r="CAH150" s="26"/>
      <c r="CAI150" s="26"/>
      <c r="CAJ150" s="26"/>
      <c r="CAK150" s="26"/>
      <c r="CAL150" s="26"/>
      <c r="CAM150" s="26"/>
      <c r="CAN150" s="26"/>
      <c r="CAO150" s="26"/>
      <c r="CAP150" s="26"/>
      <c r="CAQ150" s="26"/>
      <c r="CAR150" s="26"/>
      <c r="CAS150" s="26"/>
      <c r="CAT150" s="26"/>
      <c r="CAU150" s="26"/>
      <c r="CAV150" s="26"/>
      <c r="CAW150" s="26"/>
      <c r="CAX150" s="26"/>
      <c r="CAY150" s="26"/>
      <c r="CAZ150" s="26"/>
      <c r="CBA150" s="26"/>
      <c r="CBB150" s="26"/>
      <c r="CBC150" s="26"/>
      <c r="CBD150" s="26"/>
      <c r="CBE150" s="26"/>
      <c r="CBF150" s="26"/>
      <c r="CBG150" s="26"/>
      <c r="CBH150" s="26"/>
      <c r="CBI150" s="26"/>
    </row>
    <row r="151" spans="1:2089" ht="14" customHeight="1">
      <c r="A151" s="27">
        <v>150</v>
      </c>
      <c r="B151" s="27" t="s">
        <v>354</v>
      </c>
      <c r="C151" s="26">
        <v>1995</v>
      </c>
      <c r="D151" s="26" t="s">
        <v>12</v>
      </c>
      <c r="E151" s="26" t="s">
        <v>566</v>
      </c>
      <c r="F151" s="77" t="s">
        <v>175</v>
      </c>
      <c r="G151" s="2" t="s">
        <v>106</v>
      </c>
      <c r="H151" s="2" t="s">
        <v>275</v>
      </c>
      <c r="I151" s="2" t="s">
        <v>175</v>
      </c>
      <c r="J151" s="2" t="s">
        <v>604</v>
      </c>
      <c r="K151" s="2" t="s">
        <v>548</v>
      </c>
      <c r="L151" s="2" t="s">
        <v>548</v>
      </c>
      <c r="M151" s="2" t="s">
        <v>175</v>
      </c>
      <c r="N151" s="2" t="s">
        <v>609</v>
      </c>
      <c r="O151" s="2" t="s">
        <v>60</v>
      </c>
      <c r="P151" s="2" t="s">
        <v>609</v>
      </c>
      <c r="Q151" s="2" t="s">
        <v>42</v>
      </c>
      <c r="R151" s="79" t="s">
        <v>613</v>
      </c>
      <c r="S151" s="88" t="s">
        <v>70</v>
      </c>
      <c r="T151" s="61">
        <f>56+79</f>
        <v>135</v>
      </c>
      <c r="U151" s="77">
        <v>1</v>
      </c>
      <c r="V151" s="26">
        <v>0</v>
      </c>
      <c r="W151" s="26">
        <v>1</v>
      </c>
      <c r="X151" s="26">
        <v>1</v>
      </c>
      <c r="Y151" s="26">
        <v>0</v>
      </c>
      <c r="Z151" s="26">
        <v>0</v>
      </c>
      <c r="AA151" s="26">
        <v>0</v>
      </c>
      <c r="AB151" s="26">
        <v>0</v>
      </c>
      <c r="AC151" s="33" t="s">
        <v>70</v>
      </c>
      <c r="AD151" s="33" t="s">
        <v>70</v>
      </c>
      <c r="AE151" s="33" t="s">
        <v>70</v>
      </c>
      <c r="AF151" s="33" t="s">
        <v>70</v>
      </c>
      <c r="AG151" s="33" t="s">
        <v>70</v>
      </c>
      <c r="AH151" s="33">
        <f>(56*288+79*215)/SUM(56+79)</f>
        <v>245.28148148148148</v>
      </c>
      <c r="AI151" s="33" t="s">
        <v>70</v>
      </c>
      <c r="AJ151" s="33" t="s">
        <v>70</v>
      </c>
      <c r="AK151" s="33" t="s">
        <v>70</v>
      </c>
      <c r="AL151" s="33" t="s">
        <v>70</v>
      </c>
      <c r="AM151" s="61" t="s">
        <v>175</v>
      </c>
      <c r="AN151" s="32" t="s">
        <v>9</v>
      </c>
      <c r="AO151" s="35" t="s">
        <v>548</v>
      </c>
      <c r="AP151" s="35" t="s">
        <v>175</v>
      </c>
      <c r="AQ151" s="35" t="s">
        <v>548</v>
      </c>
      <c r="AR151" s="35" t="s">
        <v>548</v>
      </c>
      <c r="AS151" s="26" t="s">
        <v>175</v>
      </c>
      <c r="AT151" s="26" t="s">
        <v>548</v>
      </c>
      <c r="AU151" s="40" t="s">
        <v>548</v>
      </c>
      <c r="AV151" s="26">
        <v>7</v>
      </c>
    </row>
    <row r="152" spans="1:2089" ht="14" customHeight="1">
      <c r="A152" s="27">
        <v>151</v>
      </c>
      <c r="B152" s="27" t="s">
        <v>355</v>
      </c>
      <c r="C152" s="27">
        <v>2013</v>
      </c>
      <c r="D152" s="26" t="s">
        <v>111</v>
      </c>
      <c r="E152" s="26" t="s">
        <v>563</v>
      </c>
      <c r="F152" s="77" t="s">
        <v>175</v>
      </c>
      <c r="G152" s="2" t="s">
        <v>105</v>
      </c>
      <c r="H152" s="2" t="s">
        <v>24</v>
      </c>
      <c r="I152" s="2" t="s">
        <v>548</v>
      </c>
      <c r="J152" s="2" t="s">
        <v>604</v>
      </c>
      <c r="K152" s="2" t="s">
        <v>548</v>
      </c>
      <c r="L152" s="2" t="s">
        <v>548</v>
      </c>
      <c r="M152" s="2" t="s">
        <v>548</v>
      </c>
      <c r="N152" s="2" t="s">
        <v>210</v>
      </c>
      <c r="O152" s="2" t="s">
        <v>43</v>
      </c>
      <c r="P152" s="2" t="s">
        <v>210</v>
      </c>
      <c r="Q152" s="2" t="s">
        <v>42</v>
      </c>
      <c r="R152" s="79" t="s">
        <v>613</v>
      </c>
      <c r="S152" s="88">
        <f>12/T152</f>
        <v>0.42857142857142855</v>
      </c>
      <c r="T152" s="61">
        <v>28</v>
      </c>
      <c r="U152" s="77">
        <v>1</v>
      </c>
      <c r="V152" s="26">
        <v>1</v>
      </c>
      <c r="W152" s="26">
        <v>1</v>
      </c>
      <c r="X152" s="26">
        <v>1</v>
      </c>
      <c r="Y152" s="26">
        <v>1</v>
      </c>
      <c r="Z152" s="26">
        <v>1</v>
      </c>
      <c r="AA152" s="26">
        <v>0</v>
      </c>
      <c r="AB152" s="26">
        <v>0</v>
      </c>
      <c r="AC152" s="33">
        <f>1-S152</f>
        <v>0.5714285714285714</v>
      </c>
      <c r="AD152" s="26">
        <f>4/28</f>
        <v>0.14285714285714285</v>
      </c>
      <c r="AE152" s="26">
        <f>7/28</f>
        <v>0.25</v>
      </c>
      <c r="AF152" s="26">
        <f>1/28</f>
        <v>3.5714285714285712E-2</v>
      </c>
      <c r="AG152" s="26">
        <v>14.4</v>
      </c>
      <c r="AH152" s="33" t="s">
        <v>70</v>
      </c>
      <c r="AI152" s="33" t="s">
        <v>70</v>
      </c>
      <c r="AJ152" s="26" t="s">
        <v>70</v>
      </c>
      <c r="AK152" s="33" t="s">
        <v>70</v>
      </c>
      <c r="AL152" s="33" t="s">
        <v>70</v>
      </c>
      <c r="AM152" s="61" t="s">
        <v>175</v>
      </c>
      <c r="AN152" s="26" t="s">
        <v>617</v>
      </c>
      <c r="AO152" s="35" t="s">
        <v>548</v>
      </c>
      <c r="AP152" s="35" t="s">
        <v>548</v>
      </c>
      <c r="AQ152" s="35" t="s">
        <v>548</v>
      </c>
      <c r="AR152" s="35" t="s">
        <v>548</v>
      </c>
      <c r="AS152" s="26" t="s">
        <v>175</v>
      </c>
      <c r="AT152" s="26" t="s">
        <v>70</v>
      </c>
      <c r="AU152" s="26" t="s">
        <v>70</v>
      </c>
      <c r="AV152" s="26">
        <v>8</v>
      </c>
    </row>
    <row r="153" spans="1:2089" ht="14" customHeight="1">
      <c r="A153" s="27">
        <v>152</v>
      </c>
      <c r="B153" s="27" t="s">
        <v>356</v>
      </c>
      <c r="C153" s="27">
        <v>2004</v>
      </c>
      <c r="D153" s="26" t="s">
        <v>69</v>
      </c>
      <c r="E153" s="26" t="s">
        <v>565</v>
      </c>
      <c r="F153" s="77" t="s">
        <v>175</v>
      </c>
      <c r="G153" s="2" t="s">
        <v>106</v>
      </c>
      <c r="H153" s="2" t="s">
        <v>30</v>
      </c>
      <c r="I153" s="2" t="s">
        <v>548</v>
      </c>
      <c r="J153" s="2" t="s">
        <v>604</v>
      </c>
      <c r="K153" s="2" t="s">
        <v>548</v>
      </c>
      <c r="L153" s="2" t="s">
        <v>548</v>
      </c>
      <c r="M153" s="2" t="s">
        <v>175</v>
      </c>
      <c r="N153" s="2" t="s">
        <v>62</v>
      </c>
      <c r="O153" s="2" t="s">
        <v>43</v>
      </c>
      <c r="P153" s="2" t="s">
        <v>62</v>
      </c>
      <c r="Q153" s="26" t="s">
        <v>606</v>
      </c>
      <c r="R153" s="102" t="s">
        <v>614</v>
      </c>
      <c r="S153" s="2">
        <f>4/T153</f>
        <v>0.16</v>
      </c>
      <c r="T153" s="26">
        <v>25</v>
      </c>
      <c r="U153" s="77">
        <v>1</v>
      </c>
      <c r="V153" s="26">
        <v>1</v>
      </c>
      <c r="W153" s="26">
        <v>1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 t="s">
        <v>70</v>
      </c>
      <c r="AD153" s="26" t="s">
        <v>70</v>
      </c>
      <c r="AE153" s="26" t="s">
        <v>70</v>
      </c>
      <c r="AF153" s="26" t="s">
        <v>70</v>
      </c>
      <c r="AG153" s="26" t="s">
        <v>70</v>
      </c>
      <c r="AH153" s="26" t="s">
        <v>70</v>
      </c>
      <c r="AI153" s="26" t="s">
        <v>70</v>
      </c>
      <c r="AJ153" s="26" t="s">
        <v>70</v>
      </c>
      <c r="AK153" s="26" t="s">
        <v>70</v>
      </c>
      <c r="AL153" s="26" t="s">
        <v>70</v>
      </c>
      <c r="AM153" s="35" t="s">
        <v>548</v>
      </c>
      <c r="AN153" s="26" t="s">
        <v>274</v>
      </c>
      <c r="AO153" s="35" t="s">
        <v>548</v>
      </c>
      <c r="AP153" s="35" t="s">
        <v>548</v>
      </c>
      <c r="AQ153" s="35" t="s">
        <v>548</v>
      </c>
      <c r="AR153" s="35" t="s">
        <v>175</v>
      </c>
      <c r="AS153" s="26" t="s">
        <v>175</v>
      </c>
      <c r="AT153" s="26" t="s">
        <v>70</v>
      </c>
      <c r="AU153" s="26" t="s">
        <v>70</v>
      </c>
      <c r="AV153" s="26">
        <v>5</v>
      </c>
    </row>
    <row r="154" spans="1:2089" s="40" customFormat="1" ht="14" customHeight="1">
      <c r="A154" s="27">
        <v>153</v>
      </c>
      <c r="B154" s="27" t="s">
        <v>545</v>
      </c>
      <c r="C154" s="27">
        <v>1991</v>
      </c>
      <c r="D154" s="26" t="s">
        <v>222</v>
      </c>
      <c r="E154" s="26" t="s">
        <v>563</v>
      </c>
      <c r="F154" s="77" t="s">
        <v>175</v>
      </c>
      <c r="G154" s="2" t="s">
        <v>105</v>
      </c>
      <c r="H154" s="2" t="s">
        <v>24</v>
      </c>
      <c r="I154" s="2" t="s">
        <v>548</v>
      </c>
      <c r="J154" s="2" t="s">
        <v>604</v>
      </c>
      <c r="K154" s="2" t="s">
        <v>548</v>
      </c>
      <c r="L154" s="2" t="s">
        <v>548</v>
      </c>
      <c r="M154" s="2" t="s">
        <v>175</v>
      </c>
      <c r="N154" s="2" t="s">
        <v>210</v>
      </c>
      <c r="O154" s="2" t="s">
        <v>43</v>
      </c>
      <c r="P154" s="2" t="s">
        <v>210</v>
      </c>
      <c r="Q154" s="2" t="s">
        <v>42</v>
      </c>
      <c r="R154" s="79" t="s">
        <v>613</v>
      </c>
      <c r="S154" s="88">
        <f>1-0.923</f>
        <v>7.6999999999999957E-2</v>
      </c>
      <c r="T154" s="61">
        <v>688</v>
      </c>
      <c r="U154" s="77">
        <v>1</v>
      </c>
      <c r="V154" s="26">
        <v>1</v>
      </c>
      <c r="W154" s="26">
        <v>1</v>
      </c>
      <c r="X154" s="26">
        <v>0</v>
      </c>
      <c r="Y154" s="26">
        <v>1</v>
      </c>
      <c r="Z154" s="26">
        <v>0</v>
      </c>
      <c r="AA154" s="26">
        <v>0</v>
      </c>
      <c r="AB154" s="26">
        <v>1</v>
      </c>
      <c r="AC154" s="26" t="s">
        <v>70</v>
      </c>
      <c r="AD154" s="26" t="s">
        <v>70</v>
      </c>
      <c r="AE154" s="26" t="s">
        <v>70</v>
      </c>
      <c r="AF154" s="26" t="s">
        <v>70</v>
      </c>
      <c r="AG154" s="33">
        <v>4.2</v>
      </c>
      <c r="AH154" s="26" t="s">
        <v>70</v>
      </c>
      <c r="AI154" s="26" t="s">
        <v>70</v>
      </c>
      <c r="AJ154" s="26" t="s">
        <v>70</v>
      </c>
      <c r="AK154" s="26" t="s">
        <v>70</v>
      </c>
      <c r="AL154" s="26" t="s">
        <v>70</v>
      </c>
      <c r="AM154" s="61" t="s">
        <v>548</v>
      </c>
      <c r="AN154" s="26" t="s">
        <v>274</v>
      </c>
      <c r="AO154" s="35" t="s">
        <v>548</v>
      </c>
      <c r="AP154" s="35" t="s">
        <v>548</v>
      </c>
      <c r="AQ154" s="35" t="s">
        <v>548</v>
      </c>
      <c r="AR154" s="35" t="s">
        <v>548</v>
      </c>
      <c r="AS154" s="26" t="s">
        <v>175</v>
      </c>
      <c r="AT154" s="26" t="s">
        <v>70</v>
      </c>
      <c r="AU154" s="26" t="s">
        <v>70</v>
      </c>
      <c r="AV154" s="26">
        <v>7</v>
      </c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</row>
    <row r="155" spans="1:2089" ht="14" customHeight="1">
      <c r="A155" s="27">
        <v>154</v>
      </c>
      <c r="B155" s="27" t="s">
        <v>545</v>
      </c>
      <c r="C155" s="27">
        <v>1991</v>
      </c>
      <c r="D155" s="26" t="s">
        <v>222</v>
      </c>
      <c r="E155" s="26" t="s">
        <v>563</v>
      </c>
      <c r="F155" s="77" t="s">
        <v>175</v>
      </c>
      <c r="G155" s="2" t="s">
        <v>105</v>
      </c>
      <c r="H155" s="2" t="s">
        <v>24</v>
      </c>
      <c r="I155" s="2" t="s">
        <v>548</v>
      </c>
      <c r="J155" s="2" t="s">
        <v>604</v>
      </c>
      <c r="K155" s="2" t="s">
        <v>548</v>
      </c>
      <c r="L155" s="2" t="s">
        <v>548</v>
      </c>
      <c r="M155" s="2" t="s">
        <v>175</v>
      </c>
      <c r="N155" s="2" t="s">
        <v>51</v>
      </c>
      <c r="O155" s="2" t="s">
        <v>43</v>
      </c>
      <c r="P155" s="2" t="s">
        <v>51</v>
      </c>
      <c r="Q155" s="2" t="s">
        <v>42</v>
      </c>
      <c r="R155" s="79" t="s">
        <v>613</v>
      </c>
      <c r="S155" s="88">
        <v>0.13500000000000001</v>
      </c>
      <c r="T155" s="61">
        <v>250</v>
      </c>
      <c r="U155" s="77">
        <v>1</v>
      </c>
      <c r="V155" s="26">
        <v>1</v>
      </c>
      <c r="W155" s="26">
        <v>1</v>
      </c>
      <c r="X155" s="26">
        <v>0</v>
      </c>
      <c r="Y155" s="26">
        <v>1</v>
      </c>
      <c r="Z155" s="26">
        <v>0</v>
      </c>
      <c r="AA155" s="26">
        <v>0</v>
      </c>
      <c r="AB155" s="26">
        <v>1</v>
      </c>
      <c r="AC155" s="26" t="s">
        <v>70</v>
      </c>
      <c r="AD155" s="26" t="s">
        <v>70</v>
      </c>
      <c r="AE155" s="26" t="s">
        <v>70</v>
      </c>
      <c r="AF155" s="26" t="s">
        <v>70</v>
      </c>
      <c r="AG155" s="33">
        <v>9.1999999999999993</v>
      </c>
      <c r="AH155" s="26" t="s">
        <v>70</v>
      </c>
      <c r="AI155" s="26" t="s">
        <v>70</v>
      </c>
      <c r="AJ155" s="26" t="s">
        <v>70</v>
      </c>
      <c r="AK155" s="26" t="s">
        <v>70</v>
      </c>
      <c r="AL155" s="26" t="s">
        <v>70</v>
      </c>
      <c r="AM155" s="61" t="s">
        <v>548</v>
      </c>
      <c r="AN155" s="26" t="s">
        <v>274</v>
      </c>
      <c r="AO155" s="35" t="s">
        <v>548</v>
      </c>
      <c r="AP155" s="35" t="s">
        <v>548</v>
      </c>
      <c r="AQ155" s="35" t="s">
        <v>548</v>
      </c>
      <c r="AR155" s="35" t="s">
        <v>548</v>
      </c>
      <c r="AS155" s="26" t="s">
        <v>175</v>
      </c>
      <c r="AT155" s="26" t="s">
        <v>70</v>
      </c>
      <c r="AU155" s="26" t="s">
        <v>70</v>
      </c>
      <c r="AV155" s="40">
        <v>7</v>
      </c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</row>
    <row r="156" spans="1:2089" ht="14" customHeight="1">
      <c r="A156" s="27">
        <v>155</v>
      </c>
      <c r="B156" s="27" t="s">
        <v>545</v>
      </c>
      <c r="C156" s="27">
        <v>1991</v>
      </c>
      <c r="D156" s="26" t="s">
        <v>222</v>
      </c>
      <c r="E156" s="26" t="s">
        <v>563</v>
      </c>
      <c r="F156" s="77" t="s">
        <v>175</v>
      </c>
      <c r="G156" s="2" t="s">
        <v>105</v>
      </c>
      <c r="H156" s="2" t="s">
        <v>24</v>
      </c>
      <c r="I156" s="2" t="s">
        <v>548</v>
      </c>
      <c r="J156" s="2" t="s">
        <v>604</v>
      </c>
      <c r="K156" s="2" t="s">
        <v>548</v>
      </c>
      <c r="L156" s="2" t="s">
        <v>548</v>
      </c>
      <c r="M156" s="2" t="s">
        <v>175</v>
      </c>
      <c r="N156" s="2" t="s">
        <v>609</v>
      </c>
      <c r="O156" s="2" t="s">
        <v>60</v>
      </c>
      <c r="P156" s="2" t="s">
        <v>609</v>
      </c>
      <c r="Q156" s="2" t="s">
        <v>42</v>
      </c>
      <c r="R156" s="79" t="s">
        <v>613</v>
      </c>
      <c r="S156" s="88">
        <v>0.66</v>
      </c>
      <c r="T156" s="61">
        <v>44</v>
      </c>
      <c r="U156" s="77">
        <v>1</v>
      </c>
      <c r="V156" s="26">
        <v>1</v>
      </c>
      <c r="W156" s="26">
        <v>1</v>
      </c>
      <c r="X156" s="26">
        <v>0</v>
      </c>
      <c r="Y156" s="26">
        <v>1</v>
      </c>
      <c r="Z156" s="26">
        <v>0</v>
      </c>
      <c r="AA156" s="26">
        <v>0</v>
      </c>
      <c r="AB156" s="26">
        <v>1</v>
      </c>
      <c r="AC156" s="26" t="s">
        <v>70</v>
      </c>
      <c r="AD156" s="26" t="s">
        <v>70</v>
      </c>
      <c r="AE156" s="26" t="s">
        <v>70</v>
      </c>
      <c r="AF156" s="26" t="s">
        <v>70</v>
      </c>
      <c r="AG156" s="33">
        <v>527</v>
      </c>
      <c r="AH156" s="26" t="s">
        <v>70</v>
      </c>
      <c r="AI156" s="26" t="s">
        <v>70</v>
      </c>
      <c r="AJ156" s="26" t="s">
        <v>70</v>
      </c>
      <c r="AK156" s="26" t="s">
        <v>70</v>
      </c>
      <c r="AL156" s="26" t="s">
        <v>70</v>
      </c>
      <c r="AM156" s="61" t="s">
        <v>548</v>
      </c>
      <c r="AN156" s="26" t="s">
        <v>274</v>
      </c>
      <c r="AO156" s="35" t="s">
        <v>548</v>
      </c>
      <c r="AP156" s="35" t="s">
        <v>548</v>
      </c>
      <c r="AQ156" s="35" t="s">
        <v>548</v>
      </c>
      <c r="AR156" s="35" t="s">
        <v>548</v>
      </c>
      <c r="AS156" s="26" t="s">
        <v>175</v>
      </c>
      <c r="AT156" s="26" t="s">
        <v>70</v>
      </c>
      <c r="AU156" s="26" t="s">
        <v>70</v>
      </c>
      <c r="AV156" s="26">
        <v>7</v>
      </c>
    </row>
    <row r="157" spans="1:2089" s="40" customFormat="1" ht="14" customHeight="1">
      <c r="A157" s="27">
        <v>156</v>
      </c>
      <c r="B157" s="27" t="s">
        <v>569</v>
      </c>
      <c r="C157" s="27">
        <v>2005</v>
      </c>
      <c r="D157" s="26" t="s">
        <v>69</v>
      </c>
      <c r="E157" s="26" t="s">
        <v>565</v>
      </c>
      <c r="F157" s="77" t="s">
        <v>175</v>
      </c>
      <c r="G157" s="2" t="s">
        <v>106</v>
      </c>
      <c r="H157" s="2" t="s">
        <v>30</v>
      </c>
      <c r="I157" s="2" t="s">
        <v>548</v>
      </c>
      <c r="J157" s="2" t="s">
        <v>604</v>
      </c>
      <c r="K157" s="2" t="s">
        <v>548</v>
      </c>
      <c r="L157" s="2" t="s">
        <v>548</v>
      </c>
      <c r="M157" s="2" t="s">
        <v>548</v>
      </c>
      <c r="N157" s="2" t="s">
        <v>48</v>
      </c>
      <c r="O157" s="2" t="s">
        <v>209</v>
      </c>
      <c r="P157" s="2" t="s">
        <v>48</v>
      </c>
      <c r="Q157" s="2" t="s">
        <v>42</v>
      </c>
      <c r="R157" s="79" t="s">
        <v>613</v>
      </c>
      <c r="S157" s="2">
        <f>5/T157</f>
        <v>0.33333333333333331</v>
      </c>
      <c r="T157" s="26">
        <v>15</v>
      </c>
      <c r="U157" s="77">
        <v>1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 t="s">
        <v>70</v>
      </c>
      <c r="AD157" s="26" t="s">
        <v>70</v>
      </c>
      <c r="AE157" s="26" t="s">
        <v>70</v>
      </c>
      <c r="AF157" s="26" t="s">
        <v>70</v>
      </c>
      <c r="AG157" s="26" t="s">
        <v>70</v>
      </c>
      <c r="AH157" s="26" t="s">
        <v>70</v>
      </c>
      <c r="AI157" s="26" t="s">
        <v>70</v>
      </c>
      <c r="AJ157" s="26" t="s">
        <v>70</v>
      </c>
      <c r="AK157" s="26" t="s">
        <v>70</v>
      </c>
      <c r="AL157" s="26" t="s">
        <v>70</v>
      </c>
      <c r="AM157" s="35" t="s">
        <v>175</v>
      </c>
      <c r="AN157" s="26" t="s">
        <v>274</v>
      </c>
      <c r="AO157" s="35" t="s">
        <v>548</v>
      </c>
      <c r="AP157" s="35" t="s">
        <v>548</v>
      </c>
      <c r="AQ157" s="35" t="s">
        <v>548</v>
      </c>
      <c r="AR157" s="35" t="s">
        <v>548</v>
      </c>
      <c r="AS157" s="26" t="s">
        <v>548</v>
      </c>
      <c r="AT157" s="26" t="s">
        <v>70</v>
      </c>
      <c r="AU157" s="26" t="s">
        <v>70</v>
      </c>
      <c r="AV157" s="26">
        <v>2</v>
      </c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</row>
    <row r="158" spans="1:2089" ht="14" customHeight="1">
      <c r="A158" s="27">
        <v>157</v>
      </c>
      <c r="B158" s="27" t="s">
        <v>357</v>
      </c>
      <c r="C158" s="26">
        <v>2009</v>
      </c>
      <c r="D158" s="26" t="s">
        <v>155</v>
      </c>
      <c r="E158" s="26" t="s">
        <v>70</v>
      </c>
      <c r="F158" s="2" t="s">
        <v>175</v>
      </c>
      <c r="G158" s="2" t="s">
        <v>105</v>
      </c>
      <c r="H158" s="2" t="s">
        <v>24</v>
      </c>
      <c r="I158" s="2" t="s">
        <v>175</v>
      </c>
      <c r="J158" s="2" t="s">
        <v>213</v>
      </c>
      <c r="K158" s="2" t="s">
        <v>175</v>
      </c>
      <c r="L158" s="2" t="s">
        <v>175</v>
      </c>
      <c r="M158" s="81" t="s">
        <v>175</v>
      </c>
      <c r="N158" s="2" t="s">
        <v>70</v>
      </c>
      <c r="O158" s="2" t="s">
        <v>209</v>
      </c>
      <c r="P158" s="2" t="s">
        <v>612</v>
      </c>
      <c r="Q158" s="2" t="s">
        <v>42</v>
      </c>
      <c r="R158" s="102" t="s">
        <v>614</v>
      </c>
      <c r="S158" s="91">
        <v>0.2</v>
      </c>
      <c r="T158" s="69">
        <v>54</v>
      </c>
      <c r="U158" s="2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0</v>
      </c>
      <c r="AA158" s="67">
        <v>1</v>
      </c>
      <c r="AB158" s="67">
        <v>1</v>
      </c>
      <c r="AC158" s="33" t="s">
        <v>70</v>
      </c>
      <c r="AD158" s="33" t="s">
        <v>70</v>
      </c>
      <c r="AE158" s="33" t="s">
        <v>70</v>
      </c>
      <c r="AF158" s="33" t="s">
        <v>70</v>
      </c>
      <c r="AG158" s="33" t="s">
        <v>70</v>
      </c>
      <c r="AH158" s="33" t="s">
        <v>70</v>
      </c>
      <c r="AI158" s="33" t="s">
        <v>70</v>
      </c>
      <c r="AJ158" s="33" t="s">
        <v>70</v>
      </c>
      <c r="AK158" s="33" t="s">
        <v>70</v>
      </c>
      <c r="AL158" s="33" t="s">
        <v>70</v>
      </c>
      <c r="AM158" s="61" t="s">
        <v>175</v>
      </c>
      <c r="AN158" s="32" t="s">
        <v>9</v>
      </c>
      <c r="AO158" s="26" t="s">
        <v>548</v>
      </c>
      <c r="AP158" s="26" t="s">
        <v>175</v>
      </c>
      <c r="AQ158" s="26" t="s">
        <v>548</v>
      </c>
      <c r="AR158" s="26" t="s">
        <v>548</v>
      </c>
      <c r="AS158" s="67" t="s">
        <v>175</v>
      </c>
      <c r="AT158" s="26" t="s">
        <v>548</v>
      </c>
      <c r="AU158" s="40" t="s">
        <v>548</v>
      </c>
      <c r="AV158" s="40">
        <v>13</v>
      </c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</row>
    <row r="159" spans="1:2089" ht="14" customHeight="1">
      <c r="A159" s="27">
        <v>158</v>
      </c>
      <c r="B159" s="27" t="s">
        <v>357</v>
      </c>
      <c r="C159" s="26">
        <v>2009</v>
      </c>
      <c r="D159" s="26" t="s">
        <v>155</v>
      </c>
      <c r="E159" s="26" t="s">
        <v>70</v>
      </c>
      <c r="F159" s="2" t="s">
        <v>175</v>
      </c>
      <c r="G159" s="2" t="s">
        <v>105</v>
      </c>
      <c r="H159" s="2" t="s">
        <v>24</v>
      </c>
      <c r="I159" s="2" t="s">
        <v>175</v>
      </c>
      <c r="J159" s="2" t="s">
        <v>213</v>
      </c>
      <c r="K159" s="2" t="s">
        <v>175</v>
      </c>
      <c r="L159" s="2" t="s">
        <v>175</v>
      </c>
      <c r="M159" s="81" t="s">
        <v>175</v>
      </c>
      <c r="N159" s="2" t="s">
        <v>62</v>
      </c>
      <c r="O159" s="2" t="s">
        <v>43</v>
      </c>
      <c r="P159" s="2" t="s">
        <v>62</v>
      </c>
      <c r="Q159" s="67" t="s">
        <v>247</v>
      </c>
      <c r="R159" s="102" t="s">
        <v>614</v>
      </c>
      <c r="S159" s="91">
        <v>0.05</v>
      </c>
      <c r="T159" s="69">
        <v>113</v>
      </c>
      <c r="U159" s="2">
        <v>1</v>
      </c>
      <c r="V159" s="67">
        <v>1</v>
      </c>
      <c r="W159" s="67">
        <v>1</v>
      </c>
      <c r="X159" s="67">
        <v>1</v>
      </c>
      <c r="Y159" s="67">
        <v>1</v>
      </c>
      <c r="Z159" s="67">
        <v>0</v>
      </c>
      <c r="AA159" s="67">
        <v>1</v>
      </c>
      <c r="AB159" s="67">
        <v>1</v>
      </c>
      <c r="AC159" s="33" t="s">
        <v>70</v>
      </c>
      <c r="AD159" s="33" t="s">
        <v>70</v>
      </c>
      <c r="AE159" s="33" t="s">
        <v>70</v>
      </c>
      <c r="AF159" s="33" t="s">
        <v>70</v>
      </c>
      <c r="AG159" s="33" t="s">
        <v>70</v>
      </c>
      <c r="AH159" s="33" t="s">
        <v>70</v>
      </c>
      <c r="AI159" s="33" t="s">
        <v>70</v>
      </c>
      <c r="AJ159" s="33" t="s">
        <v>70</v>
      </c>
      <c r="AK159" s="33" t="s">
        <v>70</v>
      </c>
      <c r="AL159" s="33" t="s">
        <v>70</v>
      </c>
      <c r="AM159" s="61" t="s">
        <v>175</v>
      </c>
      <c r="AN159" s="32" t="s">
        <v>9</v>
      </c>
      <c r="AO159" s="26" t="s">
        <v>548</v>
      </c>
      <c r="AP159" s="26" t="s">
        <v>175</v>
      </c>
      <c r="AQ159" s="26" t="s">
        <v>548</v>
      </c>
      <c r="AR159" s="26" t="s">
        <v>548</v>
      </c>
      <c r="AS159" s="67" t="s">
        <v>175</v>
      </c>
      <c r="AT159" s="26" t="s">
        <v>548</v>
      </c>
      <c r="AU159" s="40" t="s">
        <v>548</v>
      </c>
      <c r="AV159" s="26">
        <v>13</v>
      </c>
    </row>
    <row r="160" spans="1:2089" ht="14" customHeight="1">
      <c r="A160" s="27">
        <v>159</v>
      </c>
      <c r="B160" s="27" t="s">
        <v>357</v>
      </c>
      <c r="C160" s="26">
        <v>2009</v>
      </c>
      <c r="D160" s="26" t="s">
        <v>155</v>
      </c>
      <c r="E160" s="26" t="s">
        <v>70</v>
      </c>
      <c r="F160" s="2" t="s">
        <v>175</v>
      </c>
      <c r="G160" s="2" t="s">
        <v>105</v>
      </c>
      <c r="H160" s="2" t="s">
        <v>24</v>
      </c>
      <c r="I160" s="2" t="s">
        <v>175</v>
      </c>
      <c r="J160" s="2" t="s">
        <v>213</v>
      </c>
      <c r="K160" s="2" t="s">
        <v>175</v>
      </c>
      <c r="L160" s="2" t="s">
        <v>175</v>
      </c>
      <c r="M160" s="81" t="s">
        <v>175</v>
      </c>
      <c r="N160" s="2" t="s">
        <v>139</v>
      </c>
      <c r="O160" s="2" t="s">
        <v>60</v>
      </c>
      <c r="P160" s="2" t="s">
        <v>139</v>
      </c>
      <c r="Q160" s="2" t="s">
        <v>42</v>
      </c>
      <c r="R160" s="102" t="s">
        <v>614</v>
      </c>
      <c r="S160" s="91">
        <v>0.63</v>
      </c>
      <c r="T160" s="69">
        <v>92</v>
      </c>
      <c r="U160" s="2">
        <v>1</v>
      </c>
      <c r="V160" s="67">
        <v>1</v>
      </c>
      <c r="W160" s="67">
        <v>1</v>
      </c>
      <c r="X160" s="67">
        <v>1</v>
      </c>
      <c r="Y160" s="67">
        <v>1</v>
      </c>
      <c r="Z160" s="67">
        <v>0</v>
      </c>
      <c r="AA160" s="67">
        <v>1</v>
      </c>
      <c r="AB160" s="67">
        <v>1</v>
      </c>
      <c r="AC160" s="33" t="s">
        <v>70</v>
      </c>
      <c r="AD160" s="33" t="s">
        <v>70</v>
      </c>
      <c r="AE160" s="33" t="s">
        <v>70</v>
      </c>
      <c r="AF160" s="33" t="s">
        <v>70</v>
      </c>
      <c r="AG160" s="33" t="s">
        <v>70</v>
      </c>
      <c r="AH160" s="33" t="s">
        <v>70</v>
      </c>
      <c r="AI160" s="33" t="s">
        <v>70</v>
      </c>
      <c r="AJ160" s="33" t="s">
        <v>70</v>
      </c>
      <c r="AK160" s="33" t="s">
        <v>70</v>
      </c>
      <c r="AL160" s="33" t="s">
        <v>70</v>
      </c>
      <c r="AM160" s="61" t="s">
        <v>175</v>
      </c>
      <c r="AN160" s="32" t="s">
        <v>9</v>
      </c>
      <c r="AO160" s="26" t="s">
        <v>548</v>
      </c>
      <c r="AP160" s="26" t="s">
        <v>175</v>
      </c>
      <c r="AQ160" s="26" t="s">
        <v>548</v>
      </c>
      <c r="AR160" s="26" t="s">
        <v>548</v>
      </c>
      <c r="AS160" s="67" t="s">
        <v>175</v>
      </c>
      <c r="AT160" s="26" t="s">
        <v>548</v>
      </c>
      <c r="AU160" s="40" t="s">
        <v>548</v>
      </c>
      <c r="AV160" s="26">
        <v>13</v>
      </c>
    </row>
    <row r="161" spans="1:2089" ht="14" customHeight="1">
      <c r="A161" s="27">
        <v>160</v>
      </c>
      <c r="B161" s="27" t="s">
        <v>358</v>
      </c>
      <c r="C161" s="28">
        <v>2007</v>
      </c>
      <c r="D161" s="26" t="s">
        <v>31</v>
      </c>
      <c r="E161" s="26" t="s">
        <v>566</v>
      </c>
      <c r="F161" s="2" t="s">
        <v>175</v>
      </c>
      <c r="G161" s="2" t="s">
        <v>108</v>
      </c>
      <c r="H161" s="2" t="s">
        <v>24</v>
      </c>
      <c r="I161" s="2" t="s">
        <v>175</v>
      </c>
      <c r="J161" s="2" t="s">
        <v>604</v>
      </c>
      <c r="K161" s="2" t="s">
        <v>175</v>
      </c>
      <c r="L161" s="2" t="s">
        <v>175</v>
      </c>
      <c r="M161" s="81" t="s">
        <v>175</v>
      </c>
      <c r="N161" s="2" t="s">
        <v>210</v>
      </c>
      <c r="O161" s="2" t="s">
        <v>43</v>
      </c>
      <c r="P161" s="2" t="s">
        <v>618</v>
      </c>
      <c r="Q161" s="2" t="s">
        <v>42</v>
      </c>
      <c r="R161" s="102" t="s">
        <v>614</v>
      </c>
      <c r="S161" s="91">
        <v>0.14000000000000001</v>
      </c>
      <c r="T161" s="69">
        <v>100</v>
      </c>
      <c r="U161" s="2">
        <v>1</v>
      </c>
      <c r="V161" s="67">
        <v>0</v>
      </c>
      <c r="W161" s="67">
        <v>1</v>
      </c>
      <c r="X161" s="67">
        <v>1</v>
      </c>
      <c r="Y161" s="67">
        <v>1</v>
      </c>
      <c r="Z161" s="67">
        <v>1</v>
      </c>
      <c r="AA161" s="67">
        <v>0</v>
      </c>
      <c r="AB161" s="67">
        <v>0</v>
      </c>
      <c r="AC161" s="33" t="s">
        <v>70</v>
      </c>
      <c r="AD161" s="33" t="s">
        <v>70</v>
      </c>
      <c r="AE161" s="33" t="s">
        <v>70</v>
      </c>
      <c r="AF161" s="33" t="s">
        <v>70</v>
      </c>
      <c r="AG161" s="33" t="s">
        <v>70</v>
      </c>
      <c r="AH161" s="33" t="s">
        <v>70</v>
      </c>
      <c r="AI161" s="33" t="s">
        <v>70</v>
      </c>
      <c r="AJ161" s="33" t="s">
        <v>70</v>
      </c>
      <c r="AK161" s="33" t="s">
        <v>70</v>
      </c>
      <c r="AL161" s="33" t="s">
        <v>70</v>
      </c>
      <c r="AM161" s="61" t="s">
        <v>175</v>
      </c>
      <c r="AN161" s="26" t="s">
        <v>274</v>
      </c>
      <c r="AO161" s="26" t="s">
        <v>548</v>
      </c>
      <c r="AP161" s="26" t="s">
        <v>548</v>
      </c>
      <c r="AQ161" s="26" t="s">
        <v>175</v>
      </c>
      <c r="AR161" s="26" t="s">
        <v>548</v>
      </c>
      <c r="AS161" s="67" t="s">
        <v>175</v>
      </c>
      <c r="AT161" s="26" t="s">
        <v>70</v>
      </c>
      <c r="AU161" s="26" t="s">
        <v>70</v>
      </c>
      <c r="AV161" s="26">
        <v>11</v>
      </c>
    </row>
    <row r="162" spans="1:2089" ht="14" customHeight="1">
      <c r="A162" s="27">
        <v>161</v>
      </c>
      <c r="B162" s="27" t="s">
        <v>358</v>
      </c>
      <c r="C162" s="28">
        <v>2007</v>
      </c>
      <c r="D162" s="26" t="s">
        <v>31</v>
      </c>
      <c r="E162" s="26" t="s">
        <v>566</v>
      </c>
      <c r="F162" s="2" t="s">
        <v>175</v>
      </c>
      <c r="G162" s="2" t="s">
        <v>108</v>
      </c>
      <c r="H162" s="2" t="s">
        <v>24</v>
      </c>
      <c r="I162" s="2" t="s">
        <v>175</v>
      </c>
      <c r="J162" s="2" t="s">
        <v>604</v>
      </c>
      <c r="K162" s="2" t="s">
        <v>175</v>
      </c>
      <c r="L162" s="2" t="s">
        <v>175</v>
      </c>
      <c r="M162" s="81" t="s">
        <v>175</v>
      </c>
      <c r="N162" s="2" t="s">
        <v>209</v>
      </c>
      <c r="O162" s="2" t="s">
        <v>209</v>
      </c>
      <c r="P162" s="81" t="s">
        <v>619</v>
      </c>
      <c r="Q162" s="2" t="s">
        <v>42</v>
      </c>
      <c r="R162" s="102" t="s">
        <v>614</v>
      </c>
      <c r="S162" s="91">
        <v>0.28999999999999998</v>
      </c>
      <c r="T162" s="69">
        <v>156</v>
      </c>
      <c r="U162" s="2">
        <v>1</v>
      </c>
      <c r="V162" s="67">
        <v>0</v>
      </c>
      <c r="W162" s="67">
        <v>1</v>
      </c>
      <c r="X162" s="67">
        <v>1</v>
      </c>
      <c r="Y162" s="67">
        <v>1</v>
      </c>
      <c r="Z162" s="67">
        <v>1</v>
      </c>
      <c r="AA162" s="67">
        <v>0</v>
      </c>
      <c r="AB162" s="67">
        <v>0</v>
      </c>
      <c r="AC162" s="33" t="s">
        <v>70</v>
      </c>
      <c r="AD162" s="33" t="s">
        <v>70</v>
      </c>
      <c r="AE162" s="33" t="s">
        <v>70</v>
      </c>
      <c r="AF162" s="33" t="s">
        <v>70</v>
      </c>
      <c r="AG162" s="33" t="s">
        <v>70</v>
      </c>
      <c r="AH162" s="33" t="s">
        <v>70</v>
      </c>
      <c r="AI162" s="33" t="s">
        <v>70</v>
      </c>
      <c r="AJ162" s="33" t="s">
        <v>70</v>
      </c>
      <c r="AK162" s="33" t="s">
        <v>70</v>
      </c>
      <c r="AL162" s="33" t="s">
        <v>70</v>
      </c>
      <c r="AM162" s="61" t="s">
        <v>175</v>
      </c>
      <c r="AN162" s="26" t="s">
        <v>274</v>
      </c>
      <c r="AO162" s="26" t="s">
        <v>548</v>
      </c>
      <c r="AP162" s="26" t="s">
        <v>548</v>
      </c>
      <c r="AQ162" s="26" t="s">
        <v>175</v>
      </c>
      <c r="AR162" s="26" t="s">
        <v>548</v>
      </c>
      <c r="AS162" s="67" t="s">
        <v>175</v>
      </c>
      <c r="AT162" s="26" t="s">
        <v>70</v>
      </c>
      <c r="AU162" s="26" t="s">
        <v>70</v>
      </c>
      <c r="AV162" s="26">
        <v>11</v>
      </c>
    </row>
    <row r="163" spans="1:2089" ht="14" customHeight="1">
      <c r="A163" s="27">
        <v>162</v>
      </c>
      <c r="B163" s="27" t="s">
        <v>358</v>
      </c>
      <c r="C163" s="28">
        <v>2007</v>
      </c>
      <c r="D163" s="26" t="s">
        <v>31</v>
      </c>
      <c r="E163" s="26" t="s">
        <v>566</v>
      </c>
      <c r="F163" s="2" t="s">
        <v>175</v>
      </c>
      <c r="G163" s="2" t="s">
        <v>108</v>
      </c>
      <c r="H163" s="2" t="s">
        <v>24</v>
      </c>
      <c r="I163" s="2" t="s">
        <v>175</v>
      </c>
      <c r="J163" s="2" t="s">
        <v>604</v>
      </c>
      <c r="K163" s="2" t="s">
        <v>175</v>
      </c>
      <c r="L163" s="2" t="s">
        <v>175</v>
      </c>
      <c r="M163" s="81" t="s">
        <v>175</v>
      </c>
      <c r="N163" s="2" t="s">
        <v>209</v>
      </c>
      <c r="O163" s="2" t="s">
        <v>209</v>
      </c>
      <c r="P163" s="2" t="s">
        <v>620</v>
      </c>
      <c r="Q163" s="2" t="s">
        <v>42</v>
      </c>
      <c r="R163" s="102" t="s">
        <v>614</v>
      </c>
      <c r="S163" s="91">
        <v>0.38</v>
      </c>
      <c r="T163" s="69">
        <v>324</v>
      </c>
      <c r="U163" s="2">
        <v>1</v>
      </c>
      <c r="V163" s="67">
        <v>0</v>
      </c>
      <c r="W163" s="67">
        <v>1</v>
      </c>
      <c r="X163" s="67">
        <v>1</v>
      </c>
      <c r="Y163" s="67">
        <v>1</v>
      </c>
      <c r="Z163" s="67">
        <v>1</v>
      </c>
      <c r="AA163" s="67">
        <v>0</v>
      </c>
      <c r="AB163" s="67">
        <v>0</v>
      </c>
      <c r="AC163" s="33" t="s">
        <v>70</v>
      </c>
      <c r="AD163" s="33" t="s">
        <v>70</v>
      </c>
      <c r="AE163" s="33" t="s">
        <v>70</v>
      </c>
      <c r="AF163" s="33" t="s">
        <v>70</v>
      </c>
      <c r="AG163" s="33" t="s">
        <v>70</v>
      </c>
      <c r="AH163" s="33" t="s">
        <v>70</v>
      </c>
      <c r="AI163" s="33" t="s">
        <v>70</v>
      </c>
      <c r="AJ163" s="33" t="s">
        <v>70</v>
      </c>
      <c r="AK163" s="33" t="s">
        <v>70</v>
      </c>
      <c r="AL163" s="33" t="s">
        <v>70</v>
      </c>
      <c r="AM163" s="61" t="s">
        <v>175</v>
      </c>
      <c r="AN163" s="26" t="s">
        <v>274</v>
      </c>
      <c r="AO163" s="26" t="s">
        <v>548</v>
      </c>
      <c r="AP163" s="26" t="s">
        <v>548</v>
      </c>
      <c r="AQ163" s="26" t="s">
        <v>175</v>
      </c>
      <c r="AR163" s="26" t="s">
        <v>548</v>
      </c>
      <c r="AS163" s="67" t="s">
        <v>175</v>
      </c>
      <c r="AT163" s="26" t="s">
        <v>70</v>
      </c>
      <c r="AU163" s="26" t="s">
        <v>70</v>
      </c>
      <c r="AV163" s="26">
        <v>11</v>
      </c>
    </row>
    <row r="164" spans="1:2089" s="65" customFormat="1" ht="14" customHeight="1">
      <c r="A164" s="27">
        <v>163</v>
      </c>
      <c r="B164" s="27" t="s">
        <v>358</v>
      </c>
      <c r="C164" s="28">
        <v>2007</v>
      </c>
      <c r="D164" s="26" t="s">
        <v>31</v>
      </c>
      <c r="E164" s="26" t="s">
        <v>566</v>
      </c>
      <c r="F164" s="2" t="s">
        <v>175</v>
      </c>
      <c r="G164" s="2" t="s">
        <v>108</v>
      </c>
      <c r="H164" s="2" t="s">
        <v>24</v>
      </c>
      <c r="I164" s="2" t="s">
        <v>175</v>
      </c>
      <c r="J164" s="2" t="s">
        <v>604</v>
      </c>
      <c r="K164" s="2" t="s">
        <v>175</v>
      </c>
      <c r="L164" s="2" t="s">
        <v>175</v>
      </c>
      <c r="M164" s="81" t="s">
        <v>175</v>
      </c>
      <c r="N164" s="2" t="s">
        <v>608</v>
      </c>
      <c r="O164" s="2" t="s">
        <v>43</v>
      </c>
      <c r="P164" s="2" t="s">
        <v>623</v>
      </c>
      <c r="Q164" s="2" t="s">
        <v>42</v>
      </c>
      <c r="R164" s="102" t="s">
        <v>614</v>
      </c>
      <c r="S164" s="91">
        <v>0.26</v>
      </c>
      <c r="T164" s="69">
        <v>98</v>
      </c>
      <c r="U164" s="2">
        <v>1</v>
      </c>
      <c r="V164" s="67">
        <v>0</v>
      </c>
      <c r="W164" s="67">
        <v>1</v>
      </c>
      <c r="X164" s="67">
        <v>1</v>
      </c>
      <c r="Y164" s="67">
        <v>1</v>
      </c>
      <c r="Z164" s="67">
        <v>1</v>
      </c>
      <c r="AA164" s="67">
        <v>0</v>
      </c>
      <c r="AB164" s="67">
        <v>0</v>
      </c>
      <c r="AC164" s="33" t="s">
        <v>70</v>
      </c>
      <c r="AD164" s="33" t="s">
        <v>70</v>
      </c>
      <c r="AE164" s="33" t="s">
        <v>70</v>
      </c>
      <c r="AF164" s="33" t="s">
        <v>70</v>
      </c>
      <c r="AG164" s="33" t="s">
        <v>70</v>
      </c>
      <c r="AH164" s="33" t="s">
        <v>70</v>
      </c>
      <c r="AI164" s="33" t="s">
        <v>70</v>
      </c>
      <c r="AJ164" s="33" t="s">
        <v>70</v>
      </c>
      <c r="AK164" s="33" t="s">
        <v>70</v>
      </c>
      <c r="AL164" s="33" t="s">
        <v>70</v>
      </c>
      <c r="AM164" s="61" t="s">
        <v>175</v>
      </c>
      <c r="AN164" s="26" t="s">
        <v>274</v>
      </c>
      <c r="AO164" s="26" t="s">
        <v>548</v>
      </c>
      <c r="AP164" s="26" t="s">
        <v>548</v>
      </c>
      <c r="AQ164" s="26" t="s">
        <v>175</v>
      </c>
      <c r="AR164" s="26" t="s">
        <v>548</v>
      </c>
      <c r="AS164" s="67" t="s">
        <v>175</v>
      </c>
      <c r="AT164" s="26" t="s">
        <v>70</v>
      </c>
      <c r="AU164" s="26" t="s">
        <v>70</v>
      </c>
      <c r="AV164" s="26">
        <v>11</v>
      </c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  <c r="GR164" s="26"/>
      <c r="GS164" s="26"/>
      <c r="GT164" s="26"/>
      <c r="GU164" s="26"/>
      <c r="GV164" s="26"/>
      <c r="GW164" s="26"/>
      <c r="GX164" s="26"/>
      <c r="GY164" s="26"/>
      <c r="GZ164" s="26"/>
      <c r="HA164" s="26"/>
      <c r="HB164" s="26"/>
      <c r="HC164" s="26"/>
      <c r="HD164" s="26"/>
      <c r="HE164" s="26"/>
      <c r="HF164" s="26"/>
      <c r="HG164" s="26"/>
      <c r="HH164" s="26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26"/>
      <c r="JG164" s="26"/>
      <c r="JH164" s="26"/>
      <c r="JI164" s="26"/>
      <c r="JJ164" s="26"/>
      <c r="JK164" s="26"/>
      <c r="JL164" s="26"/>
      <c r="JM164" s="26"/>
      <c r="JN164" s="26"/>
      <c r="JO164" s="26"/>
      <c r="JP164" s="26"/>
      <c r="JQ164" s="26"/>
      <c r="JR164" s="26"/>
      <c r="JS164" s="26"/>
      <c r="JT164" s="26"/>
      <c r="JU164" s="26"/>
      <c r="JV164" s="26"/>
      <c r="JW164" s="26"/>
      <c r="JX164" s="26"/>
      <c r="JY164" s="26"/>
      <c r="JZ164" s="26"/>
      <c r="KA164" s="26"/>
      <c r="KB164" s="26"/>
      <c r="KC164" s="26"/>
      <c r="KD164" s="26"/>
      <c r="KE164" s="26"/>
      <c r="KF164" s="26"/>
      <c r="KG164" s="26"/>
      <c r="KH164" s="26"/>
      <c r="KI164" s="26"/>
      <c r="KJ164" s="26"/>
      <c r="KK164" s="26"/>
      <c r="KL164" s="26"/>
      <c r="KM164" s="26"/>
      <c r="KN164" s="26"/>
      <c r="KO164" s="26"/>
      <c r="KP164" s="26"/>
      <c r="KQ164" s="26"/>
      <c r="KR164" s="26"/>
      <c r="KS164" s="26"/>
      <c r="KT164" s="26"/>
      <c r="KU164" s="26"/>
      <c r="KV164" s="26"/>
      <c r="KW164" s="26"/>
      <c r="KX164" s="26"/>
      <c r="KY164" s="26"/>
      <c r="KZ164" s="26"/>
      <c r="LA164" s="26"/>
      <c r="LB164" s="26"/>
      <c r="LC164" s="26"/>
      <c r="LD164" s="26"/>
      <c r="LE164" s="26"/>
      <c r="LF164" s="26"/>
      <c r="LG164" s="26"/>
      <c r="LH164" s="26"/>
      <c r="LI164" s="26"/>
      <c r="LJ164" s="26"/>
      <c r="LK164" s="26"/>
      <c r="LL164" s="26"/>
      <c r="LM164" s="26"/>
      <c r="LN164" s="26"/>
      <c r="LO164" s="26"/>
      <c r="LP164" s="26"/>
      <c r="LQ164" s="26"/>
      <c r="LR164" s="26"/>
      <c r="LS164" s="26"/>
      <c r="LT164" s="26"/>
      <c r="LU164" s="26"/>
      <c r="LV164" s="26"/>
      <c r="LW164" s="26"/>
      <c r="LX164" s="26"/>
      <c r="LY164" s="26"/>
      <c r="LZ164" s="26"/>
      <c r="MA164" s="26"/>
      <c r="MB164" s="26"/>
      <c r="MC164" s="26"/>
      <c r="MD164" s="26"/>
      <c r="ME164" s="26"/>
      <c r="MF164" s="26"/>
      <c r="MG164" s="26"/>
      <c r="MH164" s="26"/>
      <c r="MI164" s="26"/>
      <c r="MJ164" s="26"/>
      <c r="MK164" s="26"/>
      <c r="ML164" s="26"/>
      <c r="MM164" s="26"/>
      <c r="MN164" s="26"/>
      <c r="MO164" s="26"/>
      <c r="MP164" s="26"/>
      <c r="MQ164" s="26"/>
      <c r="MR164" s="26"/>
      <c r="MS164" s="26"/>
      <c r="MT164" s="26"/>
      <c r="MU164" s="26"/>
      <c r="MV164" s="26"/>
      <c r="MW164" s="26"/>
      <c r="MX164" s="26"/>
      <c r="MY164" s="26"/>
      <c r="MZ164" s="26"/>
      <c r="NA164" s="26"/>
      <c r="NB164" s="26"/>
      <c r="NC164" s="26"/>
      <c r="ND164" s="26"/>
      <c r="NE164" s="26"/>
      <c r="NF164" s="26"/>
      <c r="NG164" s="26"/>
      <c r="NH164" s="26"/>
      <c r="NI164" s="26"/>
      <c r="NJ164" s="26"/>
      <c r="NK164" s="26"/>
      <c r="NL164" s="26"/>
      <c r="NM164" s="26"/>
      <c r="NN164" s="26"/>
      <c r="NO164" s="26"/>
      <c r="NP164" s="26"/>
      <c r="NQ164" s="26"/>
      <c r="NR164" s="26"/>
      <c r="NS164" s="26"/>
      <c r="NT164" s="26"/>
      <c r="NU164" s="26"/>
      <c r="NV164" s="26"/>
      <c r="NW164" s="26"/>
      <c r="NX164" s="26"/>
      <c r="NY164" s="26"/>
      <c r="NZ164" s="26"/>
      <c r="OA164" s="26"/>
      <c r="OB164" s="26"/>
      <c r="OC164" s="26"/>
      <c r="OD164" s="26"/>
      <c r="OE164" s="26"/>
      <c r="OF164" s="26"/>
      <c r="OG164" s="26"/>
      <c r="OH164" s="26"/>
      <c r="OI164" s="26"/>
      <c r="OJ164" s="26"/>
      <c r="OK164" s="26"/>
      <c r="OL164" s="26"/>
      <c r="OM164" s="26"/>
      <c r="ON164" s="26"/>
      <c r="OO164" s="26"/>
      <c r="OP164" s="26"/>
      <c r="OQ164" s="26"/>
      <c r="OR164" s="26"/>
      <c r="OS164" s="26"/>
      <c r="OT164" s="26"/>
      <c r="OU164" s="26"/>
      <c r="OV164" s="26"/>
      <c r="OW164" s="26"/>
      <c r="OX164" s="26"/>
      <c r="OY164" s="26"/>
      <c r="OZ164" s="26"/>
      <c r="PA164" s="26"/>
      <c r="PB164" s="26"/>
      <c r="PC164" s="26"/>
      <c r="PD164" s="26"/>
      <c r="PE164" s="26"/>
      <c r="PF164" s="26"/>
      <c r="PG164" s="26"/>
      <c r="PH164" s="26"/>
      <c r="PI164" s="26"/>
      <c r="PJ164" s="26"/>
      <c r="PK164" s="26"/>
      <c r="PL164" s="26"/>
      <c r="PM164" s="26"/>
      <c r="PN164" s="26"/>
      <c r="PO164" s="26"/>
      <c r="PP164" s="26"/>
      <c r="PQ164" s="26"/>
      <c r="PR164" s="26"/>
      <c r="PS164" s="26"/>
      <c r="PT164" s="26"/>
      <c r="PU164" s="26"/>
      <c r="PV164" s="26"/>
      <c r="PW164" s="26"/>
      <c r="PX164" s="26"/>
      <c r="PY164" s="26"/>
      <c r="PZ164" s="26"/>
      <c r="QA164" s="26"/>
      <c r="QB164" s="26"/>
      <c r="QC164" s="26"/>
      <c r="QD164" s="26"/>
      <c r="QE164" s="26"/>
      <c r="QF164" s="26"/>
      <c r="QG164" s="26"/>
      <c r="QH164" s="26"/>
      <c r="QI164" s="26"/>
      <c r="QJ164" s="26"/>
      <c r="QK164" s="26"/>
      <c r="QL164" s="26"/>
      <c r="QM164" s="26"/>
      <c r="QN164" s="26"/>
      <c r="QO164" s="26"/>
      <c r="QP164" s="26"/>
      <c r="QQ164" s="26"/>
      <c r="QR164" s="26"/>
      <c r="QS164" s="26"/>
      <c r="QT164" s="26"/>
      <c r="QU164" s="26"/>
      <c r="QV164" s="26"/>
      <c r="QW164" s="26"/>
      <c r="QX164" s="26"/>
      <c r="QY164" s="26"/>
      <c r="QZ164" s="26"/>
      <c r="RA164" s="26"/>
      <c r="RB164" s="26"/>
      <c r="RC164" s="26"/>
      <c r="RD164" s="26"/>
      <c r="RE164" s="26"/>
      <c r="RF164" s="26"/>
      <c r="RG164" s="26"/>
      <c r="RH164" s="26"/>
      <c r="RI164" s="26"/>
      <c r="RJ164" s="26"/>
      <c r="RK164" s="26"/>
      <c r="RL164" s="26"/>
      <c r="RM164" s="26"/>
      <c r="RN164" s="26"/>
      <c r="RO164" s="26"/>
      <c r="RP164" s="26"/>
      <c r="RQ164" s="26"/>
      <c r="RR164" s="26"/>
      <c r="RS164" s="26"/>
      <c r="RT164" s="26"/>
      <c r="RU164" s="26"/>
      <c r="RV164" s="26"/>
      <c r="RW164" s="26"/>
      <c r="RX164" s="26"/>
      <c r="RY164" s="26"/>
      <c r="RZ164" s="26"/>
      <c r="SA164" s="26"/>
      <c r="SB164" s="26"/>
      <c r="SC164" s="26"/>
      <c r="SD164" s="26"/>
      <c r="SE164" s="26"/>
      <c r="SF164" s="26"/>
      <c r="SG164" s="26"/>
      <c r="SH164" s="26"/>
      <c r="SI164" s="26"/>
      <c r="SJ164" s="26"/>
      <c r="SK164" s="26"/>
      <c r="SL164" s="26"/>
      <c r="SM164" s="26"/>
      <c r="SN164" s="26"/>
      <c r="SO164" s="26"/>
      <c r="SP164" s="26"/>
      <c r="SQ164" s="26"/>
      <c r="SR164" s="26"/>
      <c r="SS164" s="26"/>
      <c r="ST164" s="26"/>
      <c r="SU164" s="26"/>
      <c r="SV164" s="26"/>
      <c r="SW164" s="26"/>
      <c r="SX164" s="26"/>
      <c r="SY164" s="26"/>
      <c r="SZ164" s="26"/>
      <c r="TA164" s="26"/>
      <c r="TB164" s="26"/>
      <c r="TC164" s="26"/>
      <c r="TD164" s="26"/>
      <c r="TE164" s="26"/>
      <c r="TF164" s="26"/>
      <c r="TG164" s="26"/>
      <c r="TH164" s="26"/>
      <c r="TI164" s="26"/>
      <c r="TJ164" s="26"/>
      <c r="TK164" s="26"/>
      <c r="TL164" s="26"/>
      <c r="TM164" s="26"/>
      <c r="TN164" s="26"/>
      <c r="TO164" s="26"/>
      <c r="TP164" s="26"/>
      <c r="TQ164" s="26"/>
      <c r="TR164" s="26"/>
      <c r="TS164" s="26"/>
      <c r="TT164" s="26"/>
      <c r="TU164" s="26"/>
      <c r="TV164" s="26"/>
      <c r="TW164" s="26"/>
      <c r="TX164" s="26"/>
      <c r="TY164" s="26"/>
      <c r="TZ164" s="26"/>
      <c r="UA164" s="26"/>
      <c r="UB164" s="26"/>
      <c r="UC164" s="26"/>
      <c r="UD164" s="26"/>
      <c r="UE164" s="26"/>
      <c r="UF164" s="26"/>
      <c r="UG164" s="26"/>
      <c r="UH164" s="26"/>
      <c r="UI164" s="26"/>
      <c r="UJ164" s="26"/>
      <c r="UK164" s="26"/>
      <c r="UL164" s="26"/>
      <c r="UM164" s="26"/>
      <c r="UN164" s="26"/>
      <c r="UO164" s="26"/>
      <c r="UP164" s="26"/>
      <c r="UQ164" s="26"/>
      <c r="UR164" s="26"/>
      <c r="US164" s="26"/>
      <c r="UT164" s="26"/>
      <c r="UU164" s="26"/>
      <c r="UV164" s="26"/>
      <c r="UW164" s="26"/>
      <c r="UX164" s="26"/>
      <c r="UY164" s="26"/>
      <c r="UZ164" s="26"/>
      <c r="VA164" s="26"/>
      <c r="VB164" s="26"/>
      <c r="VC164" s="26"/>
      <c r="VD164" s="26"/>
      <c r="VE164" s="26"/>
      <c r="VF164" s="26"/>
      <c r="VG164" s="26"/>
      <c r="VH164" s="26"/>
      <c r="VI164" s="26"/>
      <c r="VJ164" s="26"/>
      <c r="VK164" s="26"/>
      <c r="VL164" s="26"/>
      <c r="VM164" s="26"/>
      <c r="VN164" s="26"/>
      <c r="VO164" s="26"/>
      <c r="VP164" s="26"/>
      <c r="VQ164" s="26"/>
      <c r="VR164" s="26"/>
      <c r="VS164" s="26"/>
      <c r="VT164" s="26"/>
      <c r="VU164" s="26"/>
      <c r="VV164" s="26"/>
      <c r="VW164" s="26"/>
      <c r="VX164" s="26"/>
      <c r="VY164" s="26"/>
      <c r="VZ164" s="26"/>
      <c r="WA164" s="26"/>
      <c r="WB164" s="26"/>
      <c r="WC164" s="26"/>
      <c r="WD164" s="26"/>
      <c r="WE164" s="26"/>
      <c r="WF164" s="26"/>
      <c r="WG164" s="26"/>
      <c r="WH164" s="26"/>
      <c r="WI164" s="26"/>
      <c r="WJ164" s="26"/>
      <c r="WK164" s="26"/>
      <c r="WL164" s="26"/>
      <c r="WM164" s="26"/>
      <c r="WN164" s="26"/>
      <c r="WO164" s="26"/>
      <c r="WP164" s="26"/>
      <c r="WQ164" s="26"/>
      <c r="WR164" s="26"/>
      <c r="WS164" s="26"/>
      <c r="WT164" s="26"/>
      <c r="WU164" s="26"/>
      <c r="WV164" s="26"/>
      <c r="WW164" s="26"/>
      <c r="WX164" s="26"/>
      <c r="WY164" s="26"/>
      <c r="WZ164" s="26"/>
      <c r="XA164" s="26"/>
      <c r="XB164" s="26"/>
      <c r="XC164" s="26"/>
      <c r="XD164" s="26"/>
      <c r="XE164" s="26"/>
      <c r="XF164" s="26"/>
      <c r="XG164" s="26"/>
      <c r="XH164" s="26"/>
      <c r="XI164" s="26"/>
      <c r="XJ164" s="26"/>
      <c r="XK164" s="26"/>
      <c r="XL164" s="26"/>
      <c r="XM164" s="26"/>
      <c r="XN164" s="26"/>
      <c r="XO164" s="26"/>
      <c r="XP164" s="26"/>
      <c r="XQ164" s="26"/>
      <c r="XR164" s="26"/>
      <c r="XS164" s="26"/>
      <c r="XT164" s="26"/>
      <c r="XU164" s="26"/>
      <c r="XV164" s="26"/>
      <c r="XW164" s="26"/>
      <c r="XX164" s="26"/>
      <c r="XY164" s="26"/>
      <c r="XZ164" s="26"/>
      <c r="YA164" s="26"/>
      <c r="YB164" s="26"/>
      <c r="YC164" s="26"/>
      <c r="YD164" s="26"/>
      <c r="YE164" s="26"/>
      <c r="YF164" s="26"/>
      <c r="YG164" s="26"/>
      <c r="YH164" s="26"/>
      <c r="YI164" s="26"/>
      <c r="YJ164" s="26"/>
      <c r="YK164" s="26"/>
      <c r="YL164" s="26"/>
      <c r="YM164" s="26"/>
      <c r="YN164" s="26"/>
      <c r="YO164" s="26"/>
      <c r="YP164" s="26"/>
      <c r="YQ164" s="26"/>
      <c r="YR164" s="26"/>
      <c r="YS164" s="26"/>
      <c r="YT164" s="26"/>
      <c r="YU164" s="26"/>
      <c r="YV164" s="26"/>
      <c r="YW164" s="26"/>
      <c r="YX164" s="26"/>
      <c r="YY164" s="26"/>
      <c r="YZ164" s="26"/>
      <c r="ZA164" s="26"/>
      <c r="ZB164" s="26"/>
      <c r="ZC164" s="26"/>
      <c r="ZD164" s="26"/>
      <c r="ZE164" s="26"/>
      <c r="ZF164" s="26"/>
      <c r="ZG164" s="26"/>
      <c r="ZH164" s="26"/>
      <c r="ZI164" s="26"/>
      <c r="ZJ164" s="26"/>
      <c r="ZK164" s="26"/>
      <c r="ZL164" s="26"/>
      <c r="ZM164" s="26"/>
      <c r="ZN164" s="26"/>
      <c r="ZO164" s="26"/>
      <c r="ZP164" s="26"/>
      <c r="ZQ164" s="26"/>
      <c r="ZR164" s="26"/>
      <c r="ZS164" s="26"/>
      <c r="ZT164" s="26"/>
      <c r="ZU164" s="26"/>
      <c r="ZV164" s="26"/>
      <c r="ZW164" s="26"/>
      <c r="ZX164" s="26"/>
      <c r="ZY164" s="26"/>
      <c r="ZZ164" s="26"/>
      <c r="AAA164" s="26"/>
      <c r="AAB164" s="26"/>
      <c r="AAC164" s="26"/>
      <c r="AAD164" s="26"/>
      <c r="AAE164" s="26"/>
      <c r="AAF164" s="26"/>
      <c r="AAG164" s="26"/>
      <c r="AAH164" s="26"/>
      <c r="AAI164" s="26"/>
      <c r="AAJ164" s="26"/>
      <c r="AAK164" s="26"/>
      <c r="AAL164" s="26"/>
      <c r="AAM164" s="26"/>
      <c r="AAN164" s="26"/>
      <c r="AAO164" s="26"/>
      <c r="AAP164" s="26"/>
      <c r="AAQ164" s="26"/>
      <c r="AAR164" s="26"/>
      <c r="AAS164" s="26"/>
      <c r="AAT164" s="26"/>
      <c r="AAU164" s="26"/>
      <c r="AAV164" s="26"/>
      <c r="AAW164" s="26"/>
      <c r="AAX164" s="26"/>
      <c r="AAY164" s="26"/>
      <c r="AAZ164" s="26"/>
      <c r="ABA164" s="26"/>
      <c r="ABB164" s="26"/>
      <c r="ABC164" s="26"/>
      <c r="ABD164" s="26"/>
      <c r="ABE164" s="26"/>
      <c r="ABF164" s="26"/>
      <c r="ABG164" s="26"/>
      <c r="ABH164" s="26"/>
      <c r="ABI164" s="26"/>
      <c r="ABJ164" s="26"/>
      <c r="ABK164" s="26"/>
      <c r="ABL164" s="26"/>
      <c r="ABM164" s="26"/>
      <c r="ABN164" s="26"/>
      <c r="ABO164" s="26"/>
      <c r="ABP164" s="26"/>
      <c r="ABQ164" s="26"/>
      <c r="ABR164" s="26"/>
      <c r="ABS164" s="26"/>
      <c r="ABT164" s="26"/>
      <c r="ABU164" s="26"/>
      <c r="ABV164" s="26"/>
      <c r="ABW164" s="26"/>
      <c r="ABX164" s="26"/>
      <c r="ABY164" s="26"/>
      <c r="ABZ164" s="26"/>
      <c r="ACA164" s="26"/>
      <c r="ACB164" s="26"/>
      <c r="ACC164" s="26"/>
      <c r="ACD164" s="26"/>
      <c r="ACE164" s="26"/>
      <c r="ACF164" s="26"/>
      <c r="ACG164" s="26"/>
      <c r="ACH164" s="26"/>
      <c r="ACI164" s="26"/>
      <c r="ACJ164" s="26"/>
      <c r="ACK164" s="26"/>
      <c r="ACL164" s="26"/>
      <c r="ACM164" s="26"/>
      <c r="ACN164" s="26"/>
      <c r="ACO164" s="26"/>
      <c r="ACP164" s="26"/>
      <c r="ACQ164" s="26"/>
      <c r="ACR164" s="26"/>
      <c r="ACS164" s="26"/>
      <c r="ACT164" s="26"/>
      <c r="ACU164" s="26"/>
      <c r="ACV164" s="26"/>
      <c r="ACW164" s="26"/>
      <c r="ACX164" s="26"/>
      <c r="ACY164" s="26"/>
      <c r="ACZ164" s="26"/>
      <c r="ADA164" s="26"/>
      <c r="ADB164" s="26"/>
      <c r="ADC164" s="26"/>
      <c r="ADD164" s="26"/>
      <c r="ADE164" s="26"/>
      <c r="ADF164" s="26"/>
      <c r="ADG164" s="26"/>
      <c r="ADH164" s="26"/>
      <c r="ADI164" s="26"/>
      <c r="ADJ164" s="26"/>
      <c r="ADK164" s="26"/>
      <c r="ADL164" s="26"/>
      <c r="ADM164" s="26"/>
      <c r="ADN164" s="26"/>
      <c r="ADO164" s="26"/>
      <c r="ADP164" s="26"/>
      <c r="ADQ164" s="26"/>
      <c r="ADR164" s="26"/>
      <c r="ADS164" s="26"/>
      <c r="ADT164" s="26"/>
      <c r="ADU164" s="26"/>
      <c r="ADV164" s="26"/>
      <c r="ADW164" s="26"/>
      <c r="ADX164" s="26"/>
      <c r="ADY164" s="26"/>
      <c r="ADZ164" s="26"/>
      <c r="AEA164" s="26"/>
      <c r="AEB164" s="26"/>
      <c r="AEC164" s="26"/>
      <c r="AED164" s="26"/>
      <c r="AEE164" s="26"/>
      <c r="AEF164" s="26"/>
      <c r="AEG164" s="26"/>
      <c r="AEH164" s="26"/>
      <c r="AEI164" s="26"/>
      <c r="AEJ164" s="26"/>
      <c r="AEK164" s="26"/>
      <c r="AEL164" s="26"/>
      <c r="AEM164" s="26"/>
      <c r="AEN164" s="26"/>
      <c r="AEO164" s="26"/>
      <c r="AEP164" s="26"/>
      <c r="AEQ164" s="26"/>
      <c r="AER164" s="26"/>
      <c r="AES164" s="26"/>
      <c r="AET164" s="26"/>
      <c r="AEU164" s="26"/>
      <c r="AEV164" s="26"/>
      <c r="AEW164" s="26"/>
      <c r="AEX164" s="26"/>
      <c r="AEY164" s="26"/>
      <c r="AEZ164" s="26"/>
      <c r="AFA164" s="26"/>
      <c r="AFB164" s="26"/>
      <c r="AFC164" s="26"/>
      <c r="AFD164" s="26"/>
      <c r="AFE164" s="26"/>
      <c r="AFF164" s="26"/>
      <c r="AFG164" s="26"/>
      <c r="AFH164" s="26"/>
      <c r="AFI164" s="26"/>
      <c r="AFJ164" s="26"/>
      <c r="AFK164" s="26"/>
      <c r="AFL164" s="26"/>
      <c r="AFM164" s="26"/>
      <c r="AFN164" s="26"/>
      <c r="AFO164" s="26"/>
      <c r="AFP164" s="26"/>
      <c r="AFQ164" s="26"/>
      <c r="AFR164" s="26"/>
      <c r="AFS164" s="26"/>
      <c r="AFT164" s="26"/>
      <c r="AFU164" s="26"/>
      <c r="AFV164" s="26"/>
      <c r="AFW164" s="26"/>
      <c r="AFX164" s="26"/>
      <c r="AFY164" s="26"/>
      <c r="AFZ164" s="26"/>
      <c r="AGA164" s="26"/>
      <c r="AGB164" s="26"/>
      <c r="AGC164" s="26"/>
      <c r="AGD164" s="26"/>
      <c r="AGE164" s="26"/>
      <c r="AGF164" s="26"/>
      <c r="AGG164" s="26"/>
      <c r="AGH164" s="26"/>
      <c r="AGI164" s="26"/>
      <c r="AGJ164" s="26"/>
      <c r="AGK164" s="26"/>
      <c r="AGL164" s="26"/>
      <c r="AGM164" s="26"/>
      <c r="AGN164" s="26"/>
      <c r="AGO164" s="26"/>
      <c r="AGP164" s="26"/>
      <c r="AGQ164" s="26"/>
      <c r="AGR164" s="26"/>
      <c r="AGS164" s="26"/>
      <c r="AGT164" s="26"/>
      <c r="AGU164" s="26"/>
      <c r="AGV164" s="26"/>
      <c r="AGW164" s="26"/>
      <c r="AGX164" s="26"/>
      <c r="AGY164" s="26"/>
      <c r="AGZ164" s="26"/>
      <c r="AHA164" s="26"/>
      <c r="AHB164" s="26"/>
      <c r="AHC164" s="26"/>
      <c r="AHD164" s="26"/>
      <c r="AHE164" s="26"/>
      <c r="AHF164" s="26"/>
      <c r="AHG164" s="26"/>
      <c r="AHH164" s="26"/>
      <c r="AHI164" s="26"/>
      <c r="AHJ164" s="26"/>
      <c r="AHK164" s="26"/>
      <c r="AHL164" s="26"/>
      <c r="AHM164" s="26"/>
      <c r="AHN164" s="26"/>
      <c r="AHO164" s="26"/>
      <c r="AHP164" s="26"/>
      <c r="AHQ164" s="26"/>
      <c r="AHR164" s="26"/>
      <c r="AHS164" s="26"/>
      <c r="AHT164" s="26"/>
      <c r="AHU164" s="26"/>
      <c r="AHV164" s="26"/>
      <c r="AHW164" s="26"/>
      <c r="AHX164" s="26"/>
      <c r="AHY164" s="26"/>
      <c r="AHZ164" s="26"/>
      <c r="AIA164" s="26"/>
      <c r="AIB164" s="26"/>
      <c r="AIC164" s="26"/>
      <c r="AID164" s="26"/>
      <c r="AIE164" s="26"/>
      <c r="AIF164" s="26"/>
      <c r="AIG164" s="26"/>
      <c r="AIH164" s="26"/>
      <c r="AII164" s="26"/>
      <c r="AIJ164" s="26"/>
      <c r="AIK164" s="26"/>
      <c r="AIL164" s="26"/>
      <c r="AIM164" s="26"/>
      <c r="AIN164" s="26"/>
      <c r="AIO164" s="26"/>
      <c r="AIP164" s="26"/>
      <c r="AIQ164" s="26"/>
      <c r="AIR164" s="26"/>
      <c r="AIS164" s="26"/>
      <c r="AIT164" s="26"/>
      <c r="AIU164" s="26"/>
      <c r="AIV164" s="26"/>
      <c r="AIW164" s="26"/>
      <c r="AIX164" s="26"/>
      <c r="AIY164" s="26"/>
      <c r="AIZ164" s="26"/>
      <c r="AJA164" s="26"/>
      <c r="AJB164" s="26"/>
      <c r="AJC164" s="26"/>
      <c r="AJD164" s="26"/>
      <c r="AJE164" s="26"/>
      <c r="AJF164" s="26"/>
      <c r="AJG164" s="26"/>
      <c r="AJH164" s="26"/>
      <c r="AJI164" s="26"/>
      <c r="AJJ164" s="26"/>
      <c r="AJK164" s="26"/>
      <c r="AJL164" s="26"/>
      <c r="AJM164" s="26"/>
      <c r="AJN164" s="26"/>
      <c r="AJO164" s="26"/>
      <c r="AJP164" s="26"/>
      <c r="AJQ164" s="26"/>
      <c r="AJR164" s="26"/>
      <c r="AJS164" s="26"/>
      <c r="AJT164" s="26"/>
      <c r="AJU164" s="26"/>
      <c r="AJV164" s="26"/>
      <c r="AJW164" s="26"/>
      <c r="AJX164" s="26"/>
      <c r="AJY164" s="26"/>
      <c r="AJZ164" s="26"/>
      <c r="AKA164" s="26"/>
      <c r="AKB164" s="26"/>
      <c r="AKC164" s="26"/>
      <c r="AKD164" s="26"/>
      <c r="AKE164" s="26"/>
      <c r="AKF164" s="26"/>
      <c r="AKG164" s="26"/>
      <c r="AKH164" s="26"/>
      <c r="AKI164" s="26"/>
      <c r="AKJ164" s="26"/>
      <c r="AKK164" s="26"/>
      <c r="AKL164" s="26"/>
      <c r="AKM164" s="26"/>
      <c r="AKN164" s="26"/>
      <c r="AKO164" s="26"/>
      <c r="AKP164" s="26"/>
      <c r="AKQ164" s="26"/>
      <c r="AKR164" s="26"/>
      <c r="AKS164" s="26"/>
      <c r="AKT164" s="26"/>
      <c r="AKU164" s="26"/>
      <c r="AKV164" s="26"/>
      <c r="AKW164" s="26"/>
      <c r="AKX164" s="26"/>
      <c r="AKY164" s="26"/>
      <c r="AKZ164" s="26"/>
      <c r="ALA164" s="26"/>
      <c r="ALB164" s="26"/>
      <c r="ALC164" s="26"/>
      <c r="ALD164" s="26"/>
      <c r="ALE164" s="26"/>
      <c r="ALF164" s="26"/>
      <c r="ALG164" s="26"/>
      <c r="ALH164" s="26"/>
      <c r="ALI164" s="26"/>
      <c r="ALJ164" s="26"/>
      <c r="ALK164" s="26"/>
      <c r="ALL164" s="26"/>
      <c r="ALM164" s="26"/>
      <c r="ALN164" s="26"/>
      <c r="ALO164" s="26"/>
      <c r="ALP164" s="26"/>
      <c r="ALQ164" s="26"/>
      <c r="ALR164" s="26"/>
      <c r="ALS164" s="26"/>
      <c r="ALT164" s="26"/>
      <c r="ALU164" s="26"/>
      <c r="ALV164" s="26"/>
      <c r="ALW164" s="26"/>
      <c r="ALX164" s="26"/>
      <c r="ALY164" s="26"/>
      <c r="ALZ164" s="26"/>
      <c r="AMA164" s="26"/>
      <c r="AMB164" s="26"/>
      <c r="AMC164" s="26"/>
      <c r="AMD164" s="26"/>
      <c r="AME164" s="26"/>
      <c r="AMF164" s="26"/>
      <c r="AMG164" s="26"/>
      <c r="AMH164" s="26"/>
      <c r="AMI164" s="26"/>
      <c r="AMJ164" s="26"/>
      <c r="AMK164" s="26"/>
      <c r="AML164" s="26"/>
      <c r="AMM164" s="26"/>
      <c r="AMN164" s="26"/>
      <c r="AMO164" s="26"/>
      <c r="AMP164" s="26"/>
      <c r="AMQ164" s="26"/>
      <c r="AMR164" s="26"/>
      <c r="AMS164" s="26"/>
      <c r="AMT164" s="26"/>
      <c r="AMU164" s="26"/>
      <c r="AMV164" s="26"/>
      <c r="AMW164" s="26"/>
      <c r="AMX164" s="26"/>
      <c r="AMY164" s="26"/>
      <c r="AMZ164" s="26"/>
      <c r="ANA164" s="26"/>
      <c r="ANB164" s="26"/>
      <c r="ANC164" s="26"/>
      <c r="AND164" s="26"/>
      <c r="ANE164" s="26"/>
      <c r="ANF164" s="26"/>
      <c r="ANG164" s="26"/>
      <c r="ANH164" s="26"/>
      <c r="ANI164" s="26"/>
      <c r="ANJ164" s="26"/>
      <c r="ANK164" s="26"/>
      <c r="ANL164" s="26"/>
      <c r="ANM164" s="26"/>
      <c r="ANN164" s="26"/>
      <c r="ANO164" s="26"/>
      <c r="ANP164" s="26"/>
      <c r="ANQ164" s="26"/>
      <c r="ANR164" s="26"/>
      <c r="ANS164" s="26"/>
      <c r="ANT164" s="26"/>
      <c r="ANU164" s="26"/>
      <c r="ANV164" s="26"/>
      <c r="ANW164" s="26"/>
      <c r="ANX164" s="26"/>
      <c r="ANY164" s="26"/>
      <c r="ANZ164" s="26"/>
      <c r="AOA164" s="26"/>
      <c r="AOB164" s="26"/>
      <c r="AOC164" s="26"/>
      <c r="AOD164" s="26"/>
      <c r="AOE164" s="26"/>
      <c r="AOF164" s="26"/>
      <c r="AOG164" s="26"/>
      <c r="AOH164" s="26"/>
      <c r="AOI164" s="26"/>
      <c r="AOJ164" s="26"/>
      <c r="AOK164" s="26"/>
      <c r="AOL164" s="26"/>
      <c r="AOM164" s="26"/>
      <c r="AON164" s="26"/>
      <c r="AOO164" s="26"/>
      <c r="AOP164" s="26"/>
      <c r="AOQ164" s="26"/>
      <c r="AOR164" s="26"/>
      <c r="AOS164" s="26"/>
      <c r="AOT164" s="26"/>
      <c r="AOU164" s="26"/>
      <c r="AOV164" s="26"/>
      <c r="AOW164" s="26"/>
      <c r="AOX164" s="26"/>
      <c r="AOY164" s="26"/>
      <c r="AOZ164" s="26"/>
      <c r="APA164" s="26"/>
      <c r="APB164" s="26"/>
      <c r="APC164" s="26"/>
      <c r="APD164" s="26"/>
      <c r="APE164" s="26"/>
      <c r="APF164" s="26"/>
      <c r="APG164" s="26"/>
      <c r="APH164" s="26"/>
      <c r="API164" s="26"/>
      <c r="APJ164" s="26"/>
      <c r="APK164" s="26"/>
      <c r="APL164" s="26"/>
      <c r="APM164" s="26"/>
      <c r="APN164" s="26"/>
      <c r="APO164" s="26"/>
      <c r="APP164" s="26"/>
      <c r="APQ164" s="26"/>
      <c r="APR164" s="26"/>
      <c r="APS164" s="26"/>
      <c r="APT164" s="26"/>
      <c r="APU164" s="26"/>
      <c r="APV164" s="26"/>
      <c r="APW164" s="26"/>
      <c r="APX164" s="26"/>
      <c r="APY164" s="26"/>
      <c r="APZ164" s="26"/>
      <c r="AQA164" s="26"/>
      <c r="AQB164" s="26"/>
      <c r="AQC164" s="26"/>
      <c r="AQD164" s="26"/>
      <c r="AQE164" s="26"/>
      <c r="AQF164" s="26"/>
      <c r="AQG164" s="26"/>
      <c r="AQH164" s="26"/>
      <c r="AQI164" s="26"/>
      <c r="AQJ164" s="26"/>
      <c r="AQK164" s="26"/>
      <c r="AQL164" s="26"/>
      <c r="AQM164" s="26"/>
      <c r="AQN164" s="26"/>
      <c r="AQO164" s="26"/>
      <c r="AQP164" s="26"/>
      <c r="AQQ164" s="26"/>
      <c r="AQR164" s="26"/>
      <c r="AQS164" s="26"/>
      <c r="AQT164" s="26"/>
      <c r="AQU164" s="26"/>
      <c r="AQV164" s="26"/>
      <c r="AQW164" s="26"/>
      <c r="AQX164" s="26"/>
      <c r="AQY164" s="26"/>
      <c r="AQZ164" s="26"/>
      <c r="ARA164" s="26"/>
      <c r="ARB164" s="26"/>
      <c r="ARC164" s="26"/>
      <c r="ARD164" s="26"/>
      <c r="ARE164" s="26"/>
      <c r="ARF164" s="26"/>
      <c r="ARG164" s="26"/>
      <c r="ARH164" s="26"/>
      <c r="ARI164" s="26"/>
      <c r="ARJ164" s="26"/>
      <c r="ARK164" s="26"/>
      <c r="ARL164" s="26"/>
      <c r="ARM164" s="26"/>
      <c r="ARN164" s="26"/>
      <c r="ARO164" s="26"/>
      <c r="ARP164" s="26"/>
      <c r="ARQ164" s="26"/>
      <c r="ARR164" s="26"/>
      <c r="ARS164" s="26"/>
      <c r="ART164" s="26"/>
      <c r="ARU164" s="26"/>
      <c r="ARV164" s="26"/>
      <c r="ARW164" s="26"/>
      <c r="ARX164" s="26"/>
      <c r="ARY164" s="26"/>
      <c r="ARZ164" s="26"/>
      <c r="ASA164" s="26"/>
      <c r="ASB164" s="26"/>
      <c r="ASC164" s="26"/>
      <c r="ASD164" s="26"/>
      <c r="ASE164" s="26"/>
      <c r="ASF164" s="26"/>
      <c r="ASG164" s="26"/>
      <c r="ASH164" s="26"/>
      <c r="ASI164" s="26"/>
      <c r="ASJ164" s="26"/>
      <c r="ASK164" s="26"/>
      <c r="ASL164" s="26"/>
      <c r="ASM164" s="26"/>
      <c r="ASN164" s="26"/>
      <c r="ASO164" s="26"/>
      <c r="ASP164" s="26"/>
      <c r="ASQ164" s="26"/>
      <c r="ASR164" s="26"/>
      <c r="ASS164" s="26"/>
      <c r="AST164" s="26"/>
      <c r="ASU164" s="26"/>
      <c r="ASV164" s="26"/>
      <c r="ASW164" s="26"/>
      <c r="ASX164" s="26"/>
      <c r="ASY164" s="26"/>
      <c r="ASZ164" s="26"/>
      <c r="ATA164" s="26"/>
      <c r="ATB164" s="26"/>
      <c r="ATC164" s="26"/>
      <c r="ATD164" s="26"/>
      <c r="ATE164" s="26"/>
      <c r="ATF164" s="26"/>
      <c r="ATG164" s="26"/>
      <c r="ATH164" s="26"/>
      <c r="ATI164" s="26"/>
      <c r="ATJ164" s="26"/>
      <c r="ATK164" s="26"/>
      <c r="ATL164" s="26"/>
      <c r="ATM164" s="26"/>
      <c r="ATN164" s="26"/>
      <c r="ATO164" s="26"/>
      <c r="ATP164" s="26"/>
      <c r="ATQ164" s="26"/>
      <c r="ATR164" s="26"/>
      <c r="ATS164" s="26"/>
      <c r="ATT164" s="26"/>
      <c r="ATU164" s="26"/>
      <c r="ATV164" s="26"/>
      <c r="ATW164" s="26"/>
      <c r="ATX164" s="26"/>
      <c r="ATY164" s="26"/>
      <c r="ATZ164" s="26"/>
      <c r="AUA164" s="26"/>
      <c r="AUB164" s="26"/>
      <c r="AUC164" s="26"/>
      <c r="AUD164" s="26"/>
      <c r="AUE164" s="26"/>
      <c r="AUF164" s="26"/>
      <c r="AUG164" s="26"/>
      <c r="AUH164" s="26"/>
      <c r="AUI164" s="26"/>
      <c r="AUJ164" s="26"/>
      <c r="AUK164" s="26"/>
      <c r="AUL164" s="26"/>
      <c r="AUM164" s="26"/>
      <c r="AUN164" s="26"/>
      <c r="AUO164" s="26"/>
      <c r="AUP164" s="26"/>
      <c r="AUQ164" s="26"/>
      <c r="AUR164" s="26"/>
      <c r="AUS164" s="26"/>
      <c r="AUT164" s="26"/>
      <c r="AUU164" s="26"/>
      <c r="AUV164" s="26"/>
      <c r="AUW164" s="26"/>
      <c r="AUX164" s="26"/>
      <c r="AUY164" s="26"/>
      <c r="AUZ164" s="26"/>
      <c r="AVA164" s="26"/>
      <c r="AVB164" s="26"/>
      <c r="AVC164" s="26"/>
      <c r="AVD164" s="26"/>
      <c r="AVE164" s="26"/>
      <c r="AVF164" s="26"/>
      <c r="AVG164" s="26"/>
      <c r="AVH164" s="26"/>
      <c r="AVI164" s="26"/>
      <c r="AVJ164" s="26"/>
      <c r="AVK164" s="26"/>
      <c r="AVL164" s="26"/>
      <c r="AVM164" s="26"/>
      <c r="AVN164" s="26"/>
      <c r="AVO164" s="26"/>
      <c r="AVP164" s="26"/>
      <c r="AVQ164" s="26"/>
      <c r="AVR164" s="26"/>
      <c r="AVS164" s="26"/>
      <c r="AVT164" s="26"/>
      <c r="AVU164" s="26"/>
      <c r="AVV164" s="26"/>
      <c r="AVW164" s="26"/>
      <c r="AVX164" s="26"/>
      <c r="AVY164" s="26"/>
      <c r="AVZ164" s="26"/>
      <c r="AWA164" s="26"/>
      <c r="AWB164" s="26"/>
      <c r="AWC164" s="26"/>
      <c r="AWD164" s="26"/>
      <c r="AWE164" s="26"/>
      <c r="AWF164" s="26"/>
      <c r="AWG164" s="26"/>
      <c r="AWH164" s="26"/>
      <c r="AWI164" s="26"/>
      <c r="AWJ164" s="26"/>
      <c r="AWK164" s="26"/>
      <c r="AWL164" s="26"/>
      <c r="AWM164" s="26"/>
      <c r="AWN164" s="26"/>
      <c r="AWO164" s="26"/>
      <c r="AWP164" s="26"/>
      <c r="AWQ164" s="26"/>
      <c r="AWR164" s="26"/>
      <c r="AWS164" s="26"/>
      <c r="AWT164" s="26"/>
      <c r="AWU164" s="26"/>
      <c r="AWV164" s="26"/>
      <c r="AWW164" s="26"/>
      <c r="AWX164" s="26"/>
      <c r="AWY164" s="26"/>
      <c r="AWZ164" s="26"/>
      <c r="AXA164" s="26"/>
      <c r="AXB164" s="26"/>
      <c r="AXC164" s="26"/>
      <c r="AXD164" s="26"/>
      <c r="AXE164" s="26"/>
      <c r="AXF164" s="26"/>
      <c r="AXG164" s="26"/>
      <c r="AXH164" s="26"/>
      <c r="AXI164" s="26"/>
      <c r="AXJ164" s="26"/>
      <c r="AXK164" s="26"/>
      <c r="AXL164" s="26"/>
      <c r="AXM164" s="26"/>
      <c r="AXN164" s="26"/>
      <c r="AXO164" s="26"/>
      <c r="AXP164" s="26"/>
      <c r="AXQ164" s="26"/>
      <c r="AXR164" s="26"/>
      <c r="AXS164" s="26"/>
      <c r="AXT164" s="26"/>
      <c r="AXU164" s="26"/>
      <c r="AXV164" s="26"/>
      <c r="AXW164" s="26"/>
      <c r="AXX164" s="26"/>
      <c r="AXY164" s="26"/>
      <c r="AXZ164" s="26"/>
      <c r="AYA164" s="26"/>
      <c r="AYB164" s="26"/>
      <c r="AYC164" s="26"/>
      <c r="AYD164" s="26"/>
      <c r="AYE164" s="26"/>
      <c r="AYF164" s="26"/>
      <c r="AYG164" s="26"/>
      <c r="AYH164" s="26"/>
      <c r="AYI164" s="26"/>
      <c r="AYJ164" s="26"/>
      <c r="AYK164" s="26"/>
      <c r="AYL164" s="26"/>
      <c r="AYM164" s="26"/>
      <c r="AYN164" s="26"/>
      <c r="AYO164" s="26"/>
      <c r="AYP164" s="26"/>
      <c r="AYQ164" s="26"/>
      <c r="AYR164" s="26"/>
      <c r="AYS164" s="26"/>
      <c r="AYT164" s="26"/>
      <c r="AYU164" s="26"/>
      <c r="AYV164" s="26"/>
      <c r="AYW164" s="26"/>
      <c r="AYX164" s="26"/>
      <c r="AYY164" s="26"/>
      <c r="AYZ164" s="26"/>
      <c r="AZA164" s="26"/>
      <c r="AZB164" s="26"/>
      <c r="AZC164" s="26"/>
      <c r="AZD164" s="26"/>
      <c r="AZE164" s="26"/>
      <c r="AZF164" s="26"/>
      <c r="AZG164" s="26"/>
      <c r="AZH164" s="26"/>
      <c r="AZI164" s="26"/>
      <c r="AZJ164" s="26"/>
      <c r="AZK164" s="26"/>
      <c r="AZL164" s="26"/>
      <c r="AZM164" s="26"/>
      <c r="AZN164" s="26"/>
      <c r="AZO164" s="26"/>
      <c r="AZP164" s="26"/>
      <c r="AZQ164" s="26"/>
      <c r="AZR164" s="26"/>
      <c r="AZS164" s="26"/>
      <c r="AZT164" s="26"/>
      <c r="AZU164" s="26"/>
      <c r="AZV164" s="26"/>
      <c r="AZW164" s="26"/>
      <c r="AZX164" s="26"/>
      <c r="AZY164" s="26"/>
      <c r="AZZ164" s="26"/>
      <c r="BAA164" s="26"/>
      <c r="BAB164" s="26"/>
      <c r="BAC164" s="26"/>
      <c r="BAD164" s="26"/>
      <c r="BAE164" s="26"/>
      <c r="BAF164" s="26"/>
      <c r="BAG164" s="26"/>
      <c r="BAH164" s="26"/>
      <c r="BAI164" s="26"/>
      <c r="BAJ164" s="26"/>
      <c r="BAK164" s="26"/>
      <c r="BAL164" s="26"/>
      <c r="BAM164" s="26"/>
      <c r="BAN164" s="26"/>
      <c r="BAO164" s="26"/>
      <c r="BAP164" s="26"/>
      <c r="BAQ164" s="26"/>
      <c r="BAR164" s="26"/>
      <c r="BAS164" s="26"/>
      <c r="BAT164" s="26"/>
      <c r="BAU164" s="26"/>
      <c r="BAV164" s="26"/>
      <c r="BAW164" s="26"/>
      <c r="BAX164" s="26"/>
      <c r="BAY164" s="26"/>
      <c r="BAZ164" s="26"/>
      <c r="BBA164" s="26"/>
      <c r="BBB164" s="26"/>
      <c r="BBC164" s="26"/>
      <c r="BBD164" s="26"/>
      <c r="BBE164" s="26"/>
      <c r="BBF164" s="26"/>
      <c r="BBG164" s="26"/>
      <c r="BBH164" s="26"/>
      <c r="BBI164" s="26"/>
      <c r="BBJ164" s="26"/>
      <c r="BBK164" s="26"/>
      <c r="BBL164" s="26"/>
      <c r="BBM164" s="26"/>
      <c r="BBN164" s="26"/>
      <c r="BBO164" s="26"/>
      <c r="BBP164" s="26"/>
      <c r="BBQ164" s="26"/>
      <c r="BBR164" s="26"/>
      <c r="BBS164" s="26"/>
      <c r="BBT164" s="26"/>
      <c r="BBU164" s="26"/>
      <c r="BBV164" s="26"/>
      <c r="BBW164" s="26"/>
      <c r="BBX164" s="26"/>
      <c r="BBY164" s="26"/>
      <c r="BBZ164" s="26"/>
      <c r="BCA164" s="26"/>
      <c r="BCB164" s="26"/>
      <c r="BCC164" s="26"/>
      <c r="BCD164" s="26"/>
      <c r="BCE164" s="26"/>
      <c r="BCF164" s="26"/>
      <c r="BCG164" s="26"/>
      <c r="BCH164" s="26"/>
      <c r="BCI164" s="26"/>
      <c r="BCJ164" s="26"/>
      <c r="BCK164" s="26"/>
      <c r="BCL164" s="26"/>
      <c r="BCM164" s="26"/>
      <c r="BCN164" s="26"/>
      <c r="BCO164" s="26"/>
      <c r="BCP164" s="26"/>
      <c r="BCQ164" s="26"/>
      <c r="BCR164" s="26"/>
      <c r="BCS164" s="26"/>
      <c r="BCT164" s="26"/>
      <c r="BCU164" s="26"/>
      <c r="BCV164" s="26"/>
      <c r="BCW164" s="26"/>
      <c r="BCX164" s="26"/>
      <c r="BCY164" s="26"/>
      <c r="BCZ164" s="26"/>
      <c r="BDA164" s="26"/>
      <c r="BDB164" s="26"/>
      <c r="BDC164" s="26"/>
      <c r="BDD164" s="26"/>
      <c r="BDE164" s="26"/>
      <c r="BDF164" s="26"/>
      <c r="BDG164" s="26"/>
      <c r="BDH164" s="26"/>
      <c r="BDI164" s="26"/>
      <c r="BDJ164" s="26"/>
      <c r="BDK164" s="26"/>
      <c r="BDL164" s="26"/>
      <c r="BDM164" s="26"/>
      <c r="BDN164" s="26"/>
      <c r="BDO164" s="26"/>
      <c r="BDP164" s="26"/>
      <c r="BDQ164" s="26"/>
      <c r="BDR164" s="26"/>
      <c r="BDS164" s="26"/>
      <c r="BDT164" s="26"/>
      <c r="BDU164" s="26"/>
      <c r="BDV164" s="26"/>
      <c r="BDW164" s="26"/>
      <c r="BDX164" s="26"/>
      <c r="BDY164" s="26"/>
      <c r="BDZ164" s="26"/>
      <c r="BEA164" s="26"/>
      <c r="BEB164" s="26"/>
      <c r="BEC164" s="26"/>
      <c r="BED164" s="26"/>
      <c r="BEE164" s="26"/>
      <c r="BEF164" s="26"/>
      <c r="BEG164" s="26"/>
      <c r="BEH164" s="26"/>
      <c r="BEI164" s="26"/>
      <c r="BEJ164" s="26"/>
      <c r="BEK164" s="26"/>
      <c r="BEL164" s="26"/>
      <c r="BEM164" s="26"/>
      <c r="BEN164" s="26"/>
      <c r="BEO164" s="26"/>
      <c r="BEP164" s="26"/>
      <c r="BEQ164" s="26"/>
      <c r="BER164" s="26"/>
      <c r="BES164" s="26"/>
      <c r="BET164" s="26"/>
      <c r="BEU164" s="26"/>
      <c r="BEV164" s="26"/>
      <c r="BEW164" s="26"/>
      <c r="BEX164" s="26"/>
      <c r="BEY164" s="26"/>
      <c r="BEZ164" s="26"/>
      <c r="BFA164" s="26"/>
      <c r="BFB164" s="26"/>
      <c r="BFC164" s="26"/>
      <c r="BFD164" s="26"/>
      <c r="BFE164" s="26"/>
      <c r="BFF164" s="26"/>
      <c r="BFG164" s="26"/>
      <c r="BFH164" s="26"/>
      <c r="BFI164" s="26"/>
      <c r="BFJ164" s="26"/>
      <c r="BFK164" s="26"/>
      <c r="BFL164" s="26"/>
      <c r="BFM164" s="26"/>
      <c r="BFN164" s="26"/>
      <c r="BFO164" s="26"/>
      <c r="BFP164" s="26"/>
      <c r="BFQ164" s="26"/>
      <c r="BFR164" s="26"/>
      <c r="BFS164" s="26"/>
      <c r="BFT164" s="26"/>
      <c r="BFU164" s="26"/>
      <c r="BFV164" s="26"/>
      <c r="BFW164" s="26"/>
      <c r="BFX164" s="26"/>
      <c r="BFY164" s="26"/>
      <c r="BFZ164" s="26"/>
      <c r="BGA164" s="26"/>
      <c r="BGB164" s="26"/>
      <c r="BGC164" s="26"/>
      <c r="BGD164" s="26"/>
      <c r="BGE164" s="26"/>
      <c r="BGF164" s="26"/>
      <c r="BGG164" s="26"/>
      <c r="BGH164" s="26"/>
      <c r="BGI164" s="26"/>
      <c r="BGJ164" s="26"/>
      <c r="BGK164" s="26"/>
      <c r="BGL164" s="26"/>
      <c r="BGM164" s="26"/>
      <c r="BGN164" s="26"/>
      <c r="BGO164" s="26"/>
      <c r="BGP164" s="26"/>
      <c r="BGQ164" s="26"/>
      <c r="BGR164" s="26"/>
      <c r="BGS164" s="26"/>
      <c r="BGT164" s="26"/>
      <c r="BGU164" s="26"/>
      <c r="BGV164" s="26"/>
      <c r="BGW164" s="26"/>
      <c r="BGX164" s="26"/>
      <c r="BGY164" s="26"/>
      <c r="BGZ164" s="26"/>
      <c r="BHA164" s="26"/>
      <c r="BHB164" s="26"/>
      <c r="BHC164" s="26"/>
      <c r="BHD164" s="26"/>
      <c r="BHE164" s="26"/>
      <c r="BHF164" s="26"/>
      <c r="BHG164" s="26"/>
      <c r="BHH164" s="26"/>
      <c r="BHI164" s="26"/>
      <c r="BHJ164" s="26"/>
      <c r="BHK164" s="26"/>
      <c r="BHL164" s="26"/>
      <c r="BHM164" s="26"/>
      <c r="BHN164" s="26"/>
      <c r="BHO164" s="26"/>
      <c r="BHP164" s="26"/>
      <c r="BHQ164" s="26"/>
      <c r="BHR164" s="26"/>
      <c r="BHS164" s="26"/>
      <c r="BHT164" s="26"/>
      <c r="BHU164" s="26"/>
      <c r="BHV164" s="26"/>
      <c r="BHW164" s="26"/>
      <c r="BHX164" s="26"/>
      <c r="BHY164" s="26"/>
      <c r="BHZ164" s="26"/>
      <c r="BIA164" s="26"/>
      <c r="BIB164" s="26"/>
      <c r="BIC164" s="26"/>
      <c r="BID164" s="26"/>
      <c r="BIE164" s="26"/>
      <c r="BIF164" s="26"/>
      <c r="BIG164" s="26"/>
      <c r="BIH164" s="26"/>
      <c r="BII164" s="26"/>
      <c r="BIJ164" s="26"/>
      <c r="BIK164" s="26"/>
      <c r="BIL164" s="26"/>
      <c r="BIM164" s="26"/>
      <c r="BIN164" s="26"/>
      <c r="BIO164" s="26"/>
      <c r="BIP164" s="26"/>
      <c r="BIQ164" s="26"/>
      <c r="BIR164" s="26"/>
      <c r="BIS164" s="26"/>
      <c r="BIT164" s="26"/>
      <c r="BIU164" s="26"/>
      <c r="BIV164" s="26"/>
      <c r="BIW164" s="26"/>
      <c r="BIX164" s="26"/>
      <c r="BIY164" s="26"/>
      <c r="BIZ164" s="26"/>
      <c r="BJA164" s="26"/>
      <c r="BJB164" s="26"/>
      <c r="BJC164" s="26"/>
      <c r="BJD164" s="26"/>
      <c r="BJE164" s="26"/>
      <c r="BJF164" s="26"/>
      <c r="BJG164" s="26"/>
      <c r="BJH164" s="26"/>
      <c r="BJI164" s="26"/>
      <c r="BJJ164" s="26"/>
      <c r="BJK164" s="26"/>
      <c r="BJL164" s="26"/>
      <c r="BJM164" s="26"/>
      <c r="BJN164" s="26"/>
      <c r="BJO164" s="26"/>
      <c r="BJP164" s="26"/>
      <c r="BJQ164" s="26"/>
      <c r="BJR164" s="26"/>
      <c r="BJS164" s="26"/>
      <c r="BJT164" s="26"/>
      <c r="BJU164" s="26"/>
      <c r="BJV164" s="26"/>
      <c r="BJW164" s="26"/>
      <c r="BJX164" s="26"/>
      <c r="BJY164" s="26"/>
      <c r="BJZ164" s="26"/>
      <c r="BKA164" s="26"/>
      <c r="BKB164" s="26"/>
      <c r="BKC164" s="26"/>
      <c r="BKD164" s="26"/>
      <c r="BKE164" s="26"/>
      <c r="BKF164" s="26"/>
      <c r="BKG164" s="26"/>
      <c r="BKH164" s="26"/>
      <c r="BKI164" s="26"/>
      <c r="BKJ164" s="26"/>
      <c r="BKK164" s="26"/>
      <c r="BKL164" s="26"/>
      <c r="BKM164" s="26"/>
      <c r="BKN164" s="26"/>
      <c r="BKO164" s="26"/>
      <c r="BKP164" s="26"/>
      <c r="BKQ164" s="26"/>
      <c r="BKR164" s="26"/>
      <c r="BKS164" s="26"/>
      <c r="BKT164" s="26"/>
      <c r="BKU164" s="26"/>
      <c r="BKV164" s="26"/>
      <c r="BKW164" s="26"/>
      <c r="BKX164" s="26"/>
      <c r="BKY164" s="26"/>
      <c r="BKZ164" s="26"/>
      <c r="BLA164" s="26"/>
      <c r="BLB164" s="26"/>
      <c r="BLC164" s="26"/>
      <c r="BLD164" s="26"/>
      <c r="BLE164" s="26"/>
      <c r="BLF164" s="26"/>
      <c r="BLG164" s="26"/>
      <c r="BLH164" s="26"/>
      <c r="BLI164" s="26"/>
      <c r="BLJ164" s="26"/>
      <c r="BLK164" s="26"/>
      <c r="BLL164" s="26"/>
      <c r="BLM164" s="26"/>
      <c r="BLN164" s="26"/>
      <c r="BLO164" s="26"/>
      <c r="BLP164" s="26"/>
      <c r="BLQ164" s="26"/>
      <c r="BLR164" s="26"/>
      <c r="BLS164" s="26"/>
      <c r="BLT164" s="26"/>
      <c r="BLU164" s="26"/>
      <c r="BLV164" s="26"/>
      <c r="BLW164" s="26"/>
      <c r="BLX164" s="26"/>
      <c r="BLY164" s="26"/>
      <c r="BLZ164" s="26"/>
      <c r="BMA164" s="26"/>
      <c r="BMB164" s="26"/>
      <c r="BMC164" s="26"/>
      <c r="BMD164" s="26"/>
      <c r="BME164" s="26"/>
      <c r="BMF164" s="26"/>
      <c r="BMG164" s="26"/>
      <c r="BMH164" s="26"/>
      <c r="BMI164" s="26"/>
      <c r="BMJ164" s="26"/>
      <c r="BMK164" s="26"/>
      <c r="BML164" s="26"/>
      <c r="BMM164" s="26"/>
      <c r="BMN164" s="26"/>
      <c r="BMO164" s="26"/>
      <c r="BMP164" s="26"/>
      <c r="BMQ164" s="26"/>
      <c r="BMR164" s="26"/>
      <c r="BMS164" s="26"/>
      <c r="BMT164" s="26"/>
      <c r="BMU164" s="26"/>
      <c r="BMV164" s="26"/>
      <c r="BMW164" s="26"/>
      <c r="BMX164" s="26"/>
      <c r="BMY164" s="26"/>
      <c r="BMZ164" s="26"/>
      <c r="BNA164" s="26"/>
      <c r="BNB164" s="26"/>
      <c r="BNC164" s="26"/>
      <c r="BND164" s="26"/>
      <c r="BNE164" s="26"/>
      <c r="BNF164" s="26"/>
      <c r="BNG164" s="26"/>
      <c r="BNH164" s="26"/>
      <c r="BNI164" s="26"/>
      <c r="BNJ164" s="26"/>
      <c r="BNK164" s="26"/>
      <c r="BNL164" s="26"/>
      <c r="BNM164" s="26"/>
      <c r="BNN164" s="26"/>
      <c r="BNO164" s="26"/>
      <c r="BNP164" s="26"/>
      <c r="BNQ164" s="26"/>
      <c r="BNR164" s="26"/>
      <c r="BNS164" s="26"/>
      <c r="BNT164" s="26"/>
      <c r="BNU164" s="26"/>
      <c r="BNV164" s="26"/>
      <c r="BNW164" s="26"/>
      <c r="BNX164" s="26"/>
      <c r="BNY164" s="26"/>
      <c r="BNZ164" s="26"/>
      <c r="BOA164" s="26"/>
      <c r="BOB164" s="26"/>
      <c r="BOC164" s="26"/>
      <c r="BOD164" s="26"/>
      <c r="BOE164" s="26"/>
      <c r="BOF164" s="26"/>
      <c r="BOG164" s="26"/>
      <c r="BOH164" s="26"/>
      <c r="BOI164" s="26"/>
      <c r="BOJ164" s="26"/>
      <c r="BOK164" s="26"/>
      <c r="BOL164" s="26"/>
      <c r="BOM164" s="26"/>
      <c r="BON164" s="26"/>
      <c r="BOO164" s="26"/>
      <c r="BOP164" s="26"/>
      <c r="BOQ164" s="26"/>
      <c r="BOR164" s="26"/>
      <c r="BOS164" s="26"/>
      <c r="BOT164" s="26"/>
      <c r="BOU164" s="26"/>
      <c r="BOV164" s="26"/>
      <c r="BOW164" s="26"/>
      <c r="BOX164" s="26"/>
      <c r="BOY164" s="26"/>
      <c r="BOZ164" s="26"/>
      <c r="BPA164" s="26"/>
      <c r="BPB164" s="26"/>
      <c r="BPC164" s="26"/>
      <c r="BPD164" s="26"/>
      <c r="BPE164" s="26"/>
      <c r="BPF164" s="26"/>
      <c r="BPG164" s="26"/>
      <c r="BPH164" s="26"/>
      <c r="BPI164" s="26"/>
      <c r="BPJ164" s="26"/>
      <c r="BPK164" s="26"/>
      <c r="BPL164" s="26"/>
      <c r="BPM164" s="26"/>
      <c r="BPN164" s="26"/>
      <c r="BPO164" s="26"/>
      <c r="BPP164" s="26"/>
      <c r="BPQ164" s="26"/>
      <c r="BPR164" s="26"/>
      <c r="BPS164" s="26"/>
      <c r="BPT164" s="26"/>
      <c r="BPU164" s="26"/>
      <c r="BPV164" s="26"/>
      <c r="BPW164" s="26"/>
      <c r="BPX164" s="26"/>
      <c r="BPY164" s="26"/>
      <c r="BPZ164" s="26"/>
      <c r="BQA164" s="26"/>
      <c r="BQB164" s="26"/>
      <c r="BQC164" s="26"/>
      <c r="BQD164" s="26"/>
      <c r="BQE164" s="26"/>
      <c r="BQF164" s="26"/>
      <c r="BQG164" s="26"/>
      <c r="BQH164" s="26"/>
      <c r="BQI164" s="26"/>
      <c r="BQJ164" s="26"/>
      <c r="BQK164" s="26"/>
      <c r="BQL164" s="26"/>
      <c r="BQM164" s="26"/>
      <c r="BQN164" s="26"/>
      <c r="BQO164" s="26"/>
      <c r="BQP164" s="26"/>
      <c r="BQQ164" s="26"/>
      <c r="BQR164" s="26"/>
      <c r="BQS164" s="26"/>
      <c r="BQT164" s="26"/>
      <c r="BQU164" s="26"/>
      <c r="BQV164" s="26"/>
      <c r="BQW164" s="26"/>
      <c r="BQX164" s="26"/>
      <c r="BQY164" s="26"/>
      <c r="BQZ164" s="26"/>
      <c r="BRA164" s="26"/>
      <c r="BRB164" s="26"/>
      <c r="BRC164" s="26"/>
      <c r="BRD164" s="26"/>
      <c r="BRE164" s="26"/>
      <c r="BRF164" s="26"/>
      <c r="BRG164" s="26"/>
      <c r="BRH164" s="26"/>
      <c r="BRI164" s="26"/>
      <c r="BRJ164" s="26"/>
      <c r="BRK164" s="26"/>
      <c r="BRL164" s="26"/>
      <c r="BRM164" s="26"/>
      <c r="BRN164" s="26"/>
      <c r="BRO164" s="26"/>
      <c r="BRP164" s="26"/>
      <c r="BRQ164" s="26"/>
      <c r="BRR164" s="26"/>
      <c r="BRS164" s="26"/>
      <c r="BRT164" s="26"/>
      <c r="BRU164" s="26"/>
      <c r="BRV164" s="26"/>
      <c r="BRW164" s="26"/>
      <c r="BRX164" s="26"/>
      <c r="BRY164" s="26"/>
      <c r="BRZ164" s="26"/>
      <c r="BSA164" s="26"/>
      <c r="BSB164" s="26"/>
      <c r="BSC164" s="26"/>
      <c r="BSD164" s="26"/>
      <c r="BSE164" s="26"/>
      <c r="BSF164" s="26"/>
      <c r="BSG164" s="26"/>
      <c r="BSH164" s="26"/>
      <c r="BSI164" s="26"/>
      <c r="BSJ164" s="26"/>
      <c r="BSK164" s="26"/>
      <c r="BSL164" s="26"/>
      <c r="BSM164" s="26"/>
      <c r="BSN164" s="26"/>
      <c r="BSO164" s="26"/>
      <c r="BSP164" s="26"/>
      <c r="BSQ164" s="26"/>
      <c r="BSR164" s="26"/>
      <c r="BSS164" s="26"/>
      <c r="BST164" s="26"/>
      <c r="BSU164" s="26"/>
      <c r="BSV164" s="26"/>
      <c r="BSW164" s="26"/>
      <c r="BSX164" s="26"/>
      <c r="BSY164" s="26"/>
      <c r="BSZ164" s="26"/>
      <c r="BTA164" s="26"/>
      <c r="BTB164" s="26"/>
      <c r="BTC164" s="26"/>
      <c r="BTD164" s="26"/>
      <c r="BTE164" s="26"/>
      <c r="BTF164" s="26"/>
      <c r="BTG164" s="26"/>
      <c r="BTH164" s="26"/>
      <c r="BTI164" s="26"/>
      <c r="BTJ164" s="26"/>
      <c r="BTK164" s="26"/>
      <c r="BTL164" s="26"/>
      <c r="BTM164" s="26"/>
      <c r="BTN164" s="26"/>
      <c r="BTO164" s="26"/>
      <c r="BTP164" s="26"/>
      <c r="BTQ164" s="26"/>
      <c r="BTR164" s="26"/>
      <c r="BTS164" s="26"/>
      <c r="BTT164" s="26"/>
      <c r="BTU164" s="26"/>
      <c r="BTV164" s="26"/>
      <c r="BTW164" s="26"/>
      <c r="BTX164" s="26"/>
      <c r="BTY164" s="26"/>
      <c r="BTZ164" s="26"/>
      <c r="BUA164" s="26"/>
      <c r="BUB164" s="26"/>
      <c r="BUC164" s="26"/>
      <c r="BUD164" s="26"/>
      <c r="BUE164" s="26"/>
      <c r="BUF164" s="26"/>
      <c r="BUG164" s="26"/>
      <c r="BUH164" s="26"/>
      <c r="BUI164" s="26"/>
      <c r="BUJ164" s="26"/>
      <c r="BUK164" s="26"/>
      <c r="BUL164" s="26"/>
      <c r="BUM164" s="26"/>
      <c r="BUN164" s="26"/>
      <c r="BUO164" s="26"/>
      <c r="BUP164" s="26"/>
      <c r="BUQ164" s="26"/>
      <c r="BUR164" s="26"/>
      <c r="BUS164" s="26"/>
      <c r="BUT164" s="26"/>
      <c r="BUU164" s="26"/>
      <c r="BUV164" s="26"/>
      <c r="BUW164" s="26"/>
      <c r="BUX164" s="26"/>
      <c r="BUY164" s="26"/>
      <c r="BUZ164" s="26"/>
      <c r="BVA164" s="26"/>
      <c r="BVB164" s="26"/>
      <c r="BVC164" s="26"/>
      <c r="BVD164" s="26"/>
      <c r="BVE164" s="26"/>
      <c r="BVF164" s="26"/>
      <c r="BVG164" s="26"/>
      <c r="BVH164" s="26"/>
      <c r="BVI164" s="26"/>
      <c r="BVJ164" s="26"/>
      <c r="BVK164" s="26"/>
      <c r="BVL164" s="26"/>
      <c r="BVM164" s="26"/>
      <c r="BVN164" s="26"/>
      <c r="BVO164" s="26"/>
      <c r="BVP164" s="26"/>
      <c r="BVQ164" s="26"/>
      <c r="BVR164" s="26"/>
      <c r="BVS164" s="26"/>
      <c r="BVT164" s="26"/>
      <c r="BVU164" s="26"/>
      <c r="BVV164" s="26"/>
      <c r="BVW164" s="26"/>
      <c r="BVX164" s="26"/>
      <c r="BVY164" s="26"/>
      <c r="BVZ164" s="26"/>
      <c r="BWA164" s="26"/>
      <c r="BWB164" s="26"/>
      <c r="BWC164" s="26"/>
      <c r="BWD164" s="26"/>
      <c r="BWE164" s="26"/>
      <c r="BWF164" s="26"/>
      <c r="BWG164" s="26"/>
      <c r="BWH164" s="26"/>
      <c r="BWI164" s="26"/>
      <c r="BWJ164" s="26"/>
      <c r="BWK164" s="26"/>
      <c r="BWL164" s="26"/>
      <c r="BWM164" s="26"/>
      <c r="BWN164" s="26"/>
      <c r="BWO164" s="26"/>
      <c r="BWP164" s="26"/>
      <c r="BWQ164" s="26"/>
      <c r="BWR164" s="26"/>
      <c r="BWS164" s="26"/>
      <c r="BWT164" s="26"/>
      <c r="BWU164" s="26"/>
      <c r="BWV164" s="26"/>
      <c r="BWW164" s="26"/>
      <c r="BWX164" s="26"/>
      <c r="BWY164" s="26"/>
      <c r="BWZ164" s="26"/>
      <c r="BXA164" s="26"/>
      <c r="BXB164" s="26"/>
      <c r="BXC164" s="26"/>
      <c r="BXD164" s="26"/>
      <c r="BXE164" s="26"/>
      <c r="BXF164" s="26"/>
      <c r="BXG164" s="26"/>
      <c r="BXH164" s="26"/>
      <c r="BXI164" s="26"/>
      <c r="BXJ164" s="26"/>
      <c r="BXK164" s="26"/>
      <c r="BXL164" s="26"/>
      <c r="BXM164" s="26"/>
      <c r="BXN164" s="26"/>
      <c r="BXO164" s="26"/>
      <c r="BXP164" s="26"/>
      <c r="BXQ164" s="26"/>
      <c r="BXR164" s="26"/>
      <c r="BXS164" s="26"/>
      <c r="BXT164" s="26"/>
      <c r="BXU164" s="26"/>
      <c r="BXV164" s="26"/>
      <c r="BXW164" s="26"/>
      <c r="BXX164" s="26"/>
      <c r="BXY164" s="26"/>
      <c r="BXZ164" s="26"/>
      <c r="BYA164" s="26"/>
      <c r="BYB164" s="26"/>
      <c r="BYC164" s="26"/>
      <c r="BYD164" s="26"/>
      <c r="BYE164" s="26"/>
      <c r="BYF164" s="26"/>
      <c r="BYG164" s="26"/>
      <c r="BYH164" s="26"/>
      <c r="BYI164" s="26"/>
      <c r="BYJ164" s="26"/>
      <c r="BYK164" s="26"/>
      <c r="BYL164" s="26"/>
      <c r="BYM164" s="26"/>
      <c r="BYN164" s="26"/>
      <c r="BYO164" s="26"/>
      <c r="BYP164" s="26"/>
      <c r="BYQ164" s="26"/>
      <c r="BYR164" s="26"/>
      <c r="BYS164" s="26"/>
      <c r="BYT164" s="26"/>
      <c r="BYU164" s="26"/>
      <c r="BYV164" s="26"/>
      <c r="BYW164" s="26"/>
      <c r="BYX164" s="26"/>
      <c r="BYY164" s="26"/>
      <c r="BYZ164" s="26"/>
      <c r="BZA164" s="26"/>
      <c r="BZB164" s="26"/>
      <c r="BZC164" s="26"/>
      <c r="BZD164" s="26"/>
      <c r="BZE164" s="26"/>
      <c r="BZF164" s="26"/>
      <c r="BZG164" s="26"/>
      <c r="BZH164" s="26"/>
      <c r="BZI164" s="26"/>
      <c r="BZJ164" s="26"/>
      <c r="BZK164" s="26"/>
      <c r="BZL164" s="26"/>
      <c r="BZM164" s="26"/>
      <c r="BZN164" s="26"/>
      <c r="BZO164" s="26"/>
      <c r="BZP164" s="26"/>
      <c r="BZQ164" s="26"/>
      <c r="BZR164" s="26"/>
      <c r="BZS164" s="26"/>
      <c r="BZT164" s="26"/>
      <c r="BZU164" s="26"/>
      <c r="BZV164" s="26"/>
      <c r="BZW164" s="26"/>
      <c r="BZX164" s="26"/>
      <c r="BZY164" s="26"/>
      <c r="BZZ164" s="26"/>
      <c r="CAA164" s="26"/>
      <c r="CAB164" s="26"/>
      <c r="CAC164" s="26"/>
      <c r="CAD164" s="26"/>
      <c r="CAE164" s="26"/>
      <c r="CAF164" s="26"/>
      <c r="CAG164" s="26"/>
      <c r="CAH164" s="26"/>
      <c r="CAI164" s="26"/>
      <c r="CAJ164" s="26"/>
      <c r="CAK164" s="26"/>
      <c r="CAL164" s="26"/>
      <c r="CAM164" s="26"/>
      <c r="CAN164" s="26"/>
      <c r="CAO164" s="26"/>
      <c r="CAP164" s="26"/>
      <c r="CAQ164" s="26"/>
      <c r="CAR164" s="26"/>
      <c r="CAS164" s="26"/>
      <c r="CAT164" s="26"/>
      <c r="CAU164" s="26"/>
      <c r="CAV164" s="26"/>
      <c r="CAW164" s="26"/>
      <c r="CAX164" s="26"/>
      <c r="CAY164" s="26"/>
      <c r="CAZ164" s="26"/>
      <c r="CBA164" s="26"/>
      <c r="CBB164" s="26"/>
      <c r="CBC164" s="26"/>
      <c r="CBD164" s="26"/>
      <c r="CBE164" s="26"/>
      <c r="CBF164" s="26"/>
      <c r="CBG164" s="26"/>
      <c r="CBH164" s="26"/>
      <c r="CBI164" s="26"/>
    </row>
    <row r="165" spans="1:2089" s="41" customFormat="1" ht="14" customHeight="1">
      <c r="A165" s="27">
        <v>164</v>
      </c>
      <c r="B165" s="27" t="s">
        <v>358</v>
      </c>
      <c r="C165" s="28">
        <v>2007</v>
      </c>
      <c r="D165" s="26" t="s">
        <v>31</v>
      </c>
      <c r="E165" s="26" t="s">
        <v>566</v>
      </c>
      <c r="F165" s="2" t="s">
        <v>175</v>
      </c>
      <c r="G165" s="2" t="s">
        <v>108</v>
      </c>
      <c r="H165" s="2" t="s">
        <v>24</v>
      </c>
      <c r="I165" s="2" t="s">
        <v>175</v>
      </c>
      <c r="J165" s="2" t="s">
        <v>604</v>
      </c>
      <c r="K165" s="2" t="s">
        <v>175</v>
      </c>
      <c r="L165" s="2" t="s">
        <v>175</v>
      </c>
      <c r="M165" s="81" t="s">
        <v>175</v>
      </c>
      <c r="N165" s="2" t="s">
        <v>60</v>
      </c>
      <c r="O165" s="2" t="s">
        <v>60</v>
      </c>
      <c r="P165" s="81" t="s">
        <v>624</v>
      </c>
      <c r="Q165" s="2" t="s">
        <v>42</v>
      </c>
      <c r="R165" s="102" t="s">
        <v>614</v>
      </c>
      <c r="S165" s="91">
        <v>0.14000000000000001</v>
      </c>
      <c r="T165" s="69">
        <v>285</v>
      </c>
      <c r="U165" s="2">
        <v>1</v>
      </c>
      <c r="V165" s="67">
        <v>0</v>
      </c>
      <c r="W165" s="67">
        <v>1</v>
      </c>
      <c r="X165" s="67">
        <v>1</v>
      </c>
      <c r="Y165" s="67">
        <v>1</v>
      </c>
      <c r="Z165" s="67">
        <v>1</v>
      </c>
      <c r="AA165" s="67">
        <v>0</v>
      </c>
      <c r="AB165" s="67">
        <v>0</v>
      </c>
      <c r="AC165" s="33" t="s">
        <v>70</v>
      </c>
      <c r="AD165" s="33" t="s">
        <v>70</v>
      </c>
      <c r="AE165" s="33" t="s">
        <v>70</v>
      </c>
      <c r="AF165" s="33" t="s">
        <v>70</v>
      </c>
      <c r="AG165" s="33" t="s">
        <v>70</v>
      </c>
      <c r="AH165" s="33" t="s">
        <v>70</v>
      </c>
      <c r="AI165" s="33" t="s">
        <v>70</v>
      </c>
      <c r="AJ165" s="33" t="s">
        <v>70</v>
      </c>
      <c r="AK165" s="33" t="s">
        <v>70</v>
      </c>
      <c r="AL165" s="33" t="s">
        <v>70</v>
      </c>
      <c r="AM165" s="61" t="s">
        <v>175</v>
      </c>
      <c r="AN165" s="26" t="s">
        <v>274</v>
      </c>
      <c r="AO165" s="26" t="s">
        <v>548</v>
      </c>
      <c r="AP165" s="26" t="s">
        <v>548</v>
      </c>
      <c r="AQ165" s="26" t="s">
        <v>175</v>
      </c>
      <c r="AR165" s="26" t="s">
        <v>548</v>
      </c>
      <c r="AS165" s="67" t="s">
        <v>175</v>
      </c>
      <c r="AT165" s="26" t="s">
        <v>70</v>
      </c>
      <c r="AU165" s="26" t="s">
        <v>70</v>
      </c>
      <c r="AV165" s="26">
        <v>11</v>
      </c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26"/>
      <c r="HG165" s="26"/>
      <c r="HH165" s="26"/>
      <c r="HI165" s="26"/>
      <c r="HJ165" s="26"/>
      <c r="HK165" s="26"/>
      <c r="HL165" s="26"/>
      <c r="HM165" s="26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6"/>
      <c r="HY165" s="26"/>
      <c r="HZ165" s="26"/>
      <c r="IA165" s="26"/>
      <c r="IB165" s="26"/>
      <c r="IC165" s="26"/>
      <c r="ID165" s="26"/>
      <c r="IE165" s="26"/>
      <c r="IF165" s="26"/>
      <c r="IG165" s="26"/>
      <c r="IH165" s="26"/>
      <c r="II165" s="26"/>
      <c r="IJ165" s="26"/>
      <c r="IK165" s="26"/>
      <c r="IL165" s="26"/>
      <c r="IM165" s="26"/>
      <c r="IN165" s="26"/>
      <c r="IO165" s="26"/>
      <c r="IP165" s="26"/>
      <c r="IQ165" s="26"/>
      <c r="IR165" s="26"/>
      <c r="IS165" s="26"/>
      <c r="IT165" s="26"/>
      <c r="IU165" s="26"/>
      <c r="IV165" s="26"/>
      <c r="IW165" s="26"/>
      <c r="IX165" s="26"/>
      <c r="IY165" s="26"/>
      <c r="IZ165" s="26"/>
      <c r="JA165" s="26"/>
      <c r="JB165" s="26"/>
      <c r="JC165" s="26"/>
      <c r="JD165" s="26"/>
      <c r="JE165" s="26"/>
      <c r="JF165" s="26"/>
      <c r="JG165" s="26"/>
      <c r="JH165" s="26"/>
      <c r="JI165" s="26"/>
      <c r="JJ165" s="26"/>
      <c r="JK165" s="26"/>
      <c r="JL165" s="26"/>
      <c r="JM165" s="26"/>
      <c r="JN165" s="26"/>
      <c r="JO165" s="26"/>
      <c r="JP165" s="26"/>
      <c r="JQ165" s="26"/>
      <c r="JR165" s="26"/>
      <c r="JS165" s="26"/>
      <c r="JT165" s="26"/>
      <c r="JU165" s="26"/>
      <c r="JV165" s="26"/>
      <c r="JW165" s="26"/>
      <c r="JX165" s="26"/>
      <c r="JY165" s="26"/>
      <c r="JZ165" s="26"/>
      <c r="KA165" s="26"/>
      <c r="KB165" s="26"/>
      <c r="KC165" s="26"/>
      <c r="KD165" s="26"/>
      <c r="KE165" s="26"/>
      <c r="KF165" s="26"/>
      <c r="KG165" s="26"/>
      <c r="KH165" s="26"/>
      <c r="KI165" s="26"/>
      <c r="KJ165" s="26"/>
      <c r="KK165" s="26"/>
      <c r="KL165" s="26"/>
      <c r="KM165" s="26"/>
      <c r="KN165" s="26"/>
      <c r="KO165" s="26"/>
      <c r="KP165" s="26"/>
      <c r="KQ165" s="26"/>
      <c r="KR165" s="26"/>
      <c r="KS165" s="26"/>
      <c r="KT165" s="26"/>
      <c r="KU165" s="26"/>
      <c r="KV165" s="26"/>
      <c r="KW165" s="26"/>
      <c r="KX165" s="26"/>
      <c r="KY165" s="26"/>
      <c r="KZ165" s="26"/>
      <c r="LA165" s="26"/>
      <c r="LB165" s="26"/>
      <c r="LC165" s="26"/>
      <c r="LD165" s="26"/>
      <c r="LE165" s="26"/>
      <c r="LF165" s="26"/>
      <c r="LG165" s="26"/>
      <c r="LH165" s="26"/>
      <c r="LI165" s="26"/>
      <c r="LJ165" s="26"/>
      <c r="LK165" s="26"/>
      <c r="LL165" s="26"/>
      <c r="LM165" s="26"/>
      <c r="LN165" s="26"/>
      <c r="LO165" s="26"/>
      <c r="LP165" s="26"/>
      <c r="LQ165" s="26"/>
      <c r="LR165" s="26"/>
      <c r="LS165" s="26"/>
      <c r="LT165" s="26"/>
      <c r="LU165" s="26"/>
      <c r="LV165" s="26"/>
      <c r="LW165" s="26"/>
      <c r="LX165" s="26"/>
      <c r="LY165" s="26"/>
      <c r="LZ165" s="26"/>
      <c r="MA165" s="26"/>
      <c r="MB165" s="26"/>
      <c r="MC165" s="26"/>
      <c r="MD165" s="26"/>
      <c r="ME165" s="26"/>
      <c r="MF165" s="26"/>
      <c r="MG165" s="26"/>
      <c r="MH165" s="26"/>
      <c r="MI165" s="26"/>
      <c r="MJ165" s="26"/>
      <c r="MK165" s="26"/>
      <c r="ML165" s="26"/>
      <c r="MM165" s="26"/>
      <c r="MN165" s="26"/>
      <c r="MO165" s="26"/>
      <c r="MP165" s="26"/>
      <c r="MQ165" s="26"/>
      <c r="MR165" s="26"/>
      <c r="MS165" s="26"/>
      <c r="MT165" s="26"/>
      <c r="MU165" s="26"/>
      <c r="MV165" s="26"/>
      <c r="MW165" s="26"/>
      <c r="MX165" s="26"/>
      <c r="MY165" s="26"/>
      <c r="MZ165" s="26"/>
      <c r="NA165" s="26"/>
      <c r="NB165" s="26"/>
      <c r="NC165" s="26"/>
      <c r="ND165" s="26"/>
      <c r="NE165" s="26"/>
      <c r="NF165" s="26"/>
      <c r="NG165" s="26"/>
      <c r="NH165" s="26"/>
      <c r="NI165" s="26"/>
      <c r="NJ165" s="26"/>
      <c r="NK165" s="26"/>
      <c r="NL165" s="26"/>
      <c r="NM165" s="26"/>
      <c r="NN165" s="26"/>
      <c r="NO165" s="26"/>
      <c r="NP165" s="26"/>
      <c r="NQ165" s="26"/>
      <c r="NR165" s="26"/>
      <c r="NS165" s="26"/>
      <c r="NT165" s="26"/>
      <c r="NU165" s="26"/>
      <c r="NV165" s="26"/>
      <c r="NW165" s="26"/>
      <c r="NX165" s="26"/>
      <c r="NY165" s="26"/>
      <c r="NZ165" s="26"/>
      <c r="OA165" s="26"/>
      <c r="OB165" s="26"/>
      <c r="OC165" s="26"/>
      <c r="OD165" s="26"/>
      <c r="OE165" s="26"/>
      <c r="OF165" s="26"/>
      <c r="OG165" s="26"/>
      <c r="OH165" s="26"/>
      <c r="OI165" s="26"/>
      <c r="OJ165" s="26"/>
      <c r="OK165" s="26"/>
      <c r="OL165" s="26"/>
      <c r="OM165" s="26"/>
      <c r="ON165" s="26"/>
      <c r="OO165" s="26"/>
      <c r="OP165" s="26"/>
      <c r="OQ165" s="26"/>
      <c r="OR165" s="26"/>
      <c r="OS165" s="26"/>
      <c r="OT165" s="26"/>
      <c r="OU165" s="26"/>
      <c r="OV165" s="26"/>
      <c r="OW165" s="26"/>
      <c r="OX165" s="26"/>
      <c r="OY165" s="26"/>
      <c r="OZ165" s="26"/>
      <c r="PA165" s="26"/>
      <c r="PB165" s="26"/>
      <c r="PC165" s="26"/>
      <c r="PD165" s="26"/>
      <c r="PE165" s="26"/>
      <c r="PF165" s="26"/>
      <c r="PG165" s="26"/>
      <c r="PH165" s="26"/>
      <c r="PI165" s="26"/>
      <c r="PJ165" s="26"/>
      <c r="PK165" s="26"/>
      <c r="PL165" s="26"/>
      <c r="PM165" s="26"/>
      <c r="PN165" s="26"/>
      <c r="PO165" s="26"/>
      <c r="PP165" s="26"/>
      <c r="PQ165" s="26"/>
      <c r="PR165" s="26"/>
      <c r="PS165" s="26"/>
      <c r="PT165" s="26"/>
      <c r="PU165" s="26"/>
      <c r="PV165" s="26"/>
      <c r="PW165" s="26"/>
      <c r="PX165" s="26"/>
      <c r="PY165" s="26"/>
      <c r="PZ165" s="26"/>
      <c r="QA165" s="26"/>
      <c r="QB165" s="26"/>
      <c r="QC165" s="26"/>
      <c r="QD165" s="26"/>
      <c r="QE165" s="26"/>
      <c r="QF165" s="26"/>
      <c r="QG165" s="26"/>
      <c r="QH165" s="26"/>
      <c r="QI165" s="26"/>
      <c r="QJ165" s="26"/>
      <c r="QK165" s="26"/>
      <c r="QL165" s="26"/>
      <c r="QM165" s="26"/>
      <c r="QN165" s="26"/>
      <c r="QO165" s="26"/>
      <c r="QP165" s="26"/>
      <c r="QQ165" s="26"/>
      <c r="QR165" s="26"/>
      <c r="QS165" s="26"/>
      <c r="QT165" s="26"/>
      <c r="QU165" s="26"/>
      <c r="QV165" s="26"/>
      <c r="QW165" s="26"/>
      <c r="QX165" s="26"/>
      <c r="QY165" s="26"/>
      <c r="QZ165" s="26"/>
      <c r="RA165" s="26"/>
      <c r="RB165" s="26"/>
      <c r="RC165" s="26"/>
      <c r="RD165" s="26"/>
      <c r="RE165" s="26"/>
      <c r="RF165" s="26"/>
      <c r="RG165" s="26"/>
      <c r="RH165" s="26"/>
      <c r="RI165" s="26"/>
      <c r="RJ165" s="26"/>
      <c r="RK165" s="26"/>
      <c r="RL165" s="26"/>
      <c r="RM165" s="26"/>
      <c r="RN165" s="26"/>
      <c r="RO165" s="26"/>
      <c r="RP165" s="26"/>
      <c r="RQ165" s="26"/>
      <c r="RR165" s="26"/>
      <c r="RS165" s="26"/>
      <c r="RT165" s="26"/>
      <c r="RU165" s="26"/>
      <c r="RV165" s="26"/>
      <c r="RW165" s="26"/>
      <c r="RX165" s="26"/>
      <c r="RY165" s="26"/>
      <c r="RZ165" s="26"/>
      <c r="SA165" s="26"/>
      <c r="SB165" s="26"/>
      <c r="SC165" s="26"/>
      <c r="SD165" s="26"/>
      <c r="SE165" s="26"/>
      <c r="SF165" s="26"/>
      <c r="SG165" s="26"/>
      <c r="SH165" s="26"/>
      <c r="SI165" s="26"/>
      <c r="SJ165" s="26"/>
      <c r="SK165" s="26"/>
      <c r="SL165" s="26"/>
      <c r="SM165" s="26"/>
      <c r="SN165" s="26"/>
      <c r="SO165" s="26"/>
      <c r="SP165" s="26"/>
      <c r="SQ165" s="26"/>
      <c r="SR165" s="26"/>
      <c r="SS165" s="26"/>
      <c r="ST165" s="26"/>
      <c r="SU165" s="26"/>
      <c r="SV165" s="26"/>
      <c r="SW165" s="26"/>
      <c r="SX165" s="26"/>
      <c r="SY165" s="26"/>
      <c r="SZ165" s="26"/>
      <c r="TA165" s="26"/>
      <c r="TB165" s="26"/>
      <c r="TC165" s="26"/>
      <c r="TD165" s="26"/>
      <c r="TE165" s="26"/>
      <c r="TF165" s="26"/>
      <c r="TG165" s="26"/>
      <c r="TH165" s="26"/>
      <c r="TI165" s="26"/>
      <c r="TJ165" s="26"/>
      <c r="TK165" s="26"/>
      <c r="TL165" s="26"/>
      <c r="TM165" s="26"/>
      <c r="TN165" s="26"/>
      <c r="TO165" s="26"/>
      <c r="TP165" s="26"/>
      <c r="TQ165" s="26"/>
      <c r="TR165" s="26"/>
      <c r="TS165" s="26"/>
      <c r="TT165" s="26"/>
      <c r="TU165" s="26"/>
      <c r="TV165" s="26"/>
      <c r="TW165" s="26"/>
      <c r="TX165" s="26"/>
      <c r="TY165" s="26"/>
      <c r="TZ165" s="26"/>
      <c r="UA165" s="26"/>
      <c r="UB165" s="26"/>
      <c r="UC165" s="26"/>
      <c r="UD165" s="26"/>
      <c r="UE165" s="26"/>
      <c r="UF165" s="26"/>
      <c r="UG165" s="26"/>
      <c r="UH165" s="26"/>
      <c r="UI165" s="26"/>
      <c r="UJ165" s="26"/>
      <c r="UK165" s="26"/>
      <c r="UL165" s="26"/>
      <c r="UM165" s="26"/>
      <c r="UN165" s="26"/>
      <c r="UO165" s="26"/>
      <c r="UP165" s="26"/>
      <c r="UQ165" s="26"/>
      <c r="UR165" s="26"/>
      <c r="US165" s="26"/>
      <c r="UT165" s="26"/>
      <c r="UU165" s="26"/>
      <c r="UV165" s="26"/>
      <c r="UW165" s="26"/>
      <c r="UX165" s="26"/>
      <c r="UY165" s="26"/>
      <c r="UZ165" s="26"/>
      <c r="VA165" s="26"/>
      <c r="VB165" s="26"/>
      <c r="VC165" s="26"/>
      <c r="VD165" s="26"/>
      <c r="VE165" s="26"/>
      <c r="VF165" s="26"/>
      <c r="VG165" s="26"/>
      <c r="VH165" s="26"/>
      <c r="VI165" s="26"/>
      <c r="VJ165" s="26"/>
      <c r="VK165" s="26"/>
      <c r="VL165" s="26"/>
      <c r="VM165" s="26"/>
      <c r="VN165" s="26"/>
      <c r="VO165" s="26"/>
      <c r="VP165" s="26"/>
      <c r="VQ165" s="26"/>
      <c r="VR165" s="26"/>
      <c r="VS165" s="26"/>
      <c r="VT165" s="26"/>
      <c r="VU165" s="26"/>
      <c r="VV165" s="26"/>
      <c r="VW165" s="26"/>
      <c r="VX165" s="26"/>
      <c r="VY165" s="26"/>
      <c r="VZ165" s="26"/>
      <c r="WA165" s="26"/>
      <c r="WB165" s="26"/>
      <c r="WC165" s="26"/>
      <c r="WD165" s="26"/>
      <c r="WE165" s="26"/>
      <c r="WF165" s="26"/>
      <c r="WG165" s="26"/>
      <c r="WH165" s="26"/>
      <c r="WI165" s="26"/>
      <c r="WJ165" s="26"/>
      <c r="WK165" s="26"/>
      <c r="WL165" s="26"/>
      <c r="WM165" s="26"/>
      <c r="WN165" s="26"/>
      <c r="WO165" s="26"/>
      <c r="WP165" s="26"/>
      <c r="WQ165" s="26"/>
      <c r="WR165" s="26"/>
      <c r="WS165" s="26"/>
      <c r="WT165" s="26"/>
      <c r="WU165" s="26"/>
      <c r="WV165" s="26"/>
      <c r="WW165" s="26"/>
      <c r="WX165" s="26"/>
      <c r="WY165" s="26"/>
      <c r="WZ165" s="26"/>
      <c r="XA165" s="26"/>
      <c r="XB165" s="26"/>
      <c r="XC165" s="26"/>
      <c r="XD165" s="26"/>
      <c r="XE165" s="26"/>
      <c r="XF165" s="26"/>
      <c r="XG165" s="26"/>
      <c r="XH165" s="26"/>
      <c r="XI165" s="26"/>
      <c r="XJ165" s="26"/>
      <c r="XK165" s="26"/>
      <c r="XL165" s="26"/>
      <c r="XM165" s="26"/>
      <c r="XN165" s="26"/>
      <c r="XO165" s="26"/>
      <c r="XP165" s="26"/>
      <c r="XQ165" s="26"/>
      <c r="XR165" s="26"/>
      <c r="XS165" s="26"/>
      <c r="XT165" s="26"/>
      <c r="XU165" s="26"/>
      <c r="XV165" s="26"/>
      <c r="XW165" s="26"/>
      <c r="XX165" s="26"/>
      <c r="XY165" s="26"/>
      <c r="XZ165" s="26"/>
      <c r="YA165" s="26"/>
      <c r="YB165" s="26"/>
      <c r="YC165" s="26"/>
      <c r="YD165" s="26"/>
      <c r="YE165" s="26"/>
      <c r="YF165" s="26"/>
      <c r="YG165" s="26"/>
      <c r="YH165" s="26"/>
      <c r="YI165" s="26"/>
      <c r="YJ165" s="26"/>
      <c r="YK165" s="26"/>
      <c r="YL165" s="26"/>
      <c r="YM165" s="26"/>
      <c r="YN165" s="26"/>
      <c r="YO165" s="26"/>
      <c r="YP165" s="26"/>
      <c r="YQ165" s="26"/>
      <c r="YR165" s="26"/>
      <c r="YS165" s="26"/>
      <c r="YT165" s="26"/>
      <c r="YU165" s="26"/>
      <c r="YV165" s="26"/>
      <c r="YW165" s="26"/>
      <c r="YX165" s="26"/>
      <c r="YY165" s="26"/>
      <c r="YZ165" s="26"/>
      <c r="ZA165" s="26"/>
      <c r="ZB165" s="26"/>
      <c r="ZC165" s="26"/>
      <c r="ZD165" s="26"/>
      <c r="ZE165" s="26"/>
      <c r="ZF165" s="26"/>
      <c r="ZG165" s="26"/>
      <c r="ZH165" s="26"/>
      <c r="ZI165" s="26"/>
      <c r="ZJ165" s="26"/>
      <c r="ZK165" s="26"/>
      <c r="ZL165" s="26"/>
      <c r="ZM165" s="26"/>
      <c r="ZN165" s="26"/>
      <c r="ZO165" s="26"/>
      <c r="ZP165" s="26"/>
      <c r="ZQ165" s="26"/>
      <c r="ZR165" s="26"/>
      <c r="ZS165" s="26"/>
      <c r="ZT165" s="26"/>
      <c r="ZU165" s="26"/>
      <c r="ZV165" s="26"/>
      <c r="ZW165" s="26"/>
      <c r="ZX165" s="26"/>
      <c r="ZY165" s="26"/>
      <c r="ZZ165" s="26"/>
      <c r="AAA165" s="26"/>
      <c r="AAB165" s="26"/>
      <c r="AAC165" s="26"/>
      <c r="AAD165" s="26"/>
      <c r="AAE165" s="26"/>
      <c r="AAF165" s="26"/>
      <c r="AAG165" s="26"/>
      <c r="AAH165" s="26"/>
      <c r="AAI165" s="26"/>
      <c r="AAJ165" s="26"/>
      <c r="AAK165" s="26"/>
      <c r="AAL165" s="26"/>
      <c r="AAM165" s="26"/>
      <c r="AAN165" s="26"/>
      <c r="AAO165" s="26"/>
      <c r="AAP165" s="26"/>
      <c r="AAQ165" s="26"/>
      <c r="AAR165" s="26"/>
      <c r="AAS165" s="26"/>
      <c r="AAT165" s="26"/>
      <c r="AAU165" s="26"/>
      <c r="AAV165" s="26"/>
      <c r="AAW165" s="26"/>
      <c r="AAX165" s="26"/>
      <c r="AAY165" s="26"/>
      <c r="AAZ165" s="26"/>
      <c r="ABA165" s="26"/>
      <c r="ABB165" s="26"/>
      <c r="ABC165" s="26"/>
      <c r="ABD165" s="26"/>
      <c r="ABE165" s="26"/>
      <c r="ABF165" s="26"/>
      <c r="ABG165" s="26"/>
      <c r="ABH165" s="26"/>
      <c r="ABI165" s="26"/>
      <c r="ABJ165" s="26"/>
      <c r="ABK165" s="26"/>
      <c r="ABL165" s="26"/>
      <c r="ABM165" s="26"/>
      <c r="ABN165" s="26"/>
      <c r="ABO165" s="26"/>
      <c r="ABP165" s="26"/>
      <c r="ABQ165" s="26"/>
      <c r="ABR165" s="26"/>
      <c r="ABS165" s="26"/>
      <c r="ABT165" s="26"/>
      <c r="ABU165" s="26"/>
      <c r="ABV165" s="26"/>
      <c r="ABW165" s="26"/>
      <c r="ABX165" s="26"/>
      <c r="ABY165" s="26"/>
      <c r="ABZ165" s="26"/>
      <c r="ACA165" s="26"/>
      <c r="ACB165" s="26"/>
      <c r="ACC165" s="26"/>
      <c r="ACD165" s="26"/>
      <c r="ACE165" s="26"/>
      <c r="ACF165" s="26"/>
      <c r="ACG165" s="26"/>
      <c r="ACH165" s="26"/>
      <c r="ACI165" s="26"/>
      <c r="ACJ165" s="26"/>
      <c r="ACK165" s="26"/>
      <c r="ACL165" s="26"/>
      <c r="ACM165" s="26"/>
      <c r="ACN165" s="26"/>
      <c r="ACO165" s="26"/>
      <c r="ACP165" s="26"/>
      <c r="ACQ165" s="26"/>
      <c r="ACR165" s="26"/>
      <c r="ACS165" s="26"/>
      <c r="ACT165" s="26"/>
      <c r="ACU165" s="26"/>
      <c r="ACV165" s="26"/>
      <c r="ACW165" s="26"/>
      <c r="ACX165" s="26"/>
      <c r="ACY165" s="26"/>
      <c r="ACZ165" s="26"/>
      <c r="ADA165" s="26"/>
      <c r="ADB165" s="26"/>
      <c r="ADC165" s="26"/>
      <c r="ADD165" s="26"/>
      <c r="ADE165" s="26"/>
      <c r="ADF165" s="26"/>
      <c r="ADG165" s="26"/>
      <c r="ADH165" s="26"/>
      <c r="ADI165" s="26"/>
      <c r="ADJ165" s="26"/>
      <c r="ADK165" s="26"/>
      <c r="ADL165" s="26"/>
      <c r="ADM165" s="26"/>
      <c r="ADN165" s="26"/>
      <c r="ADO165" s="26"/>
      <c r="ADP165" s="26"/>
      <c r="ADQ165" s="26"/>
      <c r="ADR165" s="26"/>
      <c r="ADS165" s="26"/>
      <c r="ADT165" s="26"/>
      <c r="ADU165" s="26"/>
      <c r="ADV165" s="26"/>
      <c r="ADW165" s="26"/>
      <c r="ADX165" s="26"/>
      <c r="ADY165" s="26"/>
      <c r="ADZ165" s="26"/>
      <c r="AEA165" s="26"/>
      <c r="AEB165" s="26"/>
      <c r="AEC165" s="26"/>
      <c r="AED165" s="26"/>
      <c r="AEE165" s="26"/>
      <c r="AEF165" s="26"/>
      <c r="AEG165" s="26"/>
      <c r="AEH165" s="26"/>
      <c r="AEI165" s="26"/>
      <c r="AEJ165" s="26"/>
      <c r="AEK165" s="26"/>
      <c r="AEL165" s="26"/>
      <c r="AEM165" s="26"/>
      <c r="AEN165" s="26"/>
      <c r="AEO165" s="26"/>
      <c r="AEP165" s="26"/>
      <c r="AEQ165" s="26"/>
      <c r="AER165" s="26"/>
      <c r="AES165" s="26"/>
      <c r="AET165" s="26"/>
      <c r="AEU165" s="26"/>
      <c r="AEV165" s="26"/>
      <c r="AEW165" s="26"/>
      <c r="AEX165" s="26"/>
      <c r="AEY165" s="26"/>
      <c r="AEZ165" s="26"/>
      <c r="AFA165" s="26"/>
      <c r="AFB165" s="26"/>
      <c r="AFC165" s="26"/>
      <c r="AFD165" s="26"/>
      <c r="AFE165" s="26"/>
      <c r="AFF165" s="26"/>
      <c r="AFG165" s="26"/>
      <c r="AFH165" s="26"/>
      <c r="AFI165" s="26"/>
      <c r="AFJ165" s="26"/>
      <c r="AFK165" s="26"/>
      <c r="AFL165" s="26"/>
      <c r="AFM165" s="26"/>
      <c r="AFN165" s="26"/>
      <c r="AFO165" s="26"/>
      <c r="AFP165" s="26"/>
      <c r="AFQ165" s="26"/>
      <c r="AFR165" s="26"/>
      <c r="AFS165" s="26"/>
      <c r="AFT165" s="26"/>
      <c r="AFU165" s="26"/>
      <c r="AFV165" s="26"/>
      <c r="AFW165" s="26"/>
      <c r="AFX165" s="26"/>
      <c r="AFY165" s="26"/>
      <c r="AFZ165" s="26"/>
      <c r="AGA165" s="26"/>
      <c r="AGB165" s="26"/>
      <c r="AGC165" s="26"/>
      <c r="AGD165" s="26"/>
      <c r="AGE165" s="26"/>
      <c r="AGF165" s="26"/>
      <c r="AGG165" s="26"/>
      <c r="AGH165" s="26"/>
      <c r="AGI165" s="26"/>
      <c r="AGJ165" s="26"/>
      <c r="AGK165" s="26"/>
      <c r="AGL165" s="26"/>
      <c r="AGM165" s="26"/>
      <c r="AGN165" s="26"/>
      <c r="AGO165" s="26"/>
      <c r="AGP165" s="26"/>
      <c r="AGQ165" s="26"/>
      <c r="AGR165" s="26"/>
      <c r="AGS165" s="26"/>
      <c r="AGT165" s="26"/>
      <c r="AGU165" s="26"/>
      <c r="AGV165" s="26"/>
      <c r="AGW165" s="26"/>
      <c r="AGX165" s="26"/>
      <c r="AGY165" s="26"/>
      <c r="AGZ165" s="26"/>
      <c r="AHA165" s="26"/>
      <c r="AHB165" s="26"/>
      <c r="AHC165" s="26"/>
      <c r="AHD165" s="26"/>
      <c r="AHE165" s="26"/>
      <c r="AHF165" s="26"/>
      <c r="AHG165" s="26"/>
      <c r="AHH165" s="26"/>
      <c r="AHI165" s="26"/>
      <c r="AHJ165" s="26"/>
      <c r="AHK165" s="26"/>
      <c r="AHL165" s="26"/>
      <c r="AHM165" s="26"/>
      <c r="AHN165" s="26"/>
      <c r="AHO165" s="26"/>
      <c r="AHP165" s="26"/>
      <c r="AHQ165" s="26"/>
      <c r="AHR165" s="26"/>
      <c r="AHS165" s="26"/>
      <c r="AHT165" s="26"/>
      <c r="AHU165" s="26"/>
      <c r="AHV165" s="26"/>
      <c r="AHW165" s="26"/>
      <c r="AHX165" s="26"/>
      <c r="AHY165" s="26"/>
      <c r="AHZ165" s="26"/>
      <c r="AIA165" s="26"/>
      <c r="AIB165" s="26"/>
      <c r="AIC165" s="26"/>
      <c r="AID165" s="26"/>
      <c r="AIE165" s="26"/>
      <c r="AIF165" s="26"/>
      <c r="AIG165" s="26"/>
      <c r="AIH165" s="26"/>
      <c r="AII165" s="26"/>
      <c r="AIJ165" s="26"/>
      <c r="AIK165" s="26"/>
      <c r="AIL165" s="26"/>
      <c r="AIM165" s="26"/>
      <c r="AIN165" s="26"/>
      <c r="AIO165" s="26"/>
      <c r="AIP165" s="26"/>
      <c r="AIQ165" s="26"/>
      <c r="AIR165" s="26"/>
      <c r="AIS165" s="26"/>
      <c r="AIT165" s="26"/>
      <c r="AIU165" s="26"/>
      <c r="AIV165" s="26"/>
      <c r="AIW165" s="26"/>
      <c r="AIX165" s="26"/>
      <c r="AIY165" s="26"/>
      <c r="AIZ165" s="26"/>
      <c r="AJA165" s="26"/>
      <c r="AJB165" s="26"/>
      <c r="AJC165" s="26"/>
      <c r="AJD165" s="26"/>
      <c r="AJE165" s="26"/>
      <c r="AJF165" s="26"/>
      <c r="AJG165" s="26"/>
      <c r="AJH165" s="26"/>
      <c r="AJI165" s="26"/>
      <c r="AJJ165" s="26"/>
      <c r="AJK165" s="26"/>
      <c r="AJL165" s="26"/>
      <c r="AJM165" s="26"/>
      <c r="AJN165" s="26"/>
      <c r="AJO165" s="26"/>
      <c r="AJP165" s="26"/>
      <c r="AJQ165" s="26"/>
      <c r="AJR165" s="26"/>
      <c r="AJS165" s="26"/>
      <c r="AJT165" s="26"/>
      <c r="AJU165" s="26"/>
      <c r="AJV165" s="26"/>
      <c r="AJW165" s="26"/>
      <c r="AJX165" s="26"/>
      <c r="AJY165" s="26"/>
      <c r="AJZ165" s="26"/>
      <c r="AKA165" s="26"/>
      <c r="AKB165" s="26"/>
      <c r="AKC165" s="26"/>
      <c r="AKD165" s="26"/>
      <c r="AKE165" s="26"/>
      <c r="AKF165" s="26"/>
      <c r="AKG165" s="26"/>
      <c r="AKH165" s="26"/>
      <c r="AKI165" s="26"/>
      <c r="AKJ165" s="26"/>
      <c r="AKK165" s="26"/>
      <c r="AKL165" s="26"/>
      <c r="AKM165" s="26"/>
      <c r="AKN165" s="26"/>
      <c r="AKO165" s="26"/>
      <c r="AKP165" s="26"/>
      <c r="AKQ165" s="26"/>
      <c r="AKR165" s="26"/>
      <c r="AKS165" s="26"/>
      <c r="AKT165" s="26"/>
      <c r="AKU165" s="26"/>
      <c r="AKV165" s="26"/>
      <c r="AKW165" s="26"/>
      <c r="AKX165" s="26"/>
      <c r="AKY165" s="26"/>
      <c r="AKZ165" s="26"/>
      <c r="ALA165" s="26"/>
      <c r="ALB165" s="26"/>
      <c r="ALC165" s="26"/>
      <c r="ALD165" s="26"/>
      <c r="ALE165" s="26"/>
      <c r="ALF165" s="26"/>
      <c r="ALG165" s="26"/>
      <c r="ALH165" s="26"/>
      <c r="ALI165" s="26"/>
      <c r="ALJ165" s="26"/>
      <c r="ALK165" s="26"/>
      <c r="ALL165" s="26"/>
      <c r="ALM165" s="26"/>
      <c r="ALN165" s="26"/>
      <c r="ALO165" s="26"/>
      <c r="ALP165" s="26"/>
      <c r="ALQ165" s="26"/>
      <c r="ALR165" s="26"/>
      <c r="ALS165" s="26"/>
      <c r="ALT165" s="26"/>
      <c r="ALU165" s="26"/>
      <c r="ALV165" s="26"/>
      <c r="ALW165" s="26"/>
      <c r="ALX165" s="26"/>
      <c r="ALY165" s="26"/>
      <c r="ALZ165" s="26"/>
      <c r="AMA165" s="26"/>
      <c r="AMB165" s="26"/>
      <c r="AMC165" s="26"/>
      <c r="AMD165" s="26"/>
      <c r="AME165" s="26"/>
      <c r="AMF165" s="26"/>
      <c r="AMG165" s="26"/>
      <c r="AMH165" s="26"/>
      <c r="AMI165" s="26"/>
      <c r="AMJ165" s="26"/>
      <c r="AMK165" s="26"/>
      <c r="AML165" s="26"/>
      <c r="AMM165" s="26"/>
      <c r="AMN165" s="26"/>
      <c r="AMO165" s="26"/>
      <c r="AMP165" s="26"/>
      <c r="AMQ165" s="26"/>
      <c r="AMR165" s="26"/>
      <c r="AMS165" s="26"/>
      <c r="AMT165" s="26"/>
      <c r="AMU165" s="26"/>
      <c r="AMV165" s="26"/>
      <c r="AMW165" s="26"/>
      <c r="AMX165" s="26"/>
      <c r="AMY165" s="26"/>
      <c r="AMZ165" s="26"/>
      <c r="ANA165" s="26"/>
      <c r="ANB165" s="26"/>
      <c r="ANC165" s="26"/>
      <c r="AND165" s="26"/>
      <c r="ANE165" s="26"/>
      <c r="ANF165" s="26"/>
      <c r="ANG165" s="26"/>
      <c r="ANH165" s="26"/>
      <c r="ANI165" s="26"/>
      <c r="ANJ165" s="26"/>
      <c r="ANK165" s="26"/>
      <c r="ANL165" s="26"/>
      <c r="ANM165" s="26"/>
      <c r="ANN165" s="26"/>
      <c r="ANO165" s="26"/>
      <c r="ANP165" s="26"/>
      <c r="ANQ165" s="26"/>
      <c r="ANR165" s="26"/>
      <c r="ANS165" s="26"/>
      <c r="ANT165" s="26"/>
      <c r="ANU165" s="26"/>
      <c r="ANV165" s="26"/>
      <c r="ANW165" s="26"/>
      <c r="ANX165" s="26"/>
      <c r="ANY165" s="26"/>
      <c r="ANZ165" s="26"/>
      <c r="AOA165" s="26"/>
      <c r="AOB165" s="26"/>
      <c r="AOC165" s="26"/>
      <c r="AOD165" s="26"/>
      <c r="AOE165" s="26"/>
      <c r="AOF165" s="26"/>
      <c r="AOG165" s="26"/>
      <c r="AOH165" s="26"/>
      <c r="AOI165" s="26"/>
      <c r="AOJ165" s="26"/>
      <c r="AOK165" s="26"/>
      <c r="AOL165" s="26"/>
      <c r="AOM165" s="26"/>
      <c r="AON165" s="26"/>
      <c r="AOO165" s="26"/>
      <c r="AOP165" s="26"/>
      <c r="AOQ165" s="26"/>
      <c r="AOR165" s="26"/>
      <c r="AOS165" s="26"/>
      <c r="AOT165" s="26"/>
      <c r="AOU165" s="26"/>
      <c r="AOV165" s="26"/>
      <c r="AOW165" s="26"/>
      <c r="AOX165" s="26"/>
      <c r="AOY165" s="26"/>
      <c r="AOZ165" s="26"/>
      <c r="APA165" s="26"/>
      <c r="APB165" s="26"/>
      <c r="APC165" s="26"/>
      <c r="APD165" s="26"/>
      <c r="APE165" s="26"/>
      <c r="APF165" s="26"/>
      <c r="APG165" s="26"/>
      <c r="APH165" s="26"/>
      <c r="API165" s="26"/>
      <c r="APJ165" s="26"/>
      <c r="APK165" s="26"/>
      <c r="APL165" s="26"/>
      <c r="APM165" s="26"/>
      <c r="APN165" s="26"/>
      <c r="APO165" s="26"/>
      <c r="APP165" s="26"/>
      <c r="APQ165" s="26"/>
      <c r="APR165" s="26"/>
      <c r="APS165" s="26"/>
      <c r="APT165" s="26"/>
      <c r="APU165" s="26"/>
      <c r="APV165" s="26"/>
      <c r="APW165" s="26"/>
      <c r="APX165" s="26"/>
      <c r="APY165" s="26"/>
      <c r="APZ165" s="26"/>
      <c r="AQA165" s="26"/>
      <c r="AQB165" s="26"/>
      <c r="AQC165" s="26"/>
      <c r="AQD165" s="26"/>
      <c r="AQE165" s="26"/>
      <c r="AQF165" s="26"/>
      <c r="AQG165" s="26"/>
      <c r="AQH165" s="26"/>
      <c r="AQI165" s="26"/>
      <c r="AQJ165" s="26"/>
      <c r="AQK165" s="26"/>
      <c r="AQL165" s="26"/>
      <c r="AQM165" s="26"/>
      <c r="AQN165" s="26"/>
      <c r="AQO165" s="26"/>
      <c r="AQP165" s="26"/>
      <c r="AQQ165" s="26"/>
      <c r="AQR165" s="26"/>
      <c r="AQS165" s="26"/>
      <c r="AQT165" s="26"/>
      <c r="AQU165" s="26"/>
      <c r="AQV165" s="26"/>
      <c r="AQW165" s="26"/>
      <c r="AQX165" s="26"/>
      <c r="AQY165" s="26"/>
      <c r="AQZ165" s="26"/>
      <c r="ARA165" s="26"/>
      <c r="ARB165" s="26"/>
      <c r="ARC165" s="26"/>
      <c r="ARD165" s="26"/>
      <c r="ARE165" s="26"/>
      <c r="ARF165" s="26"/>
      <c r="ARG165" s="26"/>
      <c r="ARH165" s="26"/>
      <c r="ARI165" s="26"/>
      <c r="ARJ165" s="26"/>
      <c r="ARK165" s="26"/>
      <c r="ARL165" s="26"/>
      <c r="ARM165" s="26"/>
      <c r="ARN165" s="26"/>
      <c r="ARO165" s="26"/>
      <c r="ARP165" s="26"/>
      <c r="ARQ165" s="26"/>
      <c r="ARR165" s="26"/>
      <c r="ARS165" s="26"/>
      <c r="ART165" s="26"/>
      <c r="ARU165" s="26"/>
      <c r="ARV165" s="26"/>
      <c r="ARW165" s="26"/>
      <c r="ARX165" s="26"/>
      <c r="ARY165" s="26"/>
      <c r="ARZ165" s="26"/>
      <c r="ASA165" s="26"/>
      <c r="ASB165" s="26"/>
      <c r="ASC165" s="26"/>
      <c r="ASD165" s="26"/>
      <c r="ASE165" s="26"/>
      <c r="ASF165" s="26"/>
      <c r="ASG165" s="26"/>
      <c r="ASH165" s="26"/>
      <c r="ASI165" s="26"/>
      <c r="ASJ165" s="26"/>
      <c r="ASK165" s="26"/>
      <c r="ASL165" s="26"/>
      <c r="ASM165" s="26"/>
      <c r="ASN165" s="26"/>
      <c r="ASO165" s="26"/>
      <c r="ASP165" s="26"/>
      <c r="ASQ165" s="26"/>
      <c r="ASR165" s="26"/>
      <c r="ASS165" s="26"/>
      <c r="AST165" s="26"/>
      <c r="ASU165" s="26"/>
      <c r="ASV165" s="26"/>
      <c r="ASW165" s="26"/>
      <c r="ASX165" s="26"/>
      <c r="ASY165" s="26"/>
      <c r="ASZ165" s="26"/>
      <c r="ATA165" s="26"/>
      <c r="ATB165" s="26"/>
      <c r="ATC165" s="26"/>
      <c r="ATD165" s="26"/>
      <c r="ATE165" s="26"/>
      <c r="ATF165" s="26"/>
      <c r="ATG165" s="26"/>
      <c r="ATH165" s="26"/>
      <c r="ATI165" s="26"/>
      <c r="ATJ165" s="26"/>
      <c r="ATK165" s="26"/>
      <c r="ATL165" s="26"/>
      <c r="ATM165" s="26"/>
      <c r="ATN165" s="26"/>
      <c r="ATO165" s="26"/>
      <c r="ATP165" s="26"/>
      <c r="ATQ165" s="26"/>
      <c r="ATR165" s="26"/>
      <c r="ATS165" s="26"/>
      <c r="ATT165" s="26"/>
      <c r="ATU165" s="26"/>
      <c r="ATV165" s="26"/>
      <c r="ATW165" s="26"/>
      <c r="ATX165" s="26"/>
      <c r="ATY165" s="26"/>
      <c r="ATZ165" s="26"/>
      <c r="AUA165" s="26"/>
      <c r="AUB165" s="26"/>
      <c r="AUC165" s="26"/>
      <c r="AUD165" s="26"/>
      <c r="AUE165" s="26"/>
      <c r="AUF165" s="26"/>
      <c r="AUG165" s="26"/>
      <c r="AUH165" s="26"/>
      <c r="AUI165" s="26"/>
      <c r="AUJ165" s="26"/>
      <c r="AUK165" s="26"/>
      <c r="AUL165" s="26"/>
      <c r="AUM165" s="26"/>
      <c r="AUN165" s="26"/>
      <c r="AUO165" s="26"/>
      <c r="AUP165" s="26"/>
      <c r="AUQ165" s="26"/>
      <c r="AUR165" s="26"/>
      <c r="AUS165" s="26"/>
      <c r="AUT165" s="26"/>
      <c r="AUU165" s="26"/>
      <c r="AUV165" s="26"/>
      <c r="AUW165" s="26"/>
      <c r="AUX165" s="26"/>
      <c r="AUY165" s="26"/>
      <c r="AUZ165" s="26"/>
      <c r="AVA165" s="26"/>
      <c r="AVB165" s="26"/>
      <c r="AVC165" s="26"/>
      <c r="AVD165" s="26"/>
      <c r="AVE165" s="26"/>
      <c r="AVF165" s="26"/>
      <c r="AVG165" s="26"/>
      <c r="AVH165" s="26"/>
      <c r="AVI165" s="26"/>
      <c r="AVJ165" s="26"/>
      <c r="AVK165" s="26"/>
      <c r="AVL165" s="26"/>
      <c r="AVM165" s="26"/>
      <c r="AVN165" s="26"/>
      <c r="AVO165" s="26"/>
      <c r="AVP165" s="26"/>
      <c r="AVQ165" s="26"/>
      <c r="AVR165" s="26"/>
      <c r="AVS165" s="26"/>
      <c r="AVT165" s="26"/>
      <c r="AVU165" s="26"/>
      <c r="AVV165" s="26"/>
      <c r="AVW165" s="26"/>
      <c r="AVX165" s="26"/>
      <c r="AVY165" s="26"/>
      <c r="AVZ165" s="26"/>
      <c r="AWA165" s="26"/>
      <c r="AWB165" s="26"/>
      <c r="AWC165" s="26"/>
      <c r="AWD165" s="26"/>
      <c r="AWE165" s="26"/>
      <c r="AWF165" s="26"/>
      <c r="AWG165" s="26"/>
      <c r="AWH165" s="26"/>
      <c r="AWI165" s="26"/>
      <c r="AWJ165" s="26"/>
      <c r="AWK165" s="26"/>
      <c r="AWL165" s="26"/>
      <c r="AWM165" s="26"/>
      <c r="AWN165" s="26"/>
      <c r="AWO165" s="26"/>
      <c r="AWP165" s="26"/>
      <c r="AWQ165" s="26"/>
      <c r="AWR165" s="26"/>
      <c r="AWS165" s="26"/>
      <c r="AWT165" s="26"/>
      <c r="AWU165" s="26"/>
      <c r="AWV165" s="26"/>
      <c r="AWW165" s="26"/>
      <c r="AWX165" s="26"/>
      <c r="AWY165" s="26"/>
      <c r="AWZ165" s="26"/>
      <c r="AXA165" s="26"/>
      <c r="AXB165" s="26"/>
      <c r="AXC165" s="26"/>
      <c r="AXD165" s="26"/>
      <c r="AXE165" s="26"/>
      <c r="AXF165" s="26"/>
      <c r="AXG165" s="26"/>
      <c r="AXH165" s="26"/>
      <c r="AXI165" s="26"/>
      <c r="AXJ165" s="26"/>
      <c r="AXK165" s="26"/>
      <c r="AXL165" s="26"/>
      <c r="AXM165" s="26"/>
      <c r="AXN165" s="26"/>
      <c r="AXO165" s="26"/>
      <c r="AXP165" s="26"/>
      <c r="AXQ165" s="26"/>
      <c r="AXR165" s="26"/>
      <c r="AXS165" s="26"/>
      <c r="AXT165" s="26"/>
      <c r="AXU165" s="26"/>
      <c r="AXV165" s="26"/>
      <c r="AXW165" s="26"/>
      <c r="AXX165" s="26"/>
      <c r="AXY165" s="26"/>
      <c r="AXZ165" s="26"/>
      <c r="AYA165" s="26"/>
      <c r="AYB165" s="26"/>
      <c r="AYC165" s="26"/>
      <c r="AYD165" s="26"/>
      <c r="AYE165" s="26"/>
      <c r="AYF165" s="26"/>
      <c r="AYG165" s="26"/>
      <c r="AYH165" s="26"/>
      <c r="AYI165" s="26"/>
      <c r="AYJ165" s="26"/>
      <c r="AYK165" s="26"/>
      <c r="AYL165" s="26"/>
      <c r="AYM165" s="26"/>
      <c r="AYN165" s="26"/>
      <c r="AYO165" s="26"/>
      <c r="AYP165" s="26"/>
      <c r="AYQ165" s="26"/>
      <c r="AYR165" s="26"/>
      <c r="AYS165" s="26"/>
      <c r="AYT165" s="26"/>
      <c r="AYU165" s="26"/>
      <c r="AYV165" s="26"/>
      <c r="AYW165" s="26"/>
      <c r="AYX165" s="26"/>
      <c r="AYY165" s="26"/>
      <c r="AYZ165" s="26"/>
      <c r="AZA165" s="26"/>
      <c r="AZB165" s="26"/>
      <c r="AZC165" s="26"/>
      <c r="AZD165" s="26"/>
      <c r="AZE165" s="26"/>
      <c r="AZF165" s="26"/>
      <c r="AZG165" s="26"/>
      <c r="AZH165" s="26"/>
      <c r="AZI165" s="26"/>
      <c r="AZJ165" s="26"/>
      <c r="AZK165" s="26"/>
      <c r="AZL165" s="26"/>
      <c r="AZM165" s="26"/>
      <c r="AZN165" s="26"/>
      <c r="AZO165" s="26"/>
      <c r="AZP165" s="26"/>
      <c r="AZQ165" s="26"/>
      <c r="AZR165" s="26"/>
      <c r="AZS165" s="26"/>
      <c r="AZT165" s="26"/>
      <c r="AZU165" s="26"/>
      <c r="AZV165" s="26"/>
      <c r="AZW165" s="26"/>
      <c r="AZX165" s="26"/>
      <c r="AZY165" s="26"/>
      <c r="AZZ165" s="26"/>
      <c r="BAA165" s="26"/>
      <c r="BAB165" s="26"/>
      <c r="BAC165" s="26"/>
      <c r="BAD165" s="26"/>
      <c r="BAE165" s="26"/>
      <c r="BAF165" s="26"/>
      <c r="BAG165" s="26"/>
      <c r="BAH165" s="26"/>
      <c r="BAI165" s="26"/>
      <c r="BAJ165" s="26"/>
      <c r="BAK165" s="26"/>
      <c r="BAL165" s="26"/>
      <c r="BAM165" s="26"/>
      <c r="BAN165" s="26"/>
      <c r="BAO165" s="26"/>
      <c r="BAP165" s="26"/>
      <c r="BAQ165" s="26"/>
      <c r="BAR165" s="26"/>
      <c r="BAS165" s="26"/>
      <c r="BAT165" s="26"/>
      <c r="BAU165" s="26"/>
      <c r="BAV165" s="26"/>
      <c r="BAW165" s="26"/>
      <c r="BAX165" s="26"/>
      <c r="BAY165" s="26"/>
      <c r="BAZ165" s="26"/>
      <c r="BBA165" s="26"/>
      <c r="BBB165" s="26"/>
      <c r="BBC165" s="26"/>
      <c r="BBD165" s="26"/>
      <c r="BBE165" s="26"/>
      <c r="BBF165" s="26"/>
      <c r="BBG165" s="26"/>
      <c r="BBH165" s="26"/>
      <c r="BBI165" s="26"/>
      <c r="BBJ165" s="26"/>
      <c r="BBK165" s="26"/>
      <c r="BBL165" s="26"/>
      <c r="BBM165" s="26"/>
      <c r="BBN165" s="26"/>
      <c r="BBO165" s="26"/>
      <c r="BBP165" s="26"/>
      <c r="BBQ165" s="26"/>
      <c r="BBR165" s="26"/>
      <c r="BBS165" s="26"/>
      <c r="BBT165" s="26"/>
      <c r="BBU165" s="26"/>
      <c r="BBV165" s="26"/>
      <c r="BBW165" s="26"/>
      <c r="BBX165" s="26"/>
      <c r="BBY165" s="26"/>
      <c r="BBZ165" s="26"/>
      <c r="BCA165" s="26"/>
      <c r="BCB165" s="26"/>
      <c r="BCC165" s="26"/>
      <c r="BCD165" s="26"/>
      <c r="BCE165" s="26"/>
      <c r="BCF165" s="26"/>
      <c r="BCG165" s="26"/>
      <c r="BCH165" s="26"/>
      <c r="BCI165" s="26"/>
      <c r="BCJ165" s="26"/>
      <c r="BCK165" s="26"/>
      <c r="BCL165" s="26"/>
      <c r="BCM165" s="26"/>
      <c r="BCN165" s="26"/>
      <c r="BCO165" s="26"/>
      <c r="BCP165" s="26"/>
      <c r="BCQ165" s="26"/>
      <c r="BCR165" s="26"/>
      <c r="BCS165" s="26"/>
      <c r="BCT165" s="26"/>
      <c r="BCU165" s="26"/>
      <c r="BCV165" s="26"/>
      <c r="BCW165" s="26"/>
      <c r="BCX165" s="26"/>
      <c r="BCY165" s="26"/>
      <c r="BCZ165" s="26"/>
      <c r="BDA165" s="26"/>
      <c r="BDB165" s="26"/>
      <c r="BDC165" s="26"/>
      <c r="BDD165" s="26"/>
      <c r="BDE165" s="26"/>
      <c r="BDF165" s="26"/>
      <c r="BDG165" s="26"/>
      <c r="BDH165" s="26"/>
      <c r="BDI165" s="26"/>
      <c r="BDJ165" s="26"/>
      <c r="BDK165" s="26"/>
      <c r="BDL165" s="26"/>
      <c r="BDM165" s="26"/>
      <c r="BDN165" s="26"/>
      <c r="BDO165" s="26"/>
      <c r="BDP165" s="26"/>
      <c r="BDQ165" s="26"/>
      <c r="BDR165" s="26"/>
      <c r="BDS165" s="26"/>
      <c r="BDT165" s="26"/>
      <c r="BDU165" s="26"/>
      <c r="BDV165" s="26"/>
      <c r="BDW165" s="26"/>
      <c r="BDX165" s="26"/>
      <c r="BDY165" s="26"/>
      <c r="BDZ165" s="26"/>
      <c r="BEA165" s="26"/>
      <c r="BEB165" s="26"/>
      <c r="BEC165" s="26"/>
      <c r="BED165" s="26"/>
      <c r="BEE165" s="26"/>
      <c r="BEF165" s="26"/>
      <c r="BEG165" s="26"/>
      <c r="BEH165" s="26"/>
      <c r="BEI165" s="26"/>
      <c r="BEJ165" s="26"/>
      <c r="BEK165" s="26"/>
      <c r="BEL165" s="26"/>
      <c r="BEM165" s="26"/>
      <c r="BEN165" s="26"/>
      <c r="BEO165" s="26"/>
      <c r="BEP165" s="26"/>
      <c r="BEQ165" s="26"/>
      <c r="BER165" s="26"/>
      <c r="BES165" s="26"/>
      <c r="BET165" s="26"/>
      <c r="BEU165" s="26"/>
      <c r="BEV165" s="26"/>
      <c r="BEW165" s="26"/>
      <c r="BEX165" s="26"/>
      <c r="BEY165" s="26"/>
      <c r="BEZ165" s="26"/>
      <c r="BFA165" s="26"/>
      <c r="BFB165" s="26"/>
      <c r="BFC165" s="26"/>
      <c r="BFD165" s="26"/>
      <c r="BFE165" s="26"/>
      <c r="BFF165" s="26"/>
      <c r="BFG165" s="26"/>
      <c r="BFH165" s="26"/>
      <c r="BFI165" s="26"/>
      <c r="BFJ165" s="26"/>
      <c r="BFK165" s="26"/>
      <c r="BFL165" s="26"/>
      <c r="BFM165" s="26"/>
      <c r="BFN165" s="26"/>
      <c r="BFO165" s="26"/>
      <c r="BFP165" s="26"/>
      <c r="BFQ165" s="26"/>
      <c r="BFR165" s="26"/>
      <c r="BFS165" s="26"/>
      <c r="BFT165" s="26"/>
      <c r="BFU165" s="26"/>
      <c r="BFV165" s="26"/>
      <c r="BFW165" s="26"/>
      <c r="BFX165" s="26"/>
      <c r="BFY165" s="26"/>
      <c r="BFZ165" s="26"/>
      <c r="BGA165" s="26"/>
      <c r="BGB165" s="26"/>
      <c r="BGC165" s="26"/>
      <c r="BGD165" s="26"/>
      <c r="BGE165" s="26"/>
      <c r="BGF165" s="26"/>
      <c r="BGG165" s="26"/>
      <c r="BGH165" s="26"/>
      <c r="BGI165" s="26"/>
      <c r="BGJ165" s="26"/>
      <c r="BGK165" s="26"/>
      <c r="BGL165" s="26"/>
      <c r="BGM165" s="26"/>
      <c r="BGN165" s="26"/>
      <c r="BGO165" s="26"/>
      <c r="BGP165" s="26"/>
      <c r="BGQ165" s="26"/>
      <c r="BGR165" s="26"/>
      <c r="BGS165" s="26"/>
      <c r="BGT165" s="26"/>
      <c r="BGU165" s="26"/>
      <c r="BGV165" s="26"/>
      <c r="BGW165" s="26"/>
      <c r="BGX165" s="26"/>
      <c r="BGY165" s="26"/>
      <c r="BGZ165" s="26"/>
      <c r="BHA165" s="26"/>
      <c r="BHB165" s="26"/>
      <c r="BHC165" s="26"/>
      <c r="BHD165" s="26"/>
      <c r="BHE165" s="26"/>
      <c r="BHF165" s="26"/>
      <c r="BHG165" s="26"/>
      <c r="BHH165" s="26"/>
      <c r="BHI165" s="26"/>
      <c r="BHJ165" s="26"/>
      <c r="BHK165" s="26"/>
      <c r="BHL165" s="26"/>
      <c r="BHM165" s="26"/>
      <c r="BHN165" s="26"/>
      <c r="BHO165" s="26"/>
      <c r="BHP165" s="26"/>
      <c r="BHQ165" s="26"/>
      <c r="BHR165" s="26"/>
      <c r="BHS165" s="26"/>
      <c r="BHT165" s="26"/>
      <c r="BHU165" s="26"/>
      <c r="BHV165" s="26"/>
      <c r="BHW165" s="26"/>
      <c r="BHX165" s="26"/>
      <c r="BHY165" s="26"/>
      <c r="BHZ165" s="26"/>
      <c r="BIA165" s="26"/>
      <c r="BIB165" s="26"/>
      <c r="BIC165" s="26"/>
      <c r="BID165" s="26"/>
      <c r="BIE165" s="26"/>
      <c r="BIF165" s="26"/>
      <c r="BIG165" s="26"/>
      <c r="BIH165" s="26"/>
      <c r="BII165" s="26"/>
      <c r="BIJ165" s="26"/>
      <c r="BIK165" s="26"/>
      <c r="BIL165" s="26"/>
      <c r="BIM165" s="26"/>
      <c r="BIN165" s="26"/>
      <c r="BIO165" s="26"/>
      <c r="BIP165" s="26"/>
      <c r="BIQ165" s="26"/>
      <c r="BIR165" s="26"/>
      <c r="BIS165" s="26"/>
      <c r="BIT165" s="26"/>
      <c r="BIU165" s="26"/>
      <c r="BIV165" s="26"/>
      <c r="BIW165" s="26"/>
      <c r="BIX165" s="26"/>
      <c r="BIY165" s="26"/>
      <c r="BIZ165" s="26"/>
      <c r="BJA165" s="26"/>
      <c r="BJB165" s="26"/>
      <c r="BJC165" s="26"/>
      <c r="BJD165" s="26"/>
      <c r="BJE165" s="26"/>
      <c r="BJF165" s="26"/>
      <c r="BJG165" s="26"/>
      <c r="BJH165" s="26"/>
      <c r="BJI165" s="26"/>
      <c r="BJJ165" s="26"/>
      <c r="BJK165" s="26"/>
      <c r="BJL165" s="26"/>
      <c r="BJM165" s="26"/>
      <c r="BJN165" s="26"/>
      <c r="BJO165" s="26"/>
      <c r="BJP165" s="26"/>
      <c r="BJQ165" s="26"/>
      <c r="BJR165" s="26"/>
      <c r="BJS165" s="26"/>
      <c r="BJT165" s="26"/>
      <c r="BJU165" s="26"/>
      <c r="BJV165" s="26"/>
      <c r="BJW165" s="26"/>
      <c r="BJX165" s="26"/>
      <c r="BJY165" s="26"/>
      <c r="BJZ165" s="26"/>
      <c r="BKA165" s="26"/>
      <c r="BKB165" s="26"/>
      <c r="BKC165" s="26"/>
      <c r="BKD165" s="26"/>
      <c r="BKE165" s="26"/>
      <c r="BKF165" s="26"/>
      <c r="BKG165" s="26"/>
      <c r="BKH165" s="26"/>
      <c r="BKI165" s="26"/>
      <c r="BKJ165" s="26"/>
      <c r="BKK165" s="26"/>
      <c r="BKL165" s="26"/>
      <c r="BKM165" s="26"/>
      <c r="BKN165" s="26"/>
      <c r="BKO165" s="26"/>
      <c r="BKP165" s="26"/>
      <c r="BKQ165" s="26"/>
      <c r="BKR165" s="26"/>
      <c r="BKS165" s="26"/>
      <c r="BKT165" s="26"/>
      <c r="BKU165" s="26"/>
      <c r="BKV165" s="26"/>
      <c r="BKW165" s="26"/>
      <c r="BKX165" s="26"/>
      <c r="BKY165" s="26"/>
      <c r="BKZ165" s="26"/>
      <c r="BLA165" s="26"/>
      <c r="BLB165" s="26"/>
      <c r="BLC165" s="26"/>
      <c r="BLD165" s="26"/>
      <c r="BLE165" s="26"/>
      <c r="BLF165" s="26"/>
      <c r="BLG165" s="26"/>
      <c r="BLH165" s="26"/>
      <c r="BLI165" s="26"/>
      <c r="BLJ165" s="26"/>
      <c r="BLK165" s="26"/>
      <c r="BLL165" s="26"/>
      <c r="BLM165" s="26"/>
      <c r="BLN165" s="26"/>
      <c r="BLO165" s="26"/>
      <c r="BLP165" s="26"/>
      <c r="BLQ165" s="26"/>
      <c r="BLR165" s="26"/>
      <c r="BLS165" s="26"/>
      <c r="BLT165" s="26"/>
      <c r="BLU165" s="26"/>
      <c r="BLV165" s="26"/>
      <c r="BLW165" s="26"/>
      <c r="BLX165" s="26"/>
      <c r="BLY165" s="26"/>
      <c r="BLZ165" s="26"/>
      <c r="BMA165" s="26"/>
      <c r="BMB165" s="26"/>
      <c r="BMC165" s="26"/>
      <c r="BMD165" s="26"/>
      <c r="BME165" s="26"/>
      <c r="BMF165" s="26"/>
      <c r="BMG165" s="26"/>
      <c r="BMH165" s="26"/>
      <c r="BMI165" s="26"/>
      <c r="BMJ165" s="26"/>
      <c r="BMK165" s="26"/>
      <c r="BML165" s="26"/>
      <c r="BMM165" s="26"/>
      <c r="BMN165" s="26"/>
      <c r="BMO165" s="26"/>
      <c r="BMP165" s="26"/>
      <c r="BMQ165" s="26"/>
      <c r="BMR165" s="26"/>
      <c r="BMS165" s="26"/>
      <c r="BMT165" s="26"/>
      <c r="BMU165" s="26"/>
      <c r="BMV165" s="26"/>
      <c r="BMW165" s="26"/>
      <c r="BMX165" s="26"/>
      <c r="BMY165" s="26"/>
      <c r="BMZ165" s="26"/>
      <c r="BNA165" s="26"/>
      <c r="BNB165" s="26"/>
      <c r="BNC165" s="26"/>
      <c r="BND165" s="26"/>
      <c r="BNE165" s="26"/>
      <c r="BNF165" s="26"/>
      <c r="BNG165" s="26"/>
      <c r="BNH165" s="26"/>
      <c r="BNI165" s="26"/>
      <c r="BNJ165" s="26"/>
      <c r="BNK165" s="26"/>
      <c r="BNL165" s="26"/>
      <c r="BNM165" s="26"/>
      <c r="BNN165" s="26"/>
      <c r="BNO165" s="26"/>
      <c r="BNP165" s="26"/>
      <c r="BNQ165" s="26"/>
      <c r="BNR165" s="26"/>
      <c r="BNS165" s="26"/>
      <c r="BNT165" s="26"/>
      <c r="BNU165" s="26"/>
      <c r="BNV165" s="26"/>
      <c r="BNW165" s="26"/>
      <c r="BNX165" s="26"/>
      <c r="BNY165" s="26"/>
      <c r="BNZ165" s="26"/>
      <c r="BOA165" s="26"/>
      <c r="BOB165" s="26"/>
      <c r="BOC165" s="26"/>
      <c r="BOD165" s="26"/>
      <c r="BOE165" s="26"/>
      <c r="BOF165" s="26"/>
      <c r="BOG165" s="26"/>
      <c r="BOH165" s="26"/>
      <c r="BOI165" s="26"/>
      <c r="BOJ165" s="26"/>
      <c r="BOK165" s="26"/>
      <c r="BOL165" s="26"/>
      <c r="BOM165" s="26"/>
      <c r="BON165" s="26"/>
      <c r="BOO165" s="26"/>
      <c r="BOP165" s="26"/>
      <c r="BOQ165" s="26"/>
      <c r="BOR165" s="26"/>
      <c r="BOS165" s="26"/>
      <c r="BOT165" s="26"/>
      <c r="BOU165" s="26"/>
      <c r="BOV165" s="26"/>
      <c r="BOW165" s="26"/>
      <c r="BOX165" s="26"/>
      <c r="BOY165" s="26"/>
      <c r="BOZ165" s="26"/>
      <c r="BPA165" s="26"/>
      <c r="BPB165" s="26"/>
      <c r="BPC165" s="26"/>
      <c r="BPD165" s="26"/>
      <c r="BPE165" s="26"/>
      <c r="BPF165" s="26"/>
      <c r="BPG165" s="26"/>
      <c r="BPH165" s="26"/>
      <c r="BPI165" s="26"/>
      <c r="BPJ165" s="26"/>
      <c r="BPK165" s="26"/>
      <c r="BPL165" s="26"/>
      <c r="BPM165" s="26"/>
      <c r="BPN165" s="26"/>
      <c r="BPO165" s="26"/>
      <c r="BPP165" s="26"/>
      <c r="BPQ165" s="26"/>
      <c r="BPR165" s="26"/>
      <c r="BPS165" s="26"/>
      <c r="BPT165" s="26"/>
      <c r="BPU165" s="26"/>
      <c r="BPV165" s="26"/>
      <c r="BPW165" s="26"/>
      <c r="BPX165" s="26"/>
      <c r="BPY165" s="26"/>
      <c r="BPZ165" s="26"/>
      <c r="BQA165" s="26"/>
      <c r="BQB165" s="26"/>
      <c r="BQC165" s="26"/>
      <c r="BQD165" s="26"/>
      <c r="BQE165" s="26"/>
      <c r="BQF165" s="26"/>
      <c r="BQG165" s="26"/>
      <c r="BQH165" s="26"/>
      <c r="BQI165" s="26"/>
      <c r="BQJ165" s="26"/>
      <c r="BQK165" s="26"/>
      <c r="BQL165" s="26"/>
      <c r="BQM165" s="26"/>
      <c r="BQN165" s="26"/>
      <c r="BQO165" s="26"/>
      <c r="BQP165" s="26"/>
      <c r="BQQ165" s="26"/>
      <c r="BQR165" s="26"/>
      <c r="BQS165" s="26"/>
      <c r="BQT165" s="26"/>
      <c r="BQU165" s="26"/>
      <c r="BQV165" s="26"/>
      <c r="BQW165" s="26"/>
      <c r="BQX165" s="26"/>
      <c r="BQY165" s="26"/>
      <c r="BQZ165" s="26"/>
      <c r="BRA165" s="26"/>
      <c r="BRB165" s="26"/>
      <c r="BRC165" s="26"/>
      <c r="BRD165" s="26"/>
      <c r="BRE165" s="26"/>
      <c r="BRF165" s="26"/>
      <c r="BRG165" s="26"/>
      <c r="BRH165" s="26"/>
      <c r="BRI165" s="26"/>
      <c r="BRJ165" s="26"/>
      <c r="BRK165" s="26"/>
      <c r="BRL165" s="26"/>
      <c r="BRM165" s="26"/>
      <c r="BRN165" s="26"/>
      <c r="BRO165" s="26"/>
      <c r="BRP165" s="26"/>
      <c r="BRQ165" s="26"/>
      <c r="BRR165" s="26"/>
      <c r="BRS165" s="26"/>
      <c r="BRT165" s="26"/>
      <c r="BRU165" s="26"/>
      <c r="BRV165" s="26"/>
      <c r="BRW165" s="26"/>
      <c r="BRX165" s="26"/>
      <c r="BRY165" s="26"/>
      <c r="BRZ165" s="26"/>
      <c r="BSA165" s="26"/>
      <c r="BSB165" s="26"/>
      <c r="BSC165" s="26"/>
      <c r="BSD165" s="26"/>
      <c r="BSE165" s="26"/>
      <c r="BSF165" s="26"/>
      <c r="BSG165" s="26"/>
      <c r="BSH165" s="26"/>
      <c r="BSI165" s="26"/>
      <c r="BSJ165" s="26"/>
      <c r="BSK165" s="26"/>
      <c r="BSL165" s="26"/>
      <c r="BSM165" s="26"/>
      <c r="BSN165" s="26"/>
      <c r="BSO165" s="26"/>
      <c r="BSP165" s="26"/>
      <c r="BSQ165" s="26"/>
      <c r="BSR165" s="26"/>
      <c r="BSS165" s="26"/>
      <c r="BST165" s="26"/>
      <c r="BSU165" s="26"/>
      <c r="BSV165" s="26"/>
      <c r="BSW165" s="26"/>
      <c r="BSX165" s="26"/>
      <c r="BSY165" s="26"/>
      <c r="BSZ165" s="26"/>
      <c r="BTA165" s="26"/>
      <c r="BTB165" s="26"/>
      <c r="BTC165" s="26"/>
      <c r="BTD165" s="26"/>
      <c r="BTE165" s="26"/>
      <c r="BTF165" s="26"/>
      <c r="BTG165" s="26"/>
      <c r="BTH165" s="26"/>
      <c r="BTI165" s="26"/>
      <c r="BTJ165" s="26"/>
      <c r="BTK165" s="26"/>
      <c r="BTL165" s="26"/>
      <c r="BTM165" s="26"/>
      <c r="BTN165" s="26"/>
      <c r="BTO165" s="26"/>
      <c r="BTP165" s="26"/>
      <c r="BTQ165" s="26"/>
      <c r="BTR165" s="26"/>
      <c r="BTS165" s="26"/>
      <c r="BTT165" s="26"/>
      <c r="BTU165" s="26"/>
      <c r="BTV165" s="26"/>
      <c r="BTW165" s="26"/>
      <c r="BTX165" s="26"/>
      <c r="BTY165" s="26"/>
      <c r="BTZ165" s="26"/>
      <c r="BUA165" s="26"/>
      <c r="BUB165" s="26"/>
      <c r="BUC165" s="26"/>
      <c r="BUD165" s="26"/>
      <c r="BUE165" s="26"/>
      <c r="BUF165" s="26"/>
      <c r="BUG165" s="26"/>
      <c r="BUH165" s="26"/>
      <c r="BUI165" s="26"/>
      <c r="BUJ165" s="26"/>
      <c r="BUK165" s="26"/>
      <c r="BUL165" s="26"/>
      <c r="BUM165" s="26"/>
      <c r="BUN165" s="26"/>
      <c r="BUO165" s="26"/>
      <c r="BUP165" s="26"/>
      <c r="BUQ165" s="26"/>
      <c r="BUR165" s="26"/>
      <c r="BUS165" s="26"/>
      <c r="BUT165" s="26"/>
      <c r="BUU165" s="26"/>
      <c r="BUV165" s="26"/>
      <c r="BUW165" s="26"/>
      <c r="BUX165" s="26"/>
      <c r="BUY165" s="26"/>
      <c r="BUZ165" s="26"/>
      <c r="BVA165" s="26"/>
      <c r="BVB165" s="26"/>
      <c r="BVC165" s="26"/>
      <c r="BVD165" s="26"/>
      <c r="BVE165" s="26"/>
      <c r="BVF165" s="26"/>
      <c r="BVG165" s="26"/>
      <c r="BVH165" s="26"/>
      <c r="BVI165" s="26"/>
      <c r="BVJ165" s="26"/>
      <c r="BVK165" s="26"/>
      <c r="BVL165" s="26"/>
      <c r="BVM165" s="26"/>
      <c r="BVN165" s="26"/>
      <c r="BVO165" s="26"/>
      <c r="BVP165" s="26"/>
      <c r="BVQ165" s="26"/>
      <c r="BVR165" s="26"/>
      <c r="BVS165" s="26"/>
      <c r="BVT165" s="26"/>
      <c r="BVU165" s="26"/>
      <c r="BVV165" s="26"/>
      <c r="BVW165" s="26"/>
      <c r="BVX165" s="26"/>
      <c r="BVY165" s="26"/>
      <c r="BVZ165" s="26"/>
      <c r="BWA165" s="26"/>
      <c r="BWB165" s="26"/>
      <c r="BWC165" s="26"/>
      <c r="BWD165" s="26"/>
      <c r="BWE165" s="26"/>
      <c r="BWF165" s="26"/>
      <c r="BWG165" s="26"/>
      <c r="BWH165" s="26"/>
      <c r="BWI165" s="26"/>
      <c r="BWJ165" s="26"/>
      <c r="BWK165" s="26"/>
      <c r="BWL165" s="26"/>
      <c r="BWM165" s="26"/>
      <c r="BWN165" s="26"/>
      <c r="BWO165" s="26"/>
      <c r="BWP165" s="26"/>
      <c r="BWQ165" s="26"/>
      <c r="BWR165" s="26"/>
      <c r="BWS165" s="26"/>
      <c r="BWT165" s="26"/>
      <c r="BWU165" s="26"/>
      <c r="BWV165" s="26"/>
      <c r="BWW165" s="26"/>
      <c r="BWX165" s="26"/>
      <c r="BWY165" s="26"/>
      <c r="BWZ165" s="26"/>
      <c r="BXA165" s="26"/>
      <c r="BXB165" s="26"/>
      <c r="BXC165" s="26"/>
      <c r="BXD165" s="26"/>
      <c r="BXE165" s="26"/>
      <c r="BXF165" s="26"/>
      <c r="BXG165" s="26"/>
      <c r="BXH165" s="26"/>
      <c r="BXI165" s="26"/>
      <c r="BXJ165" s="26"/>
      <c r="BXK165" s="26"/>
      <c r="BXL165" s="26"/>
      <c r="BXM165" s="26"/>
      <c r="BXN165" s="26"/>
      <c r="BXO165" s="26"/>
      <c r="BXP165" s="26"/>
      <c r="BXQ165" s="26"/>
      <c r="BXR165" s="26"/>
      <c r="BXS165" s="26"/>
      <c r="BXT165" s="26"/>
      <c r="BXU165" s="26"/>
      <c r="BXV165" s="26"/>
      <c r="BXW165" s="26"/>
      <c r="BXX165" s="26"/>
      <c r="BXY165" s="26"/>
      <c r="BXZ165" s="26"/>
      <c r="BYA165" s="26"/>
      <c r="BYB165" s="26"/>
      <c r="BYC165" s="26"/>
      <c r="BYD165" s="26"/>
      <c r="BYE165" s="26"/>
      <c r="BYF165" s="26"/>
      <c r="BYG165" s="26"/>
      <c r="BYH165" s="26"/>
      <c r="BYI165" s="26"/>
      <c r="BYJ165" s="26"/>
      <c r="BYK165" s="26"/>
      <c r="BYL165" s="26"/>
      <c r="BYM165" s="26"/>
      <c r="BYN165" s="26"/>
      <c r="BYO165" s="26"/>
      <c r="BYP165" s="26"/>
      <c r="BYQ165" s="26"/>
      <c r="BYR165" s="26"/>
      <c r="BYS165" s="26"/>
      <c r="BYT165" s="26"/>
      <c r="BYU165" s="26"/>
      <c r="BYV165" s="26"/>
      <c r="BYW165" s="26"/>
      <c r="BYX165" s="26"/>
      <c r="BYY165" s="26"/>
      <c r="BYZ165" s="26"/>
      <c r="BZA165" s="26"/>
      <c r="BZB165" s="26"/>
      <c r="BZC165" s="26"/>
      <c r="BZD165" s="26"/>
      <c r="BZE165" s="26"/>
      <c r="BZF165" s="26"/>
      <c r="BZG165" s="26"/>
      <c r="BZH165" s="26"/>
      <c r="BZI165" s="26"/>
      <c r="BZJ165" s="26"/>
      <c r="BZK165" s="26"/>
      <c r="BZL165" s="26"/>
      <c r="BZM165" s="26"/>
      <c r="BZN165" s="26"/>
      <c r="BZO165" s="26"/>
      <c r="BZP165" s="26"/>
      <c r="BZQ165" s="26"/>
      <c r="BZR165" s="26"/>
      <c r="BZS165" s="26"/>
      <c r="BZT165" s="26"/>
      <c r="BZU165" s="26"/>
      <c r="BZV165" s="26"/>
      <c r="BZW165" s="26"/>
      <c r="BZX165" s="26"/>
      <c r="BZY165" s="26"/>
      <c r="BZZ165" s="26"/>
      <c r="CAA165" s="26"/>
      <c r="CAB165" s="26"/>
      <c r="CAC165" s="26"/>
      <c r="CAD165" s="26"/>
      <c r="CAE165" s="26"/>
      <c r="CAF165" s="26"/>
      <c r="CAG165" s="26"/>
      <c r="CAH165" s="26"/>
      <c r="CAI165" s="26"/>
      <c r="CAJ165" s="26"/>
      <c r="CAK165" s="26"/>
      <c r="CAL165" s="26"/>
      <c r="CAM165" s="26"/>
      <c r="CAN165" s="26"/>
      <c r="CAO165" s="26"/>
      <c r="CAP165" s="26"/>
      <c r="CAQ165" s="26"/>
      <c r="CAR165" s="26"/>
      <c r="CAS165" s="26"/>
      <c r="CAT165" s="26"/>
      <c r="CAU165" s="26"/>
      <c r="CAV165" s="26"/>
      <c r="CAW165" s="26"/>
      <c r="CAX165" s="26"/>
      <c r="CAY165" s="26"/>
      <c r="CAZ165" s="26"/>
      <c r="CBA165" s="26"/>
      <c r="CBB165" s="26"/>
      <c r="CBC165" s="26"/>
      <c r="CBD165" s="26"/>
      <c r="CBE165" s="26"/>
      <c r="CBF165" s="26"/>
      <c r="CBG165" s="26"/>
      <c r="CBH165" s="26"/>
      <c r="CBI165" s="26"/>
    </row>
    <row r="166" spans="1:2089" s="41" customFormat="1" ht="14" customHeight="1">
      <c r="A166" s="27">
        <v>165</v>
      </c>
      <c r="B166" s="27" t="s">
        <v>358</v>
      </c>
      <c r="C166" s="27">
        <v>2008</v>
      </c>
      <c r="D166" s="26" t="s">
        <v>27</v>
      </c>
      <c r="E166" s="26" t="s">
        <v>563</v>
      </c>
      <c r="F166" s="77" t="s">
        <v>548</v>
      </c>
      <c r="G166" s="2" t="s">
        <v>84</v>
      </c>
      <c r="H166" s="2" t="s">
        <v>275</v>
      </c>
      <c r="I166" s="2" t="s">
        <v>548</v>
      </c>
      <c r="J166" s="2" t="s">
        <v>183</v>
      </c>
      <c r="K166" s="2" t="s">
        <v>548</v>
      </c>
      <c r="L166" s="2" t="s">
        <v>548</v>
      </c>
      <c r="M166" s="2" t="s">
        <v>548</v>
      </c>
      <c r="N166" s="2" t="s">
        <v>210</v>
      </c>
      <c r="O166" s="2" t="s">
        <v>43</v>
      </c>
      <c r="P166" s="2" t="s">
        <v>210</v>
      </c>
      <c r="Q166" s="2" t="s">
        <v>42</v>
      </c>
      <c r="R166" s="102" t="s">
        <v>614</v>
      </c>
      <c r="S166" s="88">
        <v>0.15</v>
      </c>
      <c r="T166" s="26">
        <v>212</v>
      </c>
      <c r="U166" s="77">
        <v>0</v>
      </c>
      <c r="V166" s="26">
        <v>0</v>
      </c>
      <c r="W166" s="26">
        <v>1</v>
      </c>
      <c r="X166" s="26">
        <v>1</v>
      </c>
      <c r="Y166" s="26">
        <v>1</v>
      </c>
      <c r="Z166" s="26">
        <v>0</v>
      </c>
      <c r="AA166" s="26">
        <v>1</v>
      </c>
      <c r="AB166" s="26">
        <v>1</v>
      </c>
      <c r="AC166" s="26" t="s">
        <v>70</v>
      </c>
      <c r="AD166" s="26" t="s">
        <v>70</v>
      </c>
      <c r="AE166" s="26" t="s">
        <v>70</v>
      </c>
      <c r="AF166" s="26" t="s">
        <v>70</v>
      </c>
      <c r="AG166" s="33" t="s">
        <v>70</v>
      </c>
      <c r="AH166" s="33" t="s">
        <v>70</v>
      </c>
      <c r="AI166" s="33">
        <v>0</v>
      </c>
      <c r="AJ166" s="26" t="s">
        <v>184</v>
      </c>
      <c r="AK166" s="33" t="s">
        <v>70</v>
      </c>
      <c r="AL166" s="33" t="s">
        <v>70</v>
      </c>
      <c r="AM166" s="35" t="s">
        <v>548</v>
      </c>
      <c r="AN166" s="26" t="s">
        <v>274</v>
      </c>
      <c r="AO166" s="35" t="s">
        <v>548</v>
      </c>
      <c r="AP166" s="35" t="s">
        <v>548</v>
      </c>
      <c r="AQ166" s="35" t="s">
        <v>548</v>
      </c>
      <c r="AR166" s="35" t="s">
        <v>548</v>
      </c>
      <c r="AS166" s="26" t="s">
        <v>175</v>
      </c>
      <c r="AT166" s="26" t="s">
        <v>70</v>
      </c>
      <c r="AU166" s="26" t="s">
        <v>70</v>
      </c>
      <c r="AV166" s="26">
        <v>6</v>
      </c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  <c r="GR166" s="26"/>
      <c r="GS166" s="26"/>
      <c r="GT166" s="26"/>
      <c r="GU166" s="26"/>
      <c r="GV166" s="26"/>
      <c r="GW166" s="26"/>
      <c r="GX166" s="26"/>
      <c r="GY166" s="26"/>
      <c r="GZ166" s="26"/>
      <c r="HA166" s="26"/>
      <c r="HB166" s="26"/>
      <c r="HC166" s="26"/>
      <c r="HD166" s="26"/>
      <c r="HE166" s="26"/>
      <c r="HF166" s="26"/>
      <c r="HG166" s="26"/>
      <c r="HH166" s="26"/>
      <c r="HI166" s="26"/>
      <c r="HJ166" s="26"/>
      <c r="HK166" s="26"/>
      <c r="HL166" s="26"/>
      <c r="HM166" s="26"/>
      <c r="HN166" s="26"/>
      <c r="HO166" s="26"/>
      <c r="HP166" s="26"/>
      <c r="HQ166" s="26"/>
      <c r="HR166" s="26"/>
      <c r="HS166" s="26"/>
      <c r="HT166" s="26"/>
      <c r="HU166" s="26"/>
      <c r="HV166" s="26"/>
      <c r="HW166" s="26"/>
      <c r="HX166" s="26"/>
      <c r="HY166" s="26"/>
      <c r="HZ166" s="26"/>
      <c r="IA166" s="26"/>
      <c r="IB166" s="26"/>
      <c r="IC166" s="26"/>
      <c r="ID166" s="26"/>
      <c r="IE166" s="26"/>
      <c r="IF166" s="26"/>
      <c r="IG166" s="26"/>
      <c r="IH166" s="26"/>
      <c r="II166" s="26"/>
      <c r="IJ166" s="26"/>
      <c r="IK166" s="26"/>
      <c r="IL166" s="26"/>
      <c r="IM166" s="26"/>
      <c r="IN166" s="26"/>
      <c r="IO166" s="26"/>
      <c r="IP166" s="26"/>
      <c r="IQ166" s="26"/>
      <c r="IR166" s="26"/>
      <c r="IS166" s="26"/>
      <c r="IT166" s="26"/>
      <c r="IU166" s="26"/>
      <c r="IV166" s="26"/>
      <c r="IW166" s="26"/>
      <c r="IX166" s="26"/>
      <c r="IY166" s="26"/>
      <c r="IZ166" s="26"/>
      <c r="JA166" s="26"/>
      <c r="JB166" s="26"/>
      <c r="JC166" s="26"/>
      <c r="JD166" s="26"/>
      <c r="JE166" s="26"/>
      <c r="JF166" s="26"/>
      <c r="JG166" s="26"/>
      <c r="JH166" s="26"/>
      <c r="JI166" s="26"/>
      <c r="JJ166" s="26"/>
      <c r="JK166" s="26"/>
      <c r="JL166" s="26"/>
      <c r="JM166" s="26"/>
      <c r="JN166" s="26"/>
      <c r="JO166" s="26"/>
      <c r="JP166" s="26"/>
      <c r="JQ166" s="26"/>
      <c r="JR166" s="26"/>
      <c r="JS166" s="26"/>
      <c r="JT166" s="26"/>
      <c r="JU166" s="26"/>
      <c r="JV166" s="26"/>
      <c r="JW166" s="26"/>
      <c r="JX166" s="26"/>
      <c r="JY166" s="26"/>
      <c r="JZ166" s="26"/>
      <c r="KA166" s="26"/>
      <c r="KB166" s="26"/>
      <c r="KC166" s="26"/>
      <c r="KD166" s="26"/>
      <c r="KE166" s="26"/>
      <c r="KF166" s="26"/>
      <c r="KG166" s="26"/>
      <c r="KH166" s="26"/>
      <c r="KI166" s="26"/>
      <c r="KJ166" s="26"/>
      <c r="KK166" s="26"/>
      <c r="KL166" s="26"/>
      <c r="KM166" s="26"/>
      <c r="KN166" s="26"/>
      <c r="KO166" s="26"/>
      <c r="KP166" s="26"/>
      <c r="KQ166" s="26"/>
      <c r="KR166" s="26"/>
      <c r="KS166" s="26"/>
      <c r="KT166" s="26"/>
      <c r="KU166" s="26"/>
      <c r="KV166" s="26"/>
      <c r="KW166" s="26"/>
      <c r="KX166" s="26"/>
      <c r="KY166" s="26"/>
      <c r="KZ166" s="26"/>
      <c r="LA166" s="26"/>
      <c r="LB166" s="26"/>
      <c r="LC166" s="26"/>
      <c r="LD166" s="26"/>
      <c r="LE166" s="26"/>
      <c r="LF166" s="26"/>
      <c r="LG166" s="26"/>
      <c r="LH166" s="26"/>
      <c r="LI166" s="26"/>
      <c r="LJ166" s="26"/>
      <c r="LK166" s="26"/>
      <c r="LL166" s="26"/>
      <c r="LM166" s="26"/>
      <c r="LN166" s="26"/>
      <c r="LO166" s="26"/>
      <c r="LP166" s="26"/>
      <c r="LQ166" s="26"/>
      <c r="LR166" s="26"/>
      <c r="LS166" s="26"/>
      <c r="LT166" s="26"/>
      <c r="LU166" s="26"/>
      <c r="LV166" s="26"/>
      <c r="LW166" s="26"/>
      <c r="LX166" s="26"/>
      <c r="LY166" s="26"/>
      <c r="LZ166" s="26"/>
      <c r="MA166" s="26"/>
      <c r="MB166" s="26"/>
      <c r="MC166" s="26"/>
      <c r="MD166" s="26"/>
      <c r="ME166" s="26"/>
      <c r="MF166" s="26"/>
      <c r="MG166" s="26"/>
      <c r="MH166" s="26"/>
      <c r="MI166" s="26"/>
      <c r="MJ166" s="26"/>
      <c r="MK166" s="26"/>
      <c r="ML166" s="26"/>
      <c r="MM166" s="26"/>
      <c r="MN166" s="26"/>
      <c r="MO166" s="26"/>
      <c r="MP166" s="26"/>
      <c r="MQ166" s="26"/>
      <c r="MR166" s="26"/>
      <c r="MS166" s="26"/>
      <c r="MT166" s="26"/>
      <c r="MU166" s="26"/>
      <c r="MV166" s="26"/>
      <c r="MW166" s="26"/>
      <c r="MX166" s="26"/>
      <c r="MY166" s="26"/>
      <c r="MZ166" s="26"/>
      <c r="NA166" s="26"/>
      <c r="NB166" s="26"/>
      <c r="NC166" s="26"/>
      <c r="ND166" s="26"/>
      <c r="NE166" s="26"/>
      <c r="NF166" s="26"/>
      <c r="NG166" s="26"/>
      <c r="NH166" s="26"/>
      <c r="NI166" s="26"/>
      <c r="NJ166" s="26"/>
      <c r="NK166" s="26"/>
      <c r="NL166" s="26"/>
      <c r="NM166" s="26"/>
      <c r="NN166" s="26"/>
      <c r="NO166" s="26"/>
      <c r="NP166" s="26"/>
      <c r="NQ166" s="26"/>
      <c r="NR166" s="26"/>
      <c r="NS166" s="26"/>
      <c r="NT166" s="26"/>
      <c r="NU166" s="26"/>
      <c r="NV166" s="26"/>
      <c r="NW166" s="26"/>
      <c r="NX166" s="26"/>
      <c r="NY166" s="26"/>
      <c r="NZ166" s="26"/>
      <c r="OA166" s="26"/>
      <c r="OB166" s="26"/>
      <c r="OC166" s="26"/>
      <c r="OD166" s="26"/>
      <c r="OE166" s="26"/>
      <c r="OF166" s="26"/>
      <c r="OG166" s="26"/>
      <c r="OH166" s="26"/>
      <c r="OI166" s="26"/>
      <c r="OJ166" s="26"/>
      <c r="OK166" s="26"/>
      <c r="OL166" s="26"/>
      <c r="OM166" s="26"/>
      <c r="ON166" s="26"/>
      <c r="OO166" s="26"/>
      <c r="OP166" s="26"/>
      <c r="OQ166" s="26"/>
      <c r="OR166" s="26"/>
      <c r="OS166" s="26"/>
      <c r="OT166" s="26"/>
      <c r="OU166" s="26"/>
      <c r="OV166" s="26"/>
      <c r="OW166" s="26"/>
      <c r="OX166" s="26"/>
      <c r="OY166" s="26"/>
      <c r="OZ166" s="26"/>
      <c r="PA166" s="26"/>
      <c r="PB166" s="26"/>
      <c r="PC166" s="26"/>
      <c r="PD166" s="26"/>
      <c r="PE166" s="26"/>
      <c r="PF166" s="26"/>
      <c r="PG166" s="26"/>
      <c r="PH166" s="26"/>
      <c r="PI166" s="26"/>
      <c r="PJ166" s="26"/>
      <c r="PK166" s="26"/>
      <c r="PL166" s="26"/>
      <c r="PM166" s="26"/>
      <c r="PN166" s="26"/>
      <c r="PO166" s="26"/>
      <c r="PP166" s="26"/>
      <c r="PQ166" s="26"/>
      <c r="PR166" s="26"/>
      <c r="PS166" s="26"/>
      <c r="PT166" s="26"/>
      <c r="PU166" s="26"/>
      <c r="PV166" s="26"/>
      <c r="PW166" s="26"/>
      <c r="PX166" s="26"/>
      <c r="PY166" s="26"/>
      <c r="PZ166" s="26"/>
      <c r="QA166" s="26"/>
      <c r="QB166" s="26"/>
      <c r="QC166" s="26"/>
      <c r="QD166" s="26"/>
      <c r="QE166" s="26"/>
      <c r="QF166" s="26"/>
      <c r="QG166" s="26"/>
      <c r="QH166" s="26"/>
      <c r="QI166" s="26"/>
      <c r="QJ166" s="26"/>
      <c r="QK166" s="26"/>
      <c r="QL166" s="26"/>
      <c r="QM166" s="26"/>
      <c r="QN166" s="26"/>
      <c r="QO166" s="26"/>
      <c r="QP166" s="26"/>
      <c r="QQ166" s="26"/>
      <c r="QR166" s="26"/>
      <c r="QS166" s="26"/>
      <c r="QT166" s="26"/>
      <c r="QU166" s="26"/>
      <c r="QV166" s="26"/>
      <c r="QW166" s="26"/>
      <c r="QX166" s="26"/>
      <c r="QY166" s="26"/>
      <c r="QZ166" s="26"/>
      <c r="RA166" s="26"/>
      <c r="RB166" s="26"/>
      <c r="RC166" s="26"/>
      <c r="RD166" s="26"/>
      <c r="RE166" s="26"/>
      <c r="RF166" s="26"/>
      <c r="RG166" s="26"/>
      <c r="RH166" s="26"/>
      <c r="RI166" s="26"/>
      <c r="RJ166" s="26"/>
      <c r="RK166" s="26"/>
      <c r="RL166" s="26"/>
      <c r="RM166" s="26"/>
      <c r="RN166" s="26"/>
      <c r="RO166" s="26"/>
      <c r="RP166" s="26"/>
      <c r="RQ166" s="26"/>
      <c r="RR166" s="26"/>
      <c r="RS166" s="26"/>
      <c r="RT166" s="26"/>
      <c r="RU166" s="26"/>
      <c r="RV166" s="26"/>
      <c r="RW166" s="26"/>
      <c r="RX166" s="26"/>
      <c r="RY166" s="26"/>
      <c r="RZ166" s="26"/>
      <c r="SA166" s="26"/>
      <c r="SB166" s="26"/>
      <c r="SC166" s="26"/>
      <c r="SD166" s="26"/>
      <c r="SE166" s="26"/>
      <c r="SF166" s="26"/>
      <c r="SG166" s="26"/>
      <c r="SH166" s="26"/>
      <c r="SI166" s="26"/>
      <c r="SJ166" s="26"/>
      <c r="SK166" s="26"/>
      <c r="SL166" s="26"/>
      <c r="SM166" s="26"/>
      <c r="SN166" s="26"/>
      <c r="SO166" s="26"/>
      <c r="SP166" s="26"/>
      <c r="SQ166" s="26"/>
      <c r="SR166" s="26"/>
      <c r="SS166" s="26"/>
      <c r="ST166" s="26"/>
      <c r="SU166" s="26"/>
      <c r="SV166" s="26"/>
      <c r="SW166" s="26"/>
      <c r="SX166" s="26"/>
      <c r="SY166" s="26"/>
      <c r="SZ166" s="26"/>
      <c r="TA166" s="26"/>
      <c r="TB166" s="26"/>
      <c r="TC166" s="26"/>
      <c r="TD166" s="26"/>
      <c r="TE166" s="26"/>
      <c r="TF166" s="26"/>
      <c r="TG166" s="26"/>
      <c r="TH166" s="26"/>
      <c r="TI166" s="26"/>
      <c r="TJ166" s="26"/>
      <c r="TK166" s="26"/>
      <c r="TL166" s="26"/>
      <c r="TM166" s="26"/>
      <c r="TN166" s="26"/>
      <c r="TO166" s="26"/>
      <c r="TP166" s="26"/>
      <c r="TQ166" s="26"/>
      <c r="TR166" s="26"/>
      <c r="TS166" s="26"/>
      <c r="TT166" s="26"/>
      <c r="TU166" s="26"/>
      <c r="TV166" s="26"/>
      <c r="TW166" s="26"/>
      <c r="TX166" s="26"/>
      <c r="TY166" s="26"/>
      <c r="TZ166" s="26"/>
      <c r="UA166" s="26"/>
      <c r="UB166" s="26"/>
      <c r="UC166" s="26"/>
      <c r="UD166" s="26"/>
      <c r="UE166" s="26"/>
      <c r="UF166" s="26"/>
      <c r="UG166" s="26"/>
      <c r="UH166" s="26"/>
      <c r="UI166" s="26"/>
      <c r="UJ166" s="26"/>
      <c r="UK166" s="26"/>
      <c r="UL166" s="26"/>
      <c r="UM166" s="26"/>
      <c r="UN166" s="26"/>
      <c r="UO166" s="26"/>
      <c r="UP166" s="26"/>
      <c r="UQ166" s="26"/>
      <c r="UR166" s="26"/>
      <c r="US166" s="26"/>
      <c r="UT166" s="26"/>
      <c r="UU166" s="26"/>
      <c r="UV166" s="26"/>
      <c r="UW166" s="26"/>
      <c r="UX166" s="26"/>
      <c r="UY166" s="26"/>
      <c r="UZ166" s="26"/>
      <c r="VA166" s="26"/>
      <c r="VB166" s="26"/>
      <c r="VC166" s="26"/>
      <c r="VD166" s="26"/>
      <c r="VE166" s="26"/>
      <c r="VF166" s="26"/>
      <c r="VG166" s="26"/>
      <c r="VH166" s="26"/>
      <c r="VI166" s="26"/>
      <c r="VJ166" s="26"/>
      <c r="VK166" s="26"/>
      <c r="VL166" s="26"/>
      <c r="VM166" s="26"/>
      <c r="VN166" s="26"/>
      <c r="VO166" s="26"/>
      <c r="VP166" s="26"/>
      <c r="VQ166" s="26"/>
      <c r="VR166" s="26"/>
      <c r="VS166" s="26"/>
      <c r="VT166" s="26"/>
      <c r="VU166" s="26"/>
      <c r="VV166" s="26"/>
      <c r="VW166" s="26"/>
      <c r="VX166" s="26"/>
      <c r="VY166" s="26"/>
      <c r="VZ166" s="26"/>
      <c r="WA166" s="26"/>
      <c r="WB166" s="26"/>
      <c r="WC166" s="26"/>
      <c r="WD166" s="26"/>
      <c r="WE166" s="26"/>
      <c r="WF166" s="26"/>
      <c r="WG166" s="26"/>
      <c r="WH166" s="26"/>
      <c r="WI166" s="26"/>
      <c r="WJ166" s="26"/>
      <c r="WK166" s="26"/>
      <c r="WL166" s="26"/>
      <c r="WM166" s="26"/>
      <c r="WN166" s="26"/>
      <c r="WO166" s="26"/>
      <c r="WP166" s="26"/>
      <c r="WQ166" s="26"/>
      <c r="WR166" s="26"/>
      <c r="WS166" s="26"/>
      <c r="WT166" s="26"/>
      <c r="WU166" s="26"/>
      <c r="WV166" s="26"/>
      <c r="WW166" s="26"/>
      <c r="WX166" s="26"/>
      <c r="WY166" s="26"/>
      <c r="WZ166" s="26"/>
      <c r="XA166" s="26"/>
      <c r="XB166" s="26"/>
      <c r="XC166" s="26"/>
      <c r="XD166" s="26"/>
      <c r="XE166" s="26"/>
      <c r="XF166" s="26"/>
      <c r="XG166" s="26"/>
      <c r="XH166" s="26"/>
      <c r="XI166" s="26"/>
      <c r="XJ166" s="26"/>
      <c r="XK166" s="26"/>
      <c r="XL166" s="26"/>
      <c r="XM166" s="26"/>
      <c r="XN166" s="26"/>
      <c r="XO166" s="26"/>
      <c r="XP166" s="26"/>
      <c r="XQ166" s="26"/>
      <c r="XR166" s="26"/>
      <c r="XS166" s="26"/>
      <c r="XT166" s="26"/>
      <c r="XU166" s="26"/>
      <c r="XV166" s="26"/>
      <c r="XW166" s="26"/>
      <c r="XX166" s="26"/>
      <c r="XY166" s="26"/>
      <c r="XZ166" s="26"/>
      <c r="YA166" s="26"/>
      <c r="YB166" s="26"/>
      <c r="YC166" s="26"/>
      <c r="YD166" s="26"/>
      <c r="YE166" s="26"/>
      <c r="YF166" s="26"/>
      <c r="YG166" s="26"/>
      <c r="YH166" s="26"/>
      <c r="YI166" s="26"/>
      <c r="YJ166" s="26"/>
      <c r="YK166" s="26"/>
      <c r="YL166" s="26"/>
      <c r="YM166" s="26"/>
      <c r="YN166" s="26"/>
      <c r="YO166" s="26"/>
      <c r="YP166" s="26"/>
      <c r="YQ166" s="26"/>
      <c r="YR166" s="26"/>
      <c r="YS166" s="26"/>
      <c r="YT166" s="26"/>
      <c r="YU166" s="26"/>
      <c r="YV166" s="26"/>
      <c r="YW166" s="26"/>
      <c r="YX166" s="26"/>
      <c r="YY166" s="26"/>
      <c r="YZ166" s="26"/>
      <c r="ZA166" s="26"/>
      <c r="ZB166" s="26"/>
      <c r="ZC166" s="26"/>
      <c r="ZD166" s="26"/>
      <c r="ZE166" s="26"/>
      <c r="ZF166" s="26"/>
      <c r="ZG166" s="26"/>
      <c r="ZH166" s="26"/>
      <c r="ZI166" s="26"/>
      <c r="ZJ166" s="26"/>
      <c r="ZK166" s="26"/>
      <c r="ZL166" s="26"/>
      <c r="ZM166" s="26"/>
      <c r="ZN166" s="26"/>
      <c r="ZO166" s="26"/>
      <c r="ZP166" s="26"/>
      <c r="ZQ166" s="26"/>
      <c r="ZR166" s="26"/>
      <c r="ZS166" s="26"/>
      <c r="ZT166" s="26"/>
      <c r="ZU166" s="26"/>
      <c r="ZV166" s="26"/>
      <c r="ZW166" s="26"/>
      <c r="ZX166" s="26"/>
      <c r="ZY166" s="26"/>
      <c r="ZZ166" s="26"/>
      <c r="AAA166" s="26"/>
      <c r="AAB166" s="26"/>
      <c r="AAC166" s="26"/>
      <c r="AAD166" s="26"/>
      <c r="AAE166" s="26"/>
      <c r="AAF166" s="26"/>
      <c r="AAG166" s="26"/>
      <c r="AAH166" s="26"/>
      <c r="AAI166" s="26"/>
      <c r="AAJ166" s="26"/>
      <c r="AAK166" s="26"/>
      <c r="AAL166" s="26"/>
      <c r="AAM166" s="26"/>
      <c r="AAN166" s="26"/>
      <c r="AAO166" s="26"/>
      <c r="AAP166" s="26"/>
      <c r="AAQ166" s="26"/>
      <c r="AAR166" s="26"/>
      <c r="AAS166" s="26"/>
      <c r="AAT166" s="26"/>
      <c r="AAU166" s="26"/>
      <c r="AAV166" s="26"/>
      <c r="AAW166" s="26"/>
      <c r="AAX166" s="26"/>
      <c r="AAY166" s="26"/>
      <c r="AAZ166" s="26"/>
      <c r="ABA166" s="26"/>
      <c r="ABB166" s="26"/>
      <c r="ABC166" s="26"/>
      <c r="ABD166" s="26"/>
      <c r="ABE166" s="26"/>
      <c r="ABF166" s="26"/>
      <c r="ABG166" s="26"/>
      <c r="ABH166" s="26"/>
      <c r="ABI166" s="26"/>
      <c r="ABJ166" s="26"/>
      <c r="ABK166" s="26"/>
      <c r="ABL166" s="26"/>
      <c r="ABM166" s="26"/>
      <c r="ABN166" s="26"/>
      <c r="ABO166" s="26"/>
      <c r="ABP166" s="26"/>
      <c r="ABQ166" s="26"/>
      <c r="ABR166" s="26"/>
      <c r="ABS166" s="26"/>
      <c r="ABT166" s="26"/>
      <c r="ABU166" s="26"/>
      <c r="ABV166" s="26"/>
      <c r="ABW166" s="26"/>
      <c r="ABX166" s="26"/>
      <c r="ABY166" s="26"/>
      <c r="ABZ166" s="26"/>
      <c r="ACA166" s="26"/>
      <c r="ACB166" s="26"/>
      <c r="ACC166" s="26"/>
      <c r="ACD166" s="26"/>
      <c r="ACE166" s="26"/>
      <c r="ACF166" s="26"/>
      <c r="ACG166" s="26"/>
      <c r="ACH166" s="26"/>
      <c r="ACI166" s="26"/>
      <c r="ACJ166" s="26"/>
      <c r="ACK166" s="26"/>
      <c r="ACL166" s="26"/>
      <c r="ACM166" s="26"/>
      <c r="ACN166" s="26"/>
      <c r="ACO166" s="26"/>
      <c r="ACP166" s="26"/>
      <c r="ACQ166" s="26"/>
      <c r="ACR166" s="26"/>
      <c r="ACS166" s="26"/>
      <c r="ACT166" s="26"/>
      <c r="ACU166" s="26"/>
      <c r="ACV166" s="26"/>
      <c r="ACW166" s="26"/>
      <c r="ACX166" s="26"/>
      <c r="ACY166" s="26"/>
      <c r="ACZ166" s="26"/>
      <c r="ADA166" s="26"/>
      <c r="ADB166" s="26"/>
      <c r="ADC166" s="26"/>
      <c r="ADD166" s="26"/>
      <c r="ADE166" s="26"/>
      <c r="ADF166" s="26"/>
      <c r="ADG166" s="26"/>
      <c r="ADH166" s="26"/>
      <c r="ADI166" s="26"/>
      <c r="ADJ166" s="26"/>
      <c r="ADK166" s="26"/>
      <c r="ADL166" s="26"/>
      <c r="ADM166" s="26"/>
      <c r="ADN166" s="26"/>
      <c r="ADO166" s="26"/>
      <c r="ADP166" s="26"/>
      <c r="ADQ166" s="26"/>
      <c r="ADR166" s="26"/>
      <c r="ADS166" s="26"/>
      <c r="ADT166" s="26"/>
      <c r="ADU166" s="26"/>
      <c r="ADV166" s="26"/>
      <c r="ADW166" s="26"/>
      <c r="ADX166" s="26"/>
      <c r="ADY166" s="26"/>
      <c r="ADZ166" s="26"/>
      <c r="AEA166" s="26"/>
      <c r="AEB166" s="26"/>
      <c r="AEC166" s="26"/>
      <c r="AED166" s="26"/>
      <c r="AEE166" s="26"/>
      <c r="AEF166" s="26"/>
      <c r="AEG166" s="26"/>
      <c r="AEH166" s="26"/>
      <c r="AEI166" s="26"/>
      <c r="AEJ166" s="26"/>
      <c r="AEK166" s="26"/>
      <c r="AEL166" s="26"/>
      <c r="AEM166" s="26"/>
      <c r="AEN166" s="26"/>
      <c r="AEO166" s="26"/>
      <c r="AEP166" s="26"/>
      <c r="AEQ166" s="26"/>
      <c r="AER166" s="26"/>
      <c r="AES166" s="26"/>
      <c r="AET166" s="26"/>
      <c r="AEU166" s="26"/>
      <c r="AEV166" s="26"/>
      <c r="AEW166" s="26"/>
      <c r="AEX166" s="26"/>
      <c r="AEY166" s="26"/>
      <c r="AEZ166" s="26"/>
      <c r="AFA166" s="26"/>
      <c r="AFB166" s="26"/>
      <c r="AFC166" s="26"/>
      <c r="AFD166" s="26"/>
      <c r="AFE166" s="26"/>
      <c r="AFF166" s="26"/>
      <c r="AFG166" s="26"/>
      <c r="AFH166" s="26"/>
      <c r="AFI166" s="26"/>
      <c r="AFJ166" s="26"/>
      <c r="AFK166" s="26"/>
      <c r="AFL166" s="26"/>
      <c r="AFM166" s="26"/>
      <c r="AFN166" s="26"/>
      <c r="AFO166" s="26"/>
      <c r="AFP166" s="26"/>
      <c r="AFQ166" s="26"/>
      <c r="AFR166" s="26"/>
      <c r="AFS166" s="26"/>
      <c r="AFT166" s="26"/>
      <c r="AFU166" s="26"/>
      <c r="AFV166" s="26"/>
      <c r="AFW166" s="26"/>
      <c r="AFX166" s="26"/>
      <c r="AFY166" s="26"/>
      <c r="AFZ166" s="26"/>
      <c r="AGA166" s="26"/>
      <c r="AGB166" s="26"/>
      <c r="AGC166" s="26"/>
      <c r="AGD166" s="26"/>
      <c r="AGE166" s="26"/>
      <c r="AGF166" s="26"/>
      <c r="AGG166" s="26"/>
      <c r="AGH166" s="26"/>
      <c r="AGI166" s="26"/>
      <c r="AGJ166" s="26"/>
      <c r="AGK166" s="26"/>
      <c r="AGL166" s="26"/>
      <c r="AGM166" s="26"/>
      <c r="AGN166" s="26"/>
      <c r="AGO166" s="26"/>
      <c r="AGP166" s="26"/>
      <c r="AGQ166" s="26"/>
      <c r="AGR166" s="26"/>
      <c r="AGS166" s="26"/>
      <c r="AGT166" s="26"/>
      <c r="AGU166" s="26"/>
      <c r="AGV166" s="26"/>
      <c r="AGW166" s="26"/>
      <c r="AGX166" s="26"/>
      <c r="AGY166" s="26"/>
      <c r="AGZ166" s="26"/>
      <c r="AHA166" s="26"/>
      <c r="AHB166" s="26"/>
      <c r="AHC166" s="26"/>
      <c r="AHD166" s="26"/>
      <c r="AHE166" s="26"/>
      <c r="AHF166" s="26"/>
      <c r="AHG166" s="26"/>
      <c r="AHH166" s="26"/>
      <c r="AHI166" s="26"/>
      <c r="AHJ166" s="26"/>
      <c r="AHK166" s="26"/>
      <c r="AHL166" s="26"/>
      <c r="AHM166" s="26"/>
      <c r="AHN166" s="26"/>
      <c r="AHO166" s="26"/>
      <c r="AHP166" s="26"/>
      <c r="AHQ166" s="26"/>
      <c r="AHR166" s="26"/>
      <c r="AHS166" s="26"/>
      <c r="AHT166" s="26"/>
      <c r="AHU166" s="26"/>
      <c r="AHV166" s="26"/>
      <c r="AHW166" s="26"/>
      <c r="AHX166" s="26"/>
      <c r="AHY166" s="26"/>
      <c r="AHZ166" s="26"/>
      <c r="AIA166" s="26"/>
      <c r="AIB166" s="26"/>
      <c r="AIC166" s="26"/>
      <c r="AID166" s="26"/>
      <c r="AIE166" s="26"/>
      <c r="AIF166" s="26"/>
      <c r="AIG166" s="26"/>
      <c r="AIH166" s="26"/>
      <c r="AII166" s="26"/>
      <c r="AIJ166" s="26"/>
      <c r="AIK166" s="26"/>
      <c r="AIL166" s="26"/>
      <c r="AIM166" s="26"/>
      <c r="AIN166" s="26"/>
      <c r="AIO166" s="26"/>
      <c r="AIP166" s="26"/>
      <c r="AIQ166" s="26"/>
      <c r="AIR166" s="26"/>
      <c r="AIS166" s="26"/>
      <c r="AIT166" s="26"/>
      <c r="AIU166" s="26"/>
      <c r="AIV166" s="26"/>
      <c r="AIW166" s="26"/>
      <c r="AIX166" s="26"/>
      <c r="AIY166" s="26"/>
      <c r="AIZ166" s="26"/>
      <c r="AJA166" s="26"/>
      <c r="AJB166" s="26"/>
      <c r="AJC166" s="26"/>
      <c r="AJD166" s="26"/>
      <c r="AJE166" s="26"/>
      <c r="AJF166" s="26"/>
      <c r="AJG166" s="26"/>
      <c r="AJH166" s="26"/>
      <c r="AJI166" s="26"/>
      <c r="AJJ166" s="26"/>
      <c r="AJK166" s="26"/>
      <c r="AJL166" s="26"/>
      <c r="AJM166" s="26"/>
      <c r="AJN166" s="26"/>
      <c r="AJO166" s="26"/>
      <c r="AJP166" s="26"/>
      <c r="AJQ166" s="26"/>
      <c r="AJR166" s="26"/>
      <c r="AJS166" s="26"/>
      <c r="AJT166" s="26"/>
      <c r="AJU166" s="26"/>
      <c r="AJV166" s="26"/>
      <c r="AJW166" s="26"/>
      <c r="AJX166" s="26"/>
      <c r="AJY166" s="26"/>
      <c r="AJZ166" s="26"/>
      <c r="AKA166" s="26"/>
      <c r="AKB166" s="26"/>
      <c r="AKC166" s="26"/>
      <c r="AKD166" s="26"/>
      <c r="AKE166" s="26"/>
      <c r="AKF166" s="26"/>
      <c r="AKG166" s="26"/>
      <c r="AKH166" s="26"/>
      <c r="AKI166" s="26"/>
      <c r="AKJ166" s="26"/>
      <c r="AKK166" s="26"/>
      <c r="AKL166" s="26"/>
      <c r="AKM166" s="26"/>
      <c r="AKN166" s="26"/>
      <c r="AKO166" s="26"/>
      <c r="AKP166" s="26"/>
      <c r="AKQ166" s="26"/>
      <c r="AKR166" s="26"/>
      <c r="AKS166" s="26"/>
      <c r="AKT166" s="26"/>
      <c r="AKU166" s="26"/>
      <c r="AKV166" s="26"/>
      <c r="AKW166" s="26"/>
      <c r="AKX166" s="26"/>
      <c r="AKY166" s="26"/>
      <c r="AKZ166" s="26"/>
      <c r="ALA166" s="26"/>
      <c r="ALB166" s="26"/>
      <c r="ALC166" s="26"/>
      <c r="ALD166" s="26"/>
      <c r="ALE166" s="26"/>
      <c r="ALF166" s="26"/>
      <c r="ALG166" s="26"/>
      <c r="ALH166" s="26"/>
      <c r="ALI166" s="26"/>
      <c r="ALJ166" s="26"/>
      <c r="ALK166" s="26"/>
      <c r="ALL166" s="26"/>
      <c r="ALM166" s="26"/>
      <c r="ALN166" s="26"/>
      <c r="ALO166" s="26"/>
      <c r="ALP166" s="26"/>
      <c r="ALQ166" s="26"/>
      <c r="ALR166" s="26"/>
      <c r="ALS166" s="26"/>
      <c r="ALT166" s="26"/>
      <c r="ALU166" s="26"/>
      <c r="ALV166" s="26"/>
      <c r="ALW166" s="26"/>
      <c r="ALX166" s="26"/>
      <c r="ALY166" s="26"/>
      <c r="ALZ166" s="26"/>
      <c r="AMA166" s="26"/>
      <c r="AMB166" s="26"/>
      <c r="AMC166" s="26"/>
      <c r="AMD166" s="26"/>
      <c r="AME166" s="26"/>
      <c r="AMF166" s="26"/>
      <c r="AMG166" s="26"/>
      <c r="AMH166" s="26"/>
      <c r="AMI166" s="26"/>
      <c r="AMJ166" s="26"/>
      <c r="AMK166" s="26"/>
      <c r="AML166" s="26"/>
      <c r="AMM166" s="26"/>
      <c r="AMN166" s="26"/>
      <c r="AMO166" s="26"/>
      <c r="AMP166" s="26"/>
      <c r="AMQ166" s="26"/>
      <c r="AMR166" s="26"/>
      <c r="AMS166" s="26"/>
      <c r="AMT166" s="26"/>
      <c r="AMU166" s="26"/>
      <c r="AMV166" s="26"/>
      <c r="AMW166" s="26"/>
      <c r="AMX166" s="26"/>
      <c r="AMY166" s="26"/>
      <c r="AMZ166" s="26"/>
      <c r="ANA166" s="26"/>
      <c r="ANB166" s="26"/>
      <c r="ANC166" s="26"/>
      <c r="AND166" s="26"/>
      <c r="ANE166" s="26"/>
      <c r="ANF166" s="26"/>
      <c r="ANG166" s="26"/>
      <c r="ANH166" s="26"/>
      <c r="ANI166" s="26"/>
      <c r="ANJ166" s="26"/>
      <c r="ANK166" s="26"/>
      <c r="ANL166" s="26"/>
      <c r="ANM166" s="26"/>
      <c r="ANN166" s="26"/>
      <c r="ANO166" s="26"/>
      <c r="ANP166" s="26"/>
      <c r="ANQ166" s="26"/>
      <c r="ANR166" s="26"/>
      <c r="ANS166" s="26"/>
      <c r="ANT166" s="26"/>
      <c r="ANU166" s="26"/>
      <c r="ANV166" s="26"/>
      <c r="ANW166" s="26"/>
      <c r="ANX166" s="26"/>
      <c r="ANY166" s="26"/>
      <c r="ANZ166" s="26"/>
      <c r="AOA166" s="26"/>
      <c r="AOB166" s="26"/>
      <c r="AOC166" s="26"/>
      <c r="AOD166" s="26"/>
      <c r="AOE166" s="26"/>
      <c r="AOF166" s="26"/>
      <c r="AOG166" s="26"/>
      <c r="AOH166" s="26"/>
      <c r="AOI166" s="26"/>
      <c r="AOJ166" s="26"/>
      <c r="AOK166" s="26"/>
      <c r="AOL166" s="26"/>
      <c r="AOM166" s="26"/>
      <c r="AON166" s="26"/>
      <c r="AOO166" s="26"/>
      <c r="AOP166" s="26"/>
      <c r="AOQ166" s="26"/>
      <c r="AOR166" s="26"/>
      <c r="AOS166" s="26"/>
      <c r="AOT166" s="26"/>
      <c r="AOU166" s="26"/>
      <c r="AOV166" s="26"/>
      <c r="AOW166" s="26"/>
      <c r="AOX166" s="26"/>
      <c r="AOY166" s="26"/>
      <c r="AOZ166" s="26"/>
      <c r="APA166" s="26"/>
      <c r="APB166" s="26"/>
      <c r="APC166" s="26"/>
      <c r="APD166" s="26"/>
      <c r="APE166" s="26"/>
      <c r="APF166" s="26"/>
      <c r="APG166" s="26"/>
      <c r="APH166" s="26"/>
      <c r="API166" s="26"/>
      <c r="APJ166" s="26"/>
      <c r="APK166" s="26"/>
      <c r="APL166" s="26"/>
      <c r="APM166" s="26"/>
      <c r="APN166" s="26"/>
      <c r="APO166" s="26"/>
      <c r="APP166" s="26"/>
      <c r="APQ166" s="26"/>
      <c r="APR166" s="26"/>
      <c r="APS166" s="26"/>
      <c r="APT166" s="26"/>
      <c r="APU166" s="26"/>
      <c r="APV166" s="26"/>
      <c r="APW166" s="26"/>
      <c r="APX166" s="26"/>
      <c r="APY166" s="26"/>
      <c r="APZ166" s="26"/>
      <c r="AQA166" s="26"/>
      <c r="AQB166" s="26"/>
      <c r="AQC166" s="26"/>
      <c r="AQD166" s="26"/>
      <c r="AQE166" s="26"/>
      <c r="AQF166" s="26"/>
      <c r="AQG166" s="26"/>
      <c r="AQH166" s="26"/>
      <c r="AQI166" s="26"/>
      <c r="AQJ166" s="26"/>
      <c r="AQK166" s="26"/>
      <c r="AQL166" s="26"/>
      <c r="AQM166" s="26"/>
      <c r="AQN166" s="26"/>
      <c r="AQO166" s="26"/>
      <c r="AQP166" s="26"/>
      <c r="AQQ166" s="26"/>
      <c r="AQR166" s="26"/>
      <c r="AQS166" s="26"/>
      <c r="AQT166" s="26"/>
      <c r="AQU166" s="26"/>
      <c r="AQV166" s="26"/>
      <c r="AQW166" s="26"/>
      <c r="AQX166" s="26"/>
      <c r="AQY166" s="26"/>
      <c r="AQZ166" s="26"/>
      <c r="ARA166" s="26"/>
      <c r="ARB166" s="26"/>
      <c r="ARC166" s="26"/>
      <c r="ARD166" s="26"/>
      <c r="ARE166" s="26"/>
      <c r="ARF166" s="26"/>
      <c r="ARG166" s="26"/>
      <c r="ARH166" s="26"/>
      <c r="ARI166" s="26"/>
      <c r="ARJ166" s="26"/>
      <c r="ARK166" s="26"/>
      <c r="ARL166" s="26"/>
      <c r="ARM166" s="26"/>
      <c r="ARN166" s="26"/>
      <c r="ARO166" s="26"/>
      <c r="ARP166" s="26"/>
      <c r="ARQ166" s="26"/>
      <c r="ARR166" s="26"/>
      <c r="ARS166" s="26"/>
      <c r="ART166" s="26"/>
      <c r="ARU166" s="26"/>
      <c r="ARV166" s="26"/>
      <c r="ARW166" s="26"/>
      <c r="ARX166" s="26"/>
      <c r="ARY166" s="26"/>
      <c r="ARZ166" s="26"/>
      <c r="ASA166" s="26"/>
      <c r="ASB166" s="26"/>
      <c r="ASC166" s="26"/>
      <c r="ASD166" s="26"/>
      <c r="ASE166" s="26"/>
      <c r="ASF166" s="26"/>
      <c r="ASG166" s="26"/>
      <c r="ASH166" s="26"/>
      <c r="ASI166" s="26"/>
      <c r="ASJ166" s="26"/>
      <c r="ASK166" s="26"/>
      <c r="ASL166" s="26"/>
      <c r="ASM166" s="26"/>
      <c r="ASN166" s="26"/>
      <c r="ASO166" s="26"/>
      <c r="ASP166" s="26"/>
      <c r="ASQ166" s="26"/>
      <c r="ASR166" s="26"/>
      <c r="ASS166" s="26"/>
      <c r="AST166" s="26"/>
      <c r="ASU166" s="26"/>
      <c r="ASV166" s="26"/>
      <c r="ASW166" s="26"/>
      <c r="ASX166" s="26"/>
      <c r="ASY166" s="26"/>
      <c r="ASZ166" s="26"/>
      <c r="ATA166" s="26"/>
      <c r="ATB166" s="26"/>
      <c r="ATC166" s="26"/>
      <c r="ATD166" s="26"/>
      <c r="ATE166" s="26"/>
      <c r="ATF166" s="26"/>
      <c r="ATG166" s="26"/>
      <c r="ATH166" s="26"/>
      <c r="ATI166" s="26"/>
      <c r="ATJ166" s="26"/>
      <c r="ATK166" s="26"/>
      <c r="ATL166" s="26"/>
      <c r="ATM166" s="26"/>
      <c r="ATN166" s="26"/>
      <c r="ATO166" s="26"/>
      <c r="ATP166" s="26"/>
      <c r="ATQ166" s="26"/>
      <c r="ATR166" s="26"/>
      <c r="ATS166" s="26"/>
      <c r="ATT166" s="26"/>
      <c r="ATU166" s="26"/>
      <c r="ATV166" s="26"/>
      <c r="ATW166" s="26"/>
      <c r="ATX166" s="26"/>
      <c r="ATY166" s="26"/>
      <c r="ATZ166" s="26"/>
      <c r="AUA166" s="26"/>
      <c r="AUB166" s="26"/>
      <c r="AUC166" s="26"/>
      <c r="AUD166" s="26"/>
      <c r="AUE166" s="26"/>
      <c r="AUF166" s="26"/>
      <c r="AUG166" s="26"/>
      <c r="AUH166" s="26"/>
      <c r="AUI166" s="26"/>
      <c r="AUJ166" s="26"/>
      <c r="AUK166" s="26"/>
      <c r="AUL166" s="26"/>
      <c r="AUM166" s="26"/>
      <c r="AUN166" s="26"/>
      <c r="AUO166" s="26"/>
      <c r="AUP166" s="26"/>
      <c r="AUQ166" s="26"/>
      <c r="AUR166" s="26"/>
      <c r="AUS166" s="26"/>
      <c r="AUT166" s="26"/>
      <c r="AUU166" s="26"/>
      <c r="AUV166" s="26"/>
      <c r="AUW166" s="26"/>
      <c r="AUX166" s="26"/>
      <c r="AUY166" s="26"/>
      <c r="AUZ166" s="26"/>
      <c r="AVA166" s="26"/>
      <c r="AVB166" s="26"/>
      <c r="AVC166" s="26"/>
      <c r="AVD166" s="26"/>
      <c r="AVE166" s="26"/>
      <c r="AVF166" s="26"/>
      <c r="AVG166" s="26"/>
      <c r="AVH166" s="26"/>
      <c r="AVI166" s="26"/>
      <c r="AVJ166" s="26"/>
      <c r="AVK166" s="26"/>
      <c r="AVL166" s="26"/>
      <c r="AVM166" s="26"/>
      <c r="AVN166" s="26"/>
      <c r="AVO166" s="26"/>
      <c r="AVP166" s="26"/>
      <c r="AVQ166" s="26"/>
      <c r="AVR166" s="26"/>
      <c r="AVS166" s="26"/>
      <c r="AVT166" s="26"/>
      <c r="AVU166" s="26"/>
      <c r="AVV166" s="26"/>
      <c r="AVW166" s="26"/>
      <c r="AVX166" s="26"/>
      <c r="AVY166" s="26"/>
      <c r="AVZ166" s="26"/>
      <c r="AWA166" s="26"/>
      <c r="AWB166" s="26"/>
      <c r="AWC166" s="26"/>
      <c r="AWD166" s="26"/>
      <c r="AWE166" s="26"/>
      <c r="AWF166" s="26"/>
      <c r="AWG166" s="26"/>
      <c r="AWH166" s="26"/>
      <c r="AWI166" s="26"/>
      <c r="AWJ166" s="26"/>
      <c r="AWK166" s="26"/>
      <c r="AWL166" s="26"/>
      <c r="AWM166" s="26"/>
      <c r="AWN166" s="26"/>
      <c r="AWO166" s="26"/>
      <c r="AWP166" s="26"/>
      <c r="AWQ166" s="26"/>
      <c r="AWR166" s="26"/>
      <c r="AWS166" s="26"/>
      <c r="AWT166" s="26"/>
      <c r="AWU166" s="26"/>
      <c r="AWV166" s="26"/>
      <c r="AWW166" s="26"/>
      <c r="AWX166" s="26"/>
      <c r="AWY166" s="26"/>
      <c r="AWZ166" s="26"/>
      <c r="AXA166" s="26"/>
      <c r="AXB166" s="26"/>
      <c r="AXC166" s="26"/>
      <c r="AXD166" s="26"/>
      <c r="AXE166" s="26"/>
      <c r="AXF166" s="26"/>
      <c r="AXG166" s="26"/>
      <c r="AXH166" s="26"/>
      <c r="AXI166" s="26"/>
      <c r="AXJ166" s="26"/>
      <c r="AXK166" s="26"/>
      <c r="AXL166" s="26"/>
      <c r="AXM166" s="26"/>
      <c r="AXN166" s="26"/>
      <c r="AXO166" s="26"/>
      <c r="AXP166" s="26"/>
      <c r="AXQ166" s="26"/>
      <c r="AXR166" s="26"/>
      <c r="AXS166" s="26"/>
      <c r="AXT166" s="26"/>
      <c r="AXU166" s="26"/>
      <c r="AXV166" s="26"/>
      <c r="AXW166" s="26"/>
      <c r="AXX166" s="26"/>
      <c r="AXY166" s="26"/>
      <c r="AXZ166" s="26"/>
      <c r="AYA166" s="26"/>
      <c r="AYB166" s="26"/>
      <c r="AYC166" s="26"/>
      <c r="AYD166" s="26"/>
      <c r="AYE166" s="26"/>
      <c r="AYF166" s="26"/>
      <c r="AYG166" s="26"/>
      <c r="AYH166" s="26"/>
      <c r="AYI166" s="26"/>
      <c r="AYJ166" s="26"/>
      <c r="AYK166" s="26"/>
      <c r="AYL166" s="26"/>
      <c r="AYM166" s="26"/>
      <c r="AYN166" s="26"/>
      <c r="AYO166" s="26"/>
      <c r="AYP166" s="26"/>
      <c r="AYQ166" s="26"/>
      <c r="AYR166" s="26"/>
      <c r="AYS166" s="26"/>
      <c r="AYT166" s="26"/>
      <c r="AYU166" s="26"/>
      <c r="AYV166" s="26"/>
      <c r="AYW166" s="26"/>
      <c r="AYX166" s="26"/>
      <c r="AYY166" s="26"/>
      <c r="AYZ166" s="26"/>
      <c r="AZA166" s="26"/>
      <c r="AZB166" s="26"/>
      <c r="AZC166" s="26"/>
      <c r="AZD166" s="26"/>
      <c r="AZE166" s="26"/>
      <c r="AZF166" s="26"/>
      <c r="AZG166" s="26"/>
      <c r="AZH166" s="26"/>
      <c r="AZI166" s="26"/>
      <c r="AZJ166" s="26"/>
      <c r="AZK166" s="26"/>
      <c r="AZL166" s="26"/>
      <c r="AZM166" s="26"/>
      <c r="AZN166" s="26"/>
      <c r="AZO166" s="26"/>
      <c r="AZP166" s="26"/>
      <c r="AZQ166" s="26"/>
      <c r="AZR166" s="26"/>
      <c r="AZS166" s="26"/>
      <c r="AZT166" s="26"/>
      <c r="AZU166" s="26"/>
      <c r="AZV166" s="26"/>
      <c r="AZW166" s="26"/>
      <c r="AZX166" s="26"/>
      <c r="AZY166" s="26"/>
      <c r="AZZ166" s="26"/>
      <c r="BAA166" s="26"/>
      <c r="BAB166" s="26"/>
      <c r="BAC166" s="26"/>
      <c r="BAD166" s="26"/>
      <c r="BAE166" s="26"/>
      <c r="BAF166" s="26"/>
      <c r="BAG166" s="26"/>
      <c r="BAH166" s="26"/>
      <c r="BAI166" s="26"/>
      <c r="BAJ166" s="26"/>
      <c r="BAK166" s="26"/>
      <c r="BAL166" s="26"/>
      <c r="BAM166" s="26"/>
      <c r="BAN166" s="26"/>
      <c r="BAO166" s="26"/>
      <c r="BAP166" s="26"/>
      <c r="BAQ166" s="26"/>
      <c r="BAR166" s="26"/>
      <c r="BAS166" s="26"/>
      <c r="BAT166" s="26"/>
      <c r="BAU166" s="26"/>
      <c r="BAV166" s="26"/>
      <c r="BAW166" s="26"/>
      <c r="BAX166" s="26"/>
      <c r="BAY166" s="26"/>
      <c r="BAZ166" s="26"/>
      <c r="BBA166" s="26"/>
      <c r="BBB166" s="26"/>
      <c r="BBC166" s="26"/>
      <c r="BBD166" s="26"/>
      <c r="BBE166" s="26"/>
      <c r="BBF166" s="26"/>
      <c r="BBG166" s="26"/>
      <c r="BBH166" s="26"/>
      <c r="BBI166" s="26"/>
      <c r="BBJ166" s="26"/>
      <c r="BBK166" s="26"/>
      <c r="BBL166" s="26"/>
      <c r="BBM166" s="26"/>
      <c r="BBN166" s="26"/>
      <c r="BBO166" s="26"/>
      <c r="BBP166" s="26"/>
      <c r="BBQ166" s="26"/>
      <c r="BBR166" s="26"/>
      <c r="BBS166" s="26"/>
      <c r="BBT166" s="26"/>
      <c r="BBU166" s="26"/>
      <c r="BBV166" s="26"/>
      <c r="BBW166" s="26"/>
      <c r="BBX166" s="26"/>
      <c r="BBY166" s="26"/>
      <c r="BBZ166" s="26"/>
      <c r="BCA166" s="26"/>
      <c r="BCB166" s="26"/>
      <c r="BCC166" s="26"/>
      <c r="BCD166" s="26"/>
      <c r="BCE166" s="26"/>
      <c r="BCF166" s="26"/>
      <c r="BCG166" s="26"/>
      <c r="BCH166" s="26"/>
      <c r="BCI166" s="26"/>
      <c r="BCJ166" s="26"/>
      <c r="BCK166" s="26"/>
      <c r="BCL166" s="26"/>
      <c r="BCM166" s="26"/>
      <c r="BCN166" s="26"/>
      <c r="BCO166" s="26"/>
      <c r="BCP166" s="26"/>
      <c r="BCQ166" s="26"/>
      <c r="BCR166" s="26"/>
      <c r="BCS166" s="26"/>
      <c r="BCT166" s="26"/>
      <c r="BCU166" s="26"/>
      <c r="BCV166" s="26"/>
      <c r="BCW166" s="26"/>
      <c r="BCX166" s="26"/>
      <c r="BCY166" s="26"/>
      <c r="BCZ166" s="26"/>
      <c r="BDA166" s="26"/>
      <c r="BDB166" s="26"/>
      <c r="BDC166" s="26"/>
      <c r="BDD166" s="26"/>
      <c r="BDE166" s="26"/>
      <c r="BDF166" s="26"/>
      <c r="BDG166" s="26"/>
      <c r="BDH166" s="26"/>
      <c r="BDI166" s="26"/>
      <c r="BDJ166" s="26"/>
      <c r="BDK166" s="26"/>
      <c r="BDL166" s="26"/>
      <c r="BDM166" s="26"/>
      <c r="BDN166" s="26"/>
      <c r="BDO166" s="26"/>
      <c r="BDP166" s="26"/>
      <c r="BDQ166" s="26"/>
      <c r="BDR166" s="26"/>
      <c r="BDS166" s="26"/>
      <c r="BDT166" s="26"/>
      <c r="BDU166" s="26"/>
      <c r="BDV166" s="26"/>
      <c r="BDW166" s="26"/>
      <c r="BDX166" s="26"/>
      <c r="BDY166" s="26"/>
      <c r="BDZ166" s="26"/>
      <c r="BEA166" s="26"/>
      <c r="BEB166" s="26"/>
      <c r="BEC166" s="26"/>
      <c r="BED166" s="26"/>
      <c r="BEE166" s="26"/>
      <c r="BEF166" s="26"/>
      <c r="BEG166" s="26"/>
      <c r="BEH166" s="26"/>
      <c r="BEI166" s="26"/>
      <c r="BEJ166" s="26"/>
      <c r="BEK166" s="26"/>
      <c r="BEL166" s="26"/>
      <c r="BEM166" s="26"/>
      <c r="BEN166" s="26"/>
      <c r="BEO166" s="26"/>
      <c r="BEP166" s="26"/>
      <c r="BEQ166" s="26"/>
      <c r="BER166" s="26"/>
      <c r="BES166" s="26"/>
      <c r="BET166" s="26"/>
      <c r="BEU166" s="26"/>
      <c r="BEV166" s="26"/>
      <c r="BEW166" s="26"/>
      <c r="BEX166" s="26"/>
      <c r="BEY166" s="26"/>
      <c r="BEZ166" s="26"/>
      <c r="BFA166" s="26"/>
      <c r="BFB166" s="26"/>
      <c r="BFC166" s="26"/>
      <c r="BFD166" s="26"/>
      <c r="BFE166" s="26"/>
      <c r="BFF166" s="26"/>
      <c r="BFG166" s="26"/>
      <c r="BFH166" s="26"/>
      <c r="BFI166" s="26"/>
      <c r="BFJ166" s="26"/>
      <c r="BFK166" s="26"/>
      <c r="BFL166" s="26"/>
      <c r="BFM166" s="26"/>
      <c r="BFN166" s="26"/>
      <c r="BFO166" s="26"/>
      <c r="BFP166" s="26"/>
      <c r="BFQ166" s="26"/>
      <c r="BFR166" s="26"/>
      <c r="BFS166" s="26"/>
      <c r="BFT166" s="26"/>
      <c r="BFU166" s="26"/>
      <c r="BFV166" s="26"/>
      <c r="BFW166" s="26"/>
      <c r="BFX166" s="26"/>
      <c r="BFY166" s="26"/>
      <c r="BFZ166" s="26"/>
      <c r="BGA166" s="26"/>
      <c r="BGB166" s="26"/>
      <c r="BGC166" s="26"/>
      <c r="BGD166" s="26"/>
      <c r="BGE166" s="26"/>
      <c r="BGF166" s="26"/>
      <c r="BGG166" s="26"/>
      <c r="BGH166" s="26"/>
      <c r="BGI166" s="26"/>
      <c r="BGJ166" s="26"/>
      <c r="BGK166" s="26"/>
      <c r="BGL166" s="26"/>
      <c r="BGM166" s="26"/>
      <c r="BGN166" s="26"/>
      <c r="BGO166" s="26"/>
      <c r="BGP166" s="26"/>
      <c r="BGQ166" s="26"/>
      <c r="BGR166" s="26"/>
      <c r="BGS166" s="26"/>
      <c r="BGT166" s="26"/>
      <c r="BGU166" s="26"/>
      <c r="BGV166" s="26"/>
      <c r="BGW166" s="26"/>
      <c r="BGX166" s="26"/>
      <c r="BGY166" s="26"/>
      <c r="BGZ166" s="26"/>
      <c r="BHA166" s="26"/>
      <c r="BHB166" s="26"/>
      <c r="BHC166" s="26"/>
      <c r="BHD166" s="26"/>
      <c r="BHE166" s="26"/>
      <c r="BHF166" s="26"/>
      <c r="BHG166" s="26"/>
      <c r="BHH166" s="26"/>
      <c r="BHI166" s="26"/>
      <c r="BHJ166" s="26"/>
      <c r="BHK166" s="26"/>
      <c r="BHL166" s="26"/>
      <c r="BHM166" s="26"/>
      <c r="BHN166" s="26"/>
      <c r="BHO166" s="26"/>
      <c r="BHP166" s="26"/>
      <c r="BHQ166" s="26"/>
      <c r="BHR166" s="26"/>
      <c r="BHS166" s="26"/>
      <c r="BHT166" s="26"/>
      <c r="BHU166" s="26"/>
      <c r="BHV166" s="26"/>
      <c r="BHW166" s="26"/>
      <c r="BHX166" s="26"/>
      <c r="BHY166" s="26"/>
      <c r="BHZ166" s="26"/>
      <c r="BIA166" s="26"/>
      <c r="BIB166" s="26"/>
      <c r="BIC166" s="26"/>
      <c r="BID166" s="26"/>
      <c r="BIE166" s="26"/>
      <c r="BIF166" s="26"/>
      <c r="BIG166" s="26"/>
      <c r="BIH166" s="26"/>
      <c r="BII166" s="26"/>
      <c r="BIJ166" s="26"/>
      <c r="BIK166" s="26"/>
      <c r="BIL166" s="26"/>
      <c r="BIM166" s="26"/>
      <c r="BIN166" s="26"/>
      <c r="BIO166" s="26"/>
      <c r="BIP166" s="26"/>
      <c r="BIQ166" s="26"/>
      <c r="BIR166" s="26"/>
      <c r="BIS166" s="26"/>
      <c r="BIT166" s="26"/>
      <c r="BIU166" s="26"/>
      <c r="BIV166" s="26"/>
      <c r="BIW166" s="26"/>
      <c r="BIX166" s="26"/>
      <c r="BIY166" s="26"/>
      <c r="BIZ166" s="26"/>
      <c r="BJA166" s="26"/>
      <c r="BJB166" s="26"/>
      <c r="BJC166" s="26"/>
      <c r="BJD166" s="26"/>
      <c r="BJE166" s="26"/>
      <c r="BJF166" s="26"/>
      <c r="BJG166" s="26"/>
      <c r="BJH166" s="26"/>
      <c r="BJI166" s="26"/>
      <c r="BJJ166" s="26"/>
      <c r="BJK166" s="26"/>
      <c r="BJL166" s="26"/>
      <c r="BJM166" s="26"/>
      <c r="BJN166" s="26"/>
      <c r="BJO166" s="26"/>
      <c r="BJP166" s="26"/>
      <c r="BJQ166" s="26"/>
      <c r="BJR166" s="26"/>
      <c r="BJS166" s="26"/>
      <c r="BJT166" s="26"/>
      <c r="BJU166" s="26"/>
      <c r="BJV166" s="26"/>
      <c r="BJW166" s="26"/>
      <c r="BJX166" s="26"/>
      <c r="BJY166" s="26"/>
      <c r="BJZ166" s="26"/>
      <c r="BKA166" s="26"/>
      <c r="BKB166" s="26"/>
      <c r="BKC166" s="26"/>
      <c r="BKD166" s="26"/>
      <c r="BKE166" s="26"/>
      <c r="BKF166" s="26"/>
      <c r="BKG166" s="26"/>
      <c r="BKH166" s="26"/>
      <c r="BKI166" s="26"/>
      <c r="BKJ166" s="26"/>
      <c r="BKK166" s="26"/>
      <c r="BKL166" s="26"/>
      <c r="BKM166" s="26"/>
      <c r="BKN166" s="26"/>
      <c r="BKO166" s="26"/>
      <c r="BKP166" s="26"/>
      <c r="BKQ166" s="26"/>
      <c r="BKR166" s="26"/>
      <c r="BKS166" s="26"/>
      <c r="BKT166" s="26"/>
      <c r="BKU166" s="26"/>
      <c r="BKV166" s="26"/>
      <c r="BKW166" s="26"/>
      <c r="BKX166" s="26"/>
      <c r="BKY166" s="26"/>
      <c r="BKZ166" s="26"/>
      <c r="BLA166" s="26"/>
      <c r="BLB166" s="26"/>
      <c r="BLC166" s="26"/>
      <c r="BLD166" s="26"/>
      <c r="BLE166" s="26"/>
      <c r="BLF166" s="26"/>
      <c r="BLG166" s="26"/>
      <c r="BLH166" s="26"/>
      <c r="BLI166" s="26"/>
      <c r="BLJ166" s="26"/>
      <c r="BLK166" s="26"/>
      <c r="BLL166" s="26"/>
      <c r="BLM166" s="26"/>
      <c r="BLN166" s="26"/>
      <c r="BLO166" s="26"/>
      <c r="BLP166" s="26"/>
      <c r="BLQ166" s="26"/>
      <c r="BLR166" s="26"/>
      <c r="BLS166" s="26"/>
      <c r="BLT166" s="26"/>
      <c r="BLU166" s="26"/>
      <c r="BLV166" s="26"/>
      <c r="BLW166" s="26"/>
      <c r="BLX166" s="26"/>
      <c r="BLY166" s="26"/>
      <c r="BLZ166" s="26"/>
      <c r="BMA166" s="26"/>
      <c r="BMB166" s="26"/>
      <c r="BMC166" s="26"/>
      <c r="BMD166" s="26"/>
      <c r="BME166" s="26"/>
      <c r="BMF166" s="26"/>
      <c r="BMG166" s="26"/>
      <c r="BMH166" s="26"/>
      <c r="BMI166" s="26"/>
      <c r="BMJ166" s="26"/>
      <c r="BMK166" s="26"/>
      <c r="BML166" s="26"/>
      <c r="BMM166" s="26"/>
      <c r="BMN166" s="26"/>
      <c r="BMO166" s="26"/>
      <c r="BMP166" s="26"/>
      <c r="BMQ166" s="26"/>
      <c r="BMR166" s="26"/>
      <c r="BMS166" s="26"/>
      <c r="BMT166" s="26"/>
      <c r="BMU166" s="26"/>
      <c r="BMV166" s="26"/>
      <c r="BMW166" s="26"/>
      <c r="BMX166" s="26"/>
      <c r="BMY166" s="26"/>
      <c r="BMZ166" s="26"/>
      <c r="BNA166" s="26"/>
      <c r="BNB166" s="26"/>
      <c r="BNC166" s="26"/>
      <c r="BND166" s="26"/>
      <c r="BNE166" s="26"/>
      <c r="BNF166" s="26"/>
      <c r="BNG166" s="26"/>
      <c r="BNH166" s="26"/>
      <c r="BNI166" s="26"/>
      <c r="BNJ166" s="26"/>
      <c r="BNK166" s="26"/>
      <c r="BNL166" s="26"/>
      <c r="BNM166" s="26"/>
      <c r="BNN166" s="26"/>
      <c r="BNO166" s="26"/>
      <c r="BNP166" s="26"/>
      <c r="BNQ166" s="26"/>
      <c r="BNR166" s="26"/>
      <c r="BNS166" s="26"/>
      <c r="BNT166" s="26"/>
      <c r="BNU166" s="26"/>
      <c r="BNV166" s="26"/>
      <c r="BNW166" s="26"/>
      <c r="BNX166" s="26"/>
      <c r="BNY166" s="26"/>
      <c r="BNZ166" s="26"/>
      <c r="BOA166" s="26"/>
      <c r="BOB166" s="26"/>
      <c r="BOC166" s="26"/>
      <c r="BOD166" s="26"/>
      <c r="BOE166" s="26"/>
      <c r="BOF166" s="26"/>
      <c r="BOG166" s="26"/>
      <c r="BOH166" s="26"/>
      <c r="BOI166" s="26"/>
      <c r="BOJ166" s="26"/>
      <c r="BOK166" s="26"/>
      <c r="BOL166" s="26"/>
      <c r="BOM166" s="26"/>
      <c r="BON166" s="26"/>
      <c r="BOO166" s="26"/>
      <c r="BOP166" s="26"/>
      <c r="BOQ166" s="26"/>
      <c r="BOR166" s="26"/>
      <c r="BOS166" s="26"/>
      <c r="BOT166" s="26"/>
      <c r="BOU166" s="26"/>
      <c r="BOV166" s="26"/>
      <c r="BOW166" s="26"/>
      <c r="BOX166" s="26"/>
      <c r="BOY166" s="26"/>
      <c r="BOZ166" s="26"/>
      <c r="BPA166" s="26"/>
      <c r="BPB166" s="26"/>
      <c r="BPC166" s="26"/>
      <c r="BPD166" s="26"/>
      <c r="BPE166" s="26"/>
      <c r="BPF166" s="26"/>
      <c r="BPG166" s="26"/>
      <c r="BPH166" s="26"/>
      <c r="BPI166" s="26"/>
      <c r="BPJ166" s="26"/>
      <c r="BPK166" s="26"/>
      <c r="BPL166" s="26"/>
      <c r="BPM166" s="26"/>
      <c r="BPN166" s="26"/>
      <c r="BPO166" s="26"/>
      <c r="BPP166" s="26"/>
      <c r="BPQ166" s="26"/>
      <c r="BPR166" s="26"/>
      <c r="BPS166" s="26"/>
      <c r="BPT166" s="26"/>
      <c r="BPU166" s="26"/>
      <c r="BPV166" s="26"/>
      <c r="BPW166" s="26"/>
      <c r="BPX166" s="26"/>
      <c r="BPY166" s="26"/>
      <c r="BPZ166" s="26"/>
      <c r="BQA166" s="26"/>
      <c r="BQB166" s="26"/>
      <c r="BQC166" s="26"/>
      <c r="BQD166" s="26"/>
      <c r="BQE166" s="26"/>
      <c r="BQF166" s="26"/>
      <c r="BQG166" s="26"/>
      <c r="BQH166" s="26"/>
      <c r="BQI166" s="26"/>
      <c r="BQJ166" s="26"/>
      <c r="BQK166" s="26"/>
      <c r="BQL166" s="26"/>
      <c r="BQM166" s="26"/>
      <c r="BQN166" s="26"/>
      <c r="BQO166" s="26"/>
      <c r="BQP166" s="26"/>
      <c r="BQQ166" s="26"/>
      <c r="BQR166" s="26"/>
      <c r="BQS166" s="26"/>
      <c r="BQT166" s="26"/>
      <c r="BQU166" s="26"/>
      <c r="BQV166" s="26"/>
      <c r="BQW166" s="26"/>
      <c r="BQX166" s="26"/>
      <c r="BQY166" s="26"/>
      <c r="BQZ166" s="26"/>
      <c r="BRA166" s="26"/>
      <c r="BRB166" s="26"/>
      <c r="BRC166" s="26"/>
      <c r="BRD166" s="26"/>
      <c r="BRE166" s="26"/>
      <c r="BRF166" s="26"/>
      <c r="BRG166" s="26"/>
      <c r="BRH166" s="26"/>
      <c r="BRI166" s="26"/>
      <c r="BRJ166" s="26"/>
      <c r="BRK166" s="26"/>
      <c r="BRL166" s="26"/>
      <c r="BRM166" s="26"/>
      <c r="BRN166" s="26"/>
      <c r="BRO166" s="26"/>
      <c r="BRP166" s="26"/>
      <c r="BRQ166" s="26"/>
      <c r="BRR166" s="26"/>
      <c r="BRS166" s="26"/>
      <c r="BRT166" s="26"/>
      <c r="BRU166" s="26"/>
      <c r="BRV166" s="26"/>
      <c r="BRW166" s="26"/>
      <c r="BRX166" s="26"/>
      <c r="BRY166" s="26"/>
      <c r="BRZ166" s="26"/>
      <c r="BSA166" s="26"/>
      <c r="BSB166" s="26"/>
      <c r="BSC166" s="26"/>
      <c r="BSD166" s="26"/>
      <c r="BSE166" s="26"/>
      <c r="BSF166" s="26"/>
      <c r="BSG166" s="26"/>
      <c r="BSH166" s="26"/>
      <c r="BSI166" s="26"/>
      <c r="BSJ166" s="26"/>
      <c r="BSK166" s="26"/>
      <c r="BSL166" s="26"/>
      <c r="BSM166" s="26"/>
      <c r="BSN166" s="26"/>
      <c r="BSO166" s="26"/>
      <c r="BSP166" s="26"/>
      <c r="BSQ166" s="26"/>
      <c r="BSR166" s="26"/>
      <c r="BSS166" s="26"/>
      <c r="BST166" s="26"/>
      <c r="BSU166" s="26"/>
      <c r="BSV166" s="26"/>
      <c r="BSW166" s="26"/>
      <c r="BSX166" s="26"/>
      <c r="BSY166" s="26"/>
      <c r="BSZ166" s="26"/>
      <c r="BTA166" s="26"/>
      <c r="BTB166" s="26"/>
      <c r="BTC166" s="26"/>
      <c r="BTD166" s="26"/>
      <c r="BTE166" s="26"/>
      <c r="BTF166" s="26"/>
      <c r="BTG166" s="26"/>
      <c r="BTH166" s="26"/>
      <c r="BTI166" s="26"/>
      <c r="BTJ166" s="26"/>
      <c r="BTK166" s="26"/>
      <c r="BTL166" s="26"/>
      <c r="BTM166" s="26"/>
      <c r="BTN166" s="26"/>
      <c r="BTO166" s="26"/>
      <c r="BTP166" s="26"/>
      <c r="BTQ166" s="26"/>
      <c r="BTR166" s="26"/>
      <c r="BTS166" s="26"/>
      <c r="BTT166" s="26"/>
      <c r="BTU166" s="26"/>
      <c r="BTV166" s="26"/>
      <c r="BTW166" s="26"/>
      <c r="BTX166" s="26"/>
      <c r="BTY166" s="26"/>
      <c r="BTZ166" s="26"/>
      <c r="BUA166" s="26"/>
      <c r="BUB166" s="26"/>
      <c r="BUC166" s="26"/>
      <c r="BUD166" s="26"/>
      <c r="BUE166" s="26"/>
      <c r="BUF166" s="26"/>
      <c r="BUG166" s="26"/>
      <c r="BUH166" s="26"/>
      <c r="BUI166" s="26"/>
      <c r="BUJ166" s="26"/>
      <c r="BUK166" s="26"/>
      <c r="BUL166" s="26"/>
      <c r="BUM166" s="26"/>
      <c r="BUN166" s="26"/>
      <c r="BUO166" s="26"/>
      <c r="BUP166" s="26"/>
      <c r="BUQ166" s="26"/>
      <c r="BUR166" s="26"/>
      <c r="BUS166" s="26"/>
      <c r="BUT166" s="26"/>
      <c r="BUU166" s="26"/>
      <c r="BUV166" s="26"/>
      <c r="BUW166" s="26"/>
      <c r="BUX166" s="26"/>
      <c r="BUY166" s="26"/>
      <c r="BUZ166" s="26"/>
      <c r="BVA166" s="26"/>
      <c r="BVB166" s="26"/>
      <c r="BVC166" s="26"/>
      <c r="BVD166" s="26"/>
      <c r="BVE166" s="26"/>
      <c r="BVF166" s="26"/>
      <c r="BVG166" s="26"/>
      <c r="BVH166" s="26"/>
      <c r="BVI166" s="26"/>
      <c r="BVJ166" s="26"/>
      <c r="BVK166" s="26"/>
      <c r="BVL166" s="26"/>
      <c r="BVM166" s="26"/>
      <c r="BVN166" s="26"/>
      <c r="BVO166" s="26"/>
      <c r="BVP166" s="26"/>
      <c r="BVQ166" s="26"/>
      <c r="BVR166" s="26"/>
      <c r="BVS166" s="26"/>
      <c r="BVT166" s="26"/>
      <c r="BVU166" s="26"/>
      <c r="BVV166" s="26"/>
      <c r="BVW166" s="26"/>
      <c r="BVX166" s="26"/>
      <c r="BVY166" s="26"/>
      <c r="BVZ166" s="26"/>
      <c r="BWA166" s="26"/>
      <c r="BWB166" s="26"/>
      <c r="BWC166" s="26"/>
      <c r="BWD166" s="26"/>
      <c r="BWE166" s="26"/>
      <c r="BWF166" s="26"/>
      <c r="BWG166" s="26"/>
      <c r="BWH166" s="26"/>
      <c r="BWI166" s="26"/>
      <c r="BWJ166" s="26"/>
      <c r="BWK166" s="26"/>
      <c r="BWL166" s="26"/>
      <c r="BWM166" s="26"/>
      <c r="BWN166" s="26"/>
      <c r="BWO166" s="26"/>
      <c r="BWP166" s="26"/>
      <c r="BWQ166" s="26"/>
      <c r="BWR166" s="26"/>
      <c r="BWS166" s="26"/>
      <c r="BWT166" s="26"/>
      <c r="BWU166" s="26"/>
      <c r="BWV166" s="26"/>
      <c r="BWW166" s="26"/>
      <c r="BWX166" s="26"/>
      <c r="BWY166" s="26"/>
      <c r="BWZ166" s="26"/>
      <c r="BXA166" s="26"/>
      <c r="BXB166" s="26"/>
      <c r="BXC166" s="26"/>
      <c r="BXD166" s="26"/>
      <c r="BXE166" s="26"/>
      <c r="BXF166" s="26"/>
      <c r="BXG166" s="26"/>
      <c r="BXH166" s="26"/>
      <c r="BXI166" s="26"/>
      <c r="BXJ166" s="26"/>
      <c r="BXK166" s="26"/>
      <c r="BXL166" s="26"/>
      <c r="BXM166" s="26"/>
      <c r="BXN166" s="26"/>
      <c r="BXO166" s="26"/>
      <c r="BXP166" s="26"/>
      <c r="BXQ166" s="26"/>
      <c r="BXR166" s="26"/>
      <c r="BXS166" s="26"/>
      <c r="BXT166" s="26"/>
      <c r="BXU166" s="26"/>
      <c r="BXV166" s="26"/>
      <c r="BXW166" s="26"/>
      <c r="BXX166" s="26"/>
      <c r="BXY166" s="26"/>
      <c r="BXZ166" s="26"/>
      <c r="BYA166" s="26"/>
      <c r="BYB166" s="26"/>
      <c r="BYC166" s="26"/>
      <c r="BYD166" s="26"/>
      <c r="BYE166" s="26"/>
      <c r="BYF166" s="26"/>
      <c r="BYG166" s="26"/>
      <c r="BYH166" s="26"/>
      <c r="BYI166" s="26"/>
      <c r="BYJ166" s="26"/>
      <c r="BYK166" s="26"/>
      <c r="BYL166" s="26"/>
      <c r="BYM166" s="26"/>
      <c r="BYN166" s="26"/>
      <c r="BYO166" s="26"/>
      <c r="BYP166" s="26"/>
      <c r="BYQ166" s="26"/>
      <c r="BYR166" s="26"/>
      <c r="BYS166" s="26"/>
      <c r="BYT166" s="26"/>
      <c r="BYU166" s="26"/>
      <c r="BYV166" s="26"/>
      <c r="BYW166" s="26"/>
      <c r="BYX166" s="26"/>
      <c r="BYY166" s="26"/>
      <c r="BYZ166" s="26"/>
      <c r="BZA166" s="26"/>
      <c r="BZB166" s="26"/>
      <c r="BZC166" s="26"/>
      <c r="BZD166" s="26"/>
      <c r="BZE166" s="26"/>
      <c r="BZF166" s="26"/>
      <c r="BZG166" s="26"/>
      <c r="BZH166" s="26"/>
      <c r="BZI166" s="26"/>
      <c r="BZJ166" s="26"/>
      <c r="BZK166" s="26"/>
      <c r="BZL166" s="26"/>
      <c r="BZM166" s="26"/>
      <c r="BZN166" s="26"/>
      <c r="BZO166" s="26"/>
      <c r="BZP166" s="26"/>
      <c r="BZQ166" s="26"/>
      <c r="BZR166" s="26"/>
      <c r="BZS166" s="26"/>
      <c r="BZT166" s="26"/>
      <c r="BZU166" s="26"/>
      <c r="BZV166" s="26"/>
      <c r="BZW166" s="26"/>
      <c r="BZX166" s="26"/>
      <c r="BZY166" s="26"/>
      <c r="BZZ166" s="26"/>
      <c r="CAA166" s="26"/>
      <c r="CAB166" s="26"/>
      <c r="CAC166" s="26"/>
      <c r="CAD166" s="26"/>
      <c r="CAE166" s="26"/>
      <c r="CAF166" s="26"/>
      <c r="CAG166" s="26"/>
      <c r="CAH166" s="26"/>
      <c r="CAI166" s="26"/>
      <c r="CAJ166" s="26"/>
      <c r="CAK166" s="26"/>
      <c r="CAL166" s="26"/>
      <c r="CAM166" s="26"/>
      <c r="CAN166" s="26"/>
      <c r="CAO166" s="26"/>
      <c r="CAP166" s="26"/>
      <c r="CAQ166" s="26"/>
      <c r="CAR166" s="26"/>
      <c r="CAS166" s="26"/>
      <c r="CAT166" s="26"/>
      <c r="CAU166" s="26"/>
      <c r="CAV166" s="26"/>
      <c r="CAW166" s="26"/>
      <c r="CAX166" s="26"/>
      <c r="CAY166" s="26"/>
      <c r="CAZ166" s="26"/>
      <c r="CBA166" s="26"/>
      <c r="CBB166" s="26"/>
      <c r="CBC166" s="26"/>
      <c r="CBD166" s="26"/>
      <c r="CBE166" s="26"/>
      <c r="CBF166" s="26"/>
      <c r="CBG166" s="26"/>
      <c r="CBH166" s="26"/>
      <c r="CBI166" s="26"/>
    </row>
    <row r="167" spans="1:2089" s="41" customFormat="1" ht="14" customHeight="1">
      <c r="A167" s="27">
        <v>166</v>
      </c>
      <c r="B167" s="27" t="s">
        <v>358</v>
      </c>
      <c r="C167" s="27">
        <v>2008</v>
      </c>
      <c r="D167" s="26" t="s">
        <v>27</v>
      </c>
      <c r="E167" s="26" t="s">
        <v>563</v>
      </c>
      <c r="F167" s="77" t="s">
        <v>548</v>
      </c>
      <c r="G167" s="2" t="s">
        <v>84</v>
      </c>
      <c r="H167" s="2" t="s">
        <v>275</v>
      </c>
      <c r="I167" s="2" t="s">
        <v>548</v>
      </c>
      <c r="J167" s="2" t="s">
        <v>183</v>
      </c>
      <c r="K167" s="2" t="s">
        <v>548</v>
      </c>
      <c r="L167" s="2" t="s">
        <v>548</v>
      </c>
      <c r="M167" s="2" t="s">
        <v>548</v>
      </c>
      <c r="N167" s="2" t="s">
        <v>70</v>
      </c>
      <c r="O167" s="2" t="s">
        <v>209</v>
      </c>
      <c r="P167" s="2" t="s">
        <v>612</v>
      </c>
      <c r="Q167" s="2" t="s">
        <v>42</v>
      </c>
      <c r="R167" s="102" t="s">
        <v>614</v>
      </c>
      <c r="S167" s="88">
        <v>0.9</v>
      </c>
      <c r="T167" s="26">
        <v>28</v>
      </c>
      <c r="U167" s="77">
        <v>0</v>
      </c>
      <c r="V167" s="26">
        <v>0</v>
      </c>
      <c r="W167" s="26">
        <v>1</v>
      </c>
      <c r="X167" s="26">
        <v>1</v>
      </c>
      <c r="Y167" s="26">
        <v>1</v>
      </c>
      <c r="Z167" s="26">
        <v>0</v>
      </c>
      <c r="AA167" s="26">
        <v>1</v>
      </c>
      <c r="AB167" s="26">
        <v>1</v>
      </c>
      <c r="AC167" s="26" t="s">
        <v>70</v>
      </c>
      <c r="AD167" s="26" t="s">
        <v>70</v>
      </c>
      <c r="AE167" s="26" t="s">
        <v>70</v>
      </c>
      <c r="AF167" s="26" t="s">
        <v>70</v>
      </c>
      <c r="AG167" s="26" t="s">
        <v>70</v>
      </c>
      <c r="AH167" s="26" t="s">
        <v>70</v>
      </c>
      <c r="AI167" s="26">
        <v>300</v>
      </c>
      <c r="AJ167" s="26" t="s">
        <v>185</v>
      </c>
      <c r="AK167" s="26" t="s">
        <v>70</v>
      </c>
      <c r="AL167" s="33" t="s">
        <v>70</v>
      </c>
      <c r="AM167" s="35" t="s">
        <v>548</v>
      </c>
      <c r="AN167" s="32" t="s">
        <v>274</v>
      </c>
      <c r="AO167" s="35" t="s">
        <v>548</v>
      </c>
      <c r="AP167" s="35" t="s">
        <v>548</v>
      </c>
      <c r="AQ167" s="35" t="s">
        <v>548</v>
      </c>
      <c r="AR167" s="35" t="s">
        <v>548</v>
      </c>
      <c r="AS167" s="26" t="s">
        <v>175</v>
      </c>
      <c r="AT167" s="26" t="s">
        <v>70</v>
      </c>
      <c r="AU167" s="26" t="s">
        <v>70</v>
      </c>
      <c r="AV167" s="26">
        <v>6</v>
      </c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"/>
      <c r="HE167" s="26"/>
      <c r="HF167" s="26"/>
      <c r="HG167" s="26"/>
      <c r="HH167" s="26"/>
      <c r="HI167" s="26"/>
      <c r="HJ167" s="26"/>
      <c r="HK167" s="26"/>
      <c r="HL167" s="26"/>
      <c r="HM167" s="26"/>
      <c r="HN167" s="26"/>
      <c r="HO167" s="26"/>
      <c r="HP167" s="26"/>
      <c r="HQ167" s="26"/>
      <c r="HR167" s="26"/>
      <c r="HS167" s="26"/>
      <c r="HT167" s="26"/>
      <c r="HU167" s="26"/>
      <c r="HV167" s="26"/>
      <c r="HW167" s="26"/>
      <c r="HX167" s="26"/>
      <c r="HY167" s="26"/>
      <c r="HZ167" s="26"/>
      <c r="IA167" s="26"/>
      <c r="IB167" s="26"/>
      <c r="IC167" s="26"/>
      <c r="ID167" s="26"/>
      <c r="IE167" s="26"/>
      <c r="IF167" s="26"/>
      <c r="IG167" s="26"/>
      <c r="IH167" s="26"/>
      <c r="II167" s="26"/>
      <c r="IJ167" s="26"/>
      <c r="IK167" s="26"/>
      <c r="IL167" s="26"/>
      <c r="IM167" s="26"/>
      <c r="IN167" s="26"/>
      <c r="IO167" s="26"/>
      <c r="IP167" s="26"/>
      <c r="IQ167" s="26"/>
      <c r="IR167" s="26"/>
      <c r="IS167" s="26"/>
      <c r="IT167" s="26"/>
      <c r="IU167" s="26"/>
      <c r="IV167" s="26"/>
      <c r="IW167" s="26"/>
      <c r="IX167" s="26"/>
      <c r="IY167" s="26"/>
      <c r="IZ167" s="26"/>
      <c r="JA167" s="26"/>
      <c r="JB167" s="26"/>
      <c r="JC167" s="26"/>
      <c r="JD167" s="26"/>
      <c r="JE167" s="26"/>
      <c r="JF167" s="26"/>
      <c r="JG167" s="26"/>
      <c r="JH167" s="26"/>
      <c r="JI167" s="26"/>
      <c r="JJ167" s="26"/>
      <c r="JK167" s="26"/>
      <c r="JL167" s="26"/>
      <c r="JM167" s="26"/>
      <c r="JN167" s="26"/>
      <c r="JO167" s="26"/>
      <c r="JP167" s="26"/>
      <c r="JQ167" s="26"/>
      <c r="JR167" s="26"/>
      <c r="JS167" s="26"/>
      <c r="JT167" s="26"/>
      <c r="JU167" s="26"/>
      <c r="JV167" s="26"/>
      <c r="JW167" s="26"/>
      <c r="JX167" s="26"/>
      <c r="JY167" s="26"/>
      <c r="JZ167" s="26"/>
      <c r="KA167" s="26"/>
      <c r="KB167" s="26"/>
      <c r="KC167" s="26"/>
      <c r="KD167" s="26"/>
      <c r="KE167" s="26"/>
      <c r="KF167" s="26"/>
      <c r="KG167" s="26"/>
      <c r="KH167" s="26"/>
      <c r="KI167" s="26"/>
      <c r="KJ167" s="26"/>
      <c r="KK167" s="26"/>
      <c r="KL167" s="26"/>
      <c r="KM167" s="26"/>
      <c r="KN167" s="26"/>
      <c r="KO167" s="26"/>
      <c r="KP167" s="26"/>
      <c r="KQ167" s="26"/>
      <c r="KR167" s="26"/>
      <c r="KS167" s="26"/>
      <c r="KT167" s="26"/>
      <c r="KU167" s="26"/>
      <c r="KV167" s="26"/>
      <c r="KW167" s="26"/>
      <c r="KX167" s="26"/>
      <c r="KY167" s="26"/>
      <c r="KZ167" s="26"/>
      <c r="LA167" s="26"/>
      <c r="LB167" s="26"/>
      <c r="LC167" s="26"/>
      <c r="LD167" s="26"/>
      <c r="LE167" s="26"/>
      <c r="LF167" s="26"/>
      <c r="LG167" s="26"/>
      <c r="LH167" s="26"/>
      <c r="LI167" s="26"/>
      <c r="LJ167" s="26"/>
      <c r="LK167" s="26"/>
      <c r="LL167" s="26"/>
      <c r="LM167" s="26"/>
      <c r="LN167" s="26"/>
      <c r="LO167" s="26"/>
      <c r="LP167" s="26"/>
      <c r="LQ167" s="26"/>
      <c r="LR167" s="26"/>
      <c r="LS167" s="26"/>
      <c r="LT167" s="26"/>
      <c r="LU167" s="26"/>
      <c r="LV167" s="26"/>
      <c r="LW167" s="26"/>
      <c r="LX167" s="26"/>
      <c r="LY167" s="26"/>
      <c r="LZ167" s="26"/>
      <c r="MA167" s="26"/>
      <c r="MB167" s="26"/>
      <c r="MC167" s="26"/>
      <c r="MD167" s="26"/>
      <c r="ME167" s="26"/>
      <c r="MF167" s="26"/>
      <c r="MG167" s="26"/>
      <c r="MH167" s="26"/>
      <c r="MI167" s="26"/>
      <c r="MJ167" s="26"/>
      <c r="MK167" s="26"/>
      <c r="ML167" s="26"/>
      <c r="MM167" s="26"/>
      <c r="MN167" s="26"/>
      <c r="MO167" s="26"/>
      <c r="MP167" s="26"/>
      <c r="MQ167" s="26"/>
      <c r="MR167" s="26"/>
      <c r="MS167" s="26"/>
      <c r="MT167" s="26"/>
      <c r="MU167" s="26"/>
      <c r="MV167" s="26"/>
      <c r="MW167" s="26"/>
      <c r="MX167" s="26"/>
      <c r="MY167" s="26"/>
      <c r="MZ167" s="26"/>
      <c r="NA167" s="26"/>
      <c r="NB167" s="26"/>
      <c r="NC167" s="26"/>
      <c r="ND167" s="26"/>
      <c r="NE167" s="26"/>
      <c r="NF167" s="26"/>
      <c r="NG167" s="26"/>
      <c r="NH167" s="26"/>
      <c r="NI167" s="26"/>
      <c r="NJ167" s="26"/>
      <c r="NK167" s="26"/>
      <c r="NL167" s="26"/>
      <c r="NM167" s="26"/>
      <c r="NN167" s="26"/>
      <c r="NO167" s="26"/>
      <c r="NP167" s="26"/>
      <c r="NQ167" s="26"/>
      <c r="NR167" s="26"/>
      <c r="NS167" s="26"/>
      <c r="NT167" s="26"/>
      <c r="NU167" s="26"/>
      <c r="NV167" s="26"/>
      <c r="NW167" s="26"/>
      <c r="NX167" s="26"/>
      <c r="NY167" s="26"/>
      <c r="NZ167" s="26"/>
      <c r="OA167" s="26"/>
      <c r="OB167" s="26"/>
      <c r="OC167" s="26"/>
      <c r="OD167" s="26"/>
      <c r="OE167" s="26"/>
      <c r="OF167" s="26"/>
      <c r="OG167" s="26"/>
      <c r="OH167" s="26"/>
      <c r="OI167" s="26"/>
      <c r="OJ167" s="26"/>
      <c r="OK167" s="26"/>
      <c r="OL167" s="26"/>
      <c r="OM167" s="26"/>
      <c r="ON167" s="26"/>
      <c r="OO167" s="26"/>
      <c r="OP167" s="26"/>
      <c r="OQ167" s="26"/>
      <c r="OR167" s="26"/>
      <c r="OS167" s="26"/>
      <c r="OT167" s="26"/>
      <c r="OU167" s="26"/>
      <c r="OV167" s="26"/>
      <c r="OW167" s="26"/>
      <c r="OX167" s="26"/>
      <c r="OY167" s="26"/>
      <c r="OZ167" s="26"/>
      <c r="PA167" s="26"/>
      <c r="PB167" s="26"/>
      <c r="PC167" s="26"/>
      <c r="PD167" s="26"/>
      <c r="PE167" s="26"/>
      <c r="PF167" s="26"/>
      <c r="PG167" s="26"/>
      <c r="PH167" s="26"/>
      <c r="PI167" s="26"/>
      <c r="PJ167" s="26"/>
      <c r="PK167" s="26"/>
      <c r="PL167" s="26"/>
      <c r="PM167" s="26"/>
      <c r="PN167" s="26"/>
      <c r="PO167" s="26"/>
      <c r="PP167" s="26"/>
      <c r="PQ167" s="26"/>
      <c r="PR167" s="26"/>
      <c r="PS167" s="26"/>
      <c r="PT167" s="26"/>
      <c r="PU167" s="26"/>
      <c r="PV167" s="26"/>
      <c r="PW167" s="26"/>
      <c r="PX167" s="26"/>
      <c r="PY167" s="26"/>
      <c r="PZ167" s="26"/>
      <c r="QA167" s="26"/>
      <c r="QB167" s="26"/>
      <c r="QC167" s="26"/>
      <c r="QD167" s="26"/>
      <c r="QE167" s="26"/>
      <c r="QF167" s="26"/>
      <c r="QG167" s="26"/>
      <c r="QH167" s="26"/>
      <c r="QI167" s="26"/>
      <c r="QJ167" s="26"/>
      <c r="QK167" s="26"/>
      <c r="QL167" s="26"/>
      <c r="QM167" s="26"/>
      <c r="QN167" s="26"/>
      <c r="QO167" s="26"/>
      <c r="QP167" s="26"/>
      <c r="QQ167" s="26"/>
      <c r="QR167" s="26"/>
      <c r="QS167" s="26"/>
      <c r="QT167" s="26"/>
      <c r="QU167" s="26"/>
      <c r="QV167" s="26"/>
      <c r="QW167" s="26"/>
      <c r="QX167" s="26"/>
      <c r="QY167" s="26"/>
      <c r="QZ167" s="26"/>
      <c r="RA167" s="26"/>
      <c r="RB167" s="26"/>
      <c r="RC167" s="26"/>
      <c r="RD167" s="26"/>
      <c r="RE167" s="26"/>
      <c r="RF167" s="26"/>
      <c r="RG167" s="26"/>
      <c r="RH167" s="26"/>
      <c r="RI167" s="26"/>
      <c r="RJ167" s="26"/>
      <c r="RK167" s="26"/>
      <c r="RL167" s="26"/>
      <c r="RM167" s="26"/>
      <c r="RN167" s="26"/>
      <c r="RO167" s="26"/>
      <c r="RP167" s="26"/>
      <c r="RQ167" s="26"/>
      <c r="RR167" s="26"/>
      <c r="RS167" s="26"/>
      <c r="RT167" s="26"/>
      <c r="RU167" s="26"/>
      <c r="RV167" s="26"/>
      <c r="RW167" s="26"/>
      <c r="RX167" s="26"/>
      <c r="RY167" s="26"/>
      <c r="RZ167" s="26"/>
      <c r="SA167" s="26"/>
      <c r="SB167" s="26"/>
      <c r="SC167" s="26"/>
      <c r="SD167" s="26"/>
      <c r="SE167" s="26"/>
      <c r="SF167" s="26"/>
      <c r="SG167" s="26"/>
      <c r="SH167" s="26"/>
      <c r="SI167" s="26"/>
      <c r="SJ167" s="26"/>
      <c r="SK167" s="26"/>
      <c r="SL167" s="26"/>
      <c r="SM167" s="26"/>
      <c r="SN167" s="26"/>
      <c r="SO167" s="26"/>
      <c r="SP167" s="26"/>
      <c r="SQ167" s="26"/>
      <c r="SR167" s="26"/>
      <c r="SS167" s="26"/>
      <c r="ST167" s="26"/>
      <c r="SU167" s="26"/>
      <c r="SV167" s="26"/>
      <c r="SW167" s="26"/>
      <c r="SX167" s="26"/>
      <c r="SY167" s="26"/>
      <c r="SZ167" s="26"/>
      <c r="TA167" s="26"/>
      <c r="TB167" s="26"/>
      <c r="TC167" s="26"/>
      <c r="TD167" s="26"/>
      <c r="TE167" s="26"/>
      <c r="TF167" s="26"/>
      <c r="TG167" s="26"/>
      <c r="TH167" s="26"/>
      <c r="TI167" s="26"/>
      <c r="TJ167" s="26"/>
      <c r="TK167" s="26"/>
      <c r="TL167" s="26"/>
      <c r="TM167" s="26"/>
      <c r="TN167" s="26"/>
      <c r="TO167" s="26"/>
      <c r="TP167" s="26"/>
      <c r="TQ167" s="26"/>
      <c r="TR167" s="26"/>
      <c r="TS167" s="26"/>
      <c r="TT167" s="26"/>
      <c r="TU167" s="26"/>
      <c r="TV167" s="26"/>
      <c r="TW167" s="26"/>
      <c r="TX167" s="26"/>
      <c r="TY167" s="26"/>
      <c r="TZ167" s="26"/>
      <c r="UA167" s="26"/>
      <c r="UB167" s="26"/>
      <c r="UC167" s="26"/>
      <c r="UD167" s="26"/>
      <c r="UE167" s="26"/>
      <c r="UF167" s="26"/>
      <c r="UG167" s="26"/>
      <c r="UH167" s="26"/>
      <c r="UI167" s="26"/>
      <c r="UJ167" s="26"/>
      <c r="UK167" s="26"/>
      <c r="UL167" s="26"/>
      <c r="UM167" s="26"/>
      <c r="UN167" s="26"/>
      <c r="UO167" s="26"/>
      <c r="UP167" s="26"/>
      <c r="UQ167" s="26"/>
      <c r="UR167" s="26"/>
      <c r="US167" s="26"/>
      <c r="UT167" s="26"/>
      <c r="UU167" s="26"/>
      <c r="UV167" s="26"/>
      <c r="UW167" s="26"/>
      <c r="UX167" s="26"/>
      <c r="UY167" s="26"/>
      <c r="UZ167" s="26"/>
      <c r="VA167" s="26"/>
      <c r="VB167" s="26"/>
      <c r="VC167" s="26"/>
      <c r="VD167" s="26"/>
      <c r="VE167" s="26"/>
      <c r="VF167" s="26"/>
      <c r="VG167" s="26"/>
      <c r="VH167" s="26"/>
      <c r="VI167" s="26"/>
      <c r="VJ167" s="26"/>
      <c r="VK167" s="26"/>
      <c r="VL167" s="26"/>
      <c r="VM167" s="26"/>
      <c r="VN167" s="26"/>
      <c r="VO167" s="26"/>
      <c r="VP167" s="26"/>
      <c r="VQ167" s="26"/>
      <c r="VR167" s="26"/>
      <c r="VS167" s="26"/>
      <c r="VT167" s="26"/>
      <c r="VU167" s="26"/>
      <c r="VV167" s="26"/>
      <c r="VW167" s="26"/>
      <c r="VX167" s="26"/>
      <c r="VY167" s="26"/>
      <c r="VZ167" s="26"/>
      <c r="WA167" s="26"/>
      <c r="WB167" s="26"/>
      <c r="WC167" s="26"/>
      <c r="WD167" s="26"/>
      <c r="WE167" s="26"/>
      <c r="WF167" s="26"/>
      <c r="WG167" s="26"/>
      <c r="WH167" s="26"/>
      <c r="WI167" s="26"/>
      <c r="WJ167" s="26"/>
      <c r="WK167" s="26"/>
      <c r="WL167" s="26"/>
      <c r="WM167" s="26"/>
      <c r="WN167" s="26"/>
      <c r="WO167" s="26"/>
      <c r="WP167" s="26"/>
      <c r="WQ167" s="26"/>
      <c r="WR167" s="26"/>
      <c r="WS167" s="26"/>
      <c r="WT167" s="26"/>
      <c r="WU167" s="26"/>
      <c r="WV167" s="26"/>
      <c r="WW167" s="26"/>
      <c r="WX167" s="26"/>
      <c r="WY167" s="26"/>
      <c r="WZ167" s="26"/>
      <c r="XA167" s="26"/>
      <c r="XB167" s="26"/>
      <c r="XC167" s="26"/>
      <c r="XD167" s="26"/>
      <c r="XE167" s="26"/>
      <c r="XF167" s="26"/>
      <c r="XG167" s="26"/>
      <c r="XH167" s="26"/>
      <c r="XI167" s="26"/>
      <c r="XJ167" s="26"/>
      <c r="XK167" s="26"/>
      <c r="XL167" s="26"/>
      <c r="XM167" s="26"/>
      <c r="XN167" s="26"/>
      <c r="XO167" s="26"/>
      <c r="XP167" s="26"/>
      <c r="XQ167" s="26"/>
      <c r="XR167" s="26"/>
      <c r="XS167" s="26"/>
      <c r="XT167" s="26"/>
      <c r="XU167" s="26"/>
      <c r="XV167" s="26"/>
      <c r="XW167" s="26"/>
      <c r="XX167" s="26"/>
      <c r="XY167" s="26"/>
      <c r="XZ167" s="26"/>
      <c r="YA167" s="26"/>
      <c r="YB167" s="26"/>
      <c r="YC167" s="26"/>
      <c r="YD167" s="26"/>
      <c r="YE167" s="26"/>
      <c r="YF167" s="26"/>
      <c r="YG167" s="26"/>
      <c r="YH167" s="26"/>
      <c r="YI167" s="26"/>
      <c r="YJ167" s="26"/>
      <c r="YK167" s="26"/>
      <c r="YL167" s="26"/>
      <c r="YM167" s="26"/>
      <c r="YN167" s="26"/>
      <c r="YO167" s="26"/>
      <c r="YP167" s="26"/>
      <c r="YQ167" s="26"/>
      <c r="YR167" s="26"/>
      <c r="YS167" s="26"/>
      <c r="YT167" s="26"/>
      <c r="YU167" s="26"/>
      <c r="YV167" s="26"/>
      <c r="YW167" s="26"/>
      <c r="YX167" s="26"/>
      <c r="YY167" s="26"/>
      <c r="YZ167" s="26"/>
      <c r="ZA167" s="26"/>
      <c r="ZB167" s="26"/>
      <c r="ZC167" s="26"/>
      <c r="ZD167" s="26"/>
      <c r="ZE167" s="26"/>
      <c r="ZF167" s="26"/>
      <c r="ZG167" s="26"/>
      <c r="ZH167" s="26"/>
      <c r="ZI167" s="26"/>
      <c r="ZJ167" s="26"/>
      <c r="ZK167" s="26"/>
      <c r="ZL167" s="26"/>
      <c r="ZM167" s="26"/>
      <c r="ZN167" s="26"/>
      <c r="ZO167" s="26"/>
      <c r="ZP167" s="26"/>
      <c r="ZQ167" s="26"/>
      <c r="ZR167" s="26"/>
      <c r="ZS167" s="26"/>
      <c r="ZT167" s="26"/>
      <c r="ZU167" s="26"/>
      <c r="ZV167" s="26"/>
      <c r="ZW167" s="26"/>
      <c r="ZX167" s="26"/>
      <c r="ZY167" s="26"/>
      <c r="ZZ167" s="26"/>
      <c r="AAA167" s="26"/>
      <c r="AAB167" s="26"/>
      <c r="AAC167" s="26"/>
      <c r="AAD167" s="26"/>
      <c r="AAE167" s="26"/>
      <c r="AAF167" s="26"/>
      <c r="AAG167" s="26"/>
      <c r="AAH167" s="26"/>
      <c r="AAI167" s="26"/>
      <c r="AAJ167" s="26"/>
      <c r="AAK167" s="26"/>
      <c r="AAL167" s="26"/>
      <c r="AAM167" s="26"/>
      <c r="AAN167" s="26"/>
      <c r="AAO167" s="26"/>
      <c r="AAP167" s="26"/>
      <c r="AAQ167" s="26"/>
      <c r="AAR167" s="26"/>
      <c r="AAS167" s="26"/>
      <c r="AAT167" s="26"/>
      <c r="AAU167" s="26"/>
      <c r="AAV167" s="26"/>
      <c r="AAW167" s="26"/>
      <c r="AAX167" s="26"/>
      <c r="AAY167" s="26"/>
      <c r="AAZ167" s="26"/>
      <c r="ABA167" s="26"/>
      <c r="ABB167" s="26"/>
      <c r="ABC167" s="26"/>
      <c r="ABD167" s="26"/>
      <c r="ABE167" s="26"/>
      <c r="ABF167" s="26"/>
      <c r="ABG167" s="26"/>
      <c r="ABH167" s="26"/>
      <c r="ABI167" s="26"/>
      <c r="ABJ167" s="26"/>
      <c r="ABK167" s="26"/>
      <c r="ABL167" s="26"/>
      <c r="ABM167" s="26"/>
      <c r="ABN167" s="26"/>
      <c r="ABO167" s="26"/>
      <c r="ABP167" s="26"/>
      <c r="ABQ167" s="26"/>
      <c r="ABR167" s="26"/>
      <c r="ABS167" s="26"/>
      <c r="ABT167" s="26"/>
      <c r="ABU167" s="26"/>
      <c r="ABV167" s="26"/>
      <c r="ABW167" s="26"/>
      <c r="ABX167" s="26"/>
      <c r="ABY167" s="26"/>
      <c r="ABZ167" s="26"/>
      <c r="ACA167" s="26"/>
      <c r="ACB167" s="26"/>
      <c r="ACC167" s="26"/>
      <c r="ACD167" s="26"/>
      <c r="ACE167" s="26"/>
      <c r="ACF167" s="26"/>
      <c r="ACG167" s="26"/>
      <c r="ACH167" s="26"/>
      <c r="ACI167" s="26"/>
      <c r="ACJ167" s="26"/>
      <c r="ACK167" s="26"/>
      <c r="ACL167" s="26"/>
      <c r="ACM167" s="26"/>
      <c r="ACN167" s="26"/>
      <c r="ACO167" s="26"/>
      <c r="ACP167" s="26"/>
      <c r="ACQ167" s="26"/>
      <c r="ACR167" s="26"/>
      <c r="ACS167" s="26"/>
      <c r="ACT167" s="26"/>
      <c r="ACU167" s="26"/>
      <c r="ACV167" s="26"/>
      <c r="ACW167" s="26"/>
      <c r="ACX167" s="26"/>
      <c r="ACY167" s="26"/>
      <c r="ACZ167" s="26"/>
      <c r="ADA167" s="26"/>
      <c r="ADB167" s="26"/>
      <c r="ADC167" s="26"/>
      <c r="ADD167" s="26"/>
      <c r="ADE167" s="26"/>
      <c r="ADF167" s="26"/>
      <c r="ADG167" s="26"/>
      <c r="ADH167" s="26"/>
      <c r="ADI167" s="26"/>
      <c r="ADJ167" s="26"/>
      <c r="ADK167" s="26"/>
      <c r="ADL167" s="26"/>
      <c r="ADM167" s="26"/>
      <c r="ADN167" s="26"/>
      <c r="ADO167" s="26"/>
      <c r="ADP167" s="26"/>
      <c r="ADQ167" s="26"/>
      <c r="ADR167" s="26"/>
      <c r="ADS167" s="26"/>
      <c r="ADT167" s="26"/>
      <c r="ADU167" s="26"/>
      <c r="ADV167" s="26"/>
      <c r="ADW167" s="26"/>
      <c r="ADX167" s="26"/>
      <c r="ADY167" s="26"/>
      <c r="ADZ167" s="26"/>
      <c r="AEA167" s="26"/>
      <c r="AEB167" s="26"/>
      <c r="AEC167" s="26"/>
      <c r="AED167" s="26"/>
      <c r="AEE167" s="26"/>
      <c r="AEF167" s="26"/>
      <c r="AEG167" s="26"/>
      <c r="AEH167" s="26"/>
      <c r="AEI167" s="26"/>
      <c r="AEJ167" s="26"/>
      <c r="AEK167" s="26"/>
      <c r="AEL167" s="26"/>
      <c r="AEM167" s="26"/>
      <c r="AEN167" s="26"/>
      <c r="AEO167" s="26"/>
      <c r="AEP167" s="26"/>
      <c r="AEQ167" s="26"/>
      <c r="AER167" s="26"/>
      <c r="AES167" s="26"/>
      <c r="AET167" s="26"/>
      <c r="AEU167" s="26"/>
      <c r="AEV167" s="26"/>
      <c r="AEW167" s="26"/>
      <c r="AEX167" s="26"/>
      <c r="AEY167" s="26"/>
      <c r="AEZ167" s="26"/>
      <c r="AFA167" s="26"/>
      <c r="AFB167" s="26"/>
      <c r="AFC167" s="26"/>
      <c r="AFD167" s="26"/>
      <c r="AFE167" s="26"/>
      <c r="AFF167" s="26"/>
      <c r="AFG167" s="26"/>
      <c r="AFH167" s="26"/>
      <c r="AFI167" s="26"/>
      <c r="AFJ167" s="26"/>
      <c r="AFK167" s="26"/>
      <c r="AFL167" s="26"/>
      <c r="AFM167" s="26"/>
      <c r="AFN167" s="26"/>
      <c r="AFO167" s="26"/>
      <c r="AFP167" s="26"/>
      <c r="AFQ167" s="26"/>
      <c r="AFR167" s="26"/>
      <c r="AFS167" s="26"/>
      <c r="AFT167" s="26"/>
      <c r="AFU167" s="26"/>
      <c r="AFV167" s="26"/>
      <c r="AFW167" s="26"/>
      <c r="AFX167" s="26"/>
      <c r="AFY167" s="26"/>
      <c r="AFZ167" s="26"/>
      <c r="AGA167" s="26"/>
      <c r="AGB167" s="26"/>
      <c r="AGC167" s="26"/>
      <c r="AGD167" s="26"/>
      <c r="AGE167" s="26"/>
      <c r="AGF167" s="26"/>
      <c r="AGG167" s="26"/>
      <c r="AGH167" s="26"/>
      <c r="AGI167" s="26"/>
      <c r="AGJ167" s="26"/>
      <c r="AGK167" s="26"/>
      <c r="AGL167" s="26"/>
      <c r="AGM167" s="26"/>
      <c r="AGN167" s="26"/>
      <c r="AGO167" s="26"/>
      <c r="AGP167" s="26"/>
      <c r="AGQ167" s="26"/>
      <c r="AGR167" s="26"/>
      <c r="AGS167" s="26"/>
      <c r="AGT167" s="26"/>
      <c r="AGU167" s="26"/>
      <c r="AGV167" s="26"/>
      <c r="AGW167" s="26"/>
      <c r="AGX167" s="26"/>
      <c r="AGY167" s="26"/>
      <c r="AGZ167" s="26"/>
      <c r="AHA167" s="26"/>
      <c r="AHB167" s="26"/>
      <c r="AHC167" s="26"/>
      <c r="AHD167" s="26"/>
      <c r="AHE167" s="26"/>
      <c r="AHF167" s="26"/>
      <c r="AHG167" s="26"/>
      <c r="AHH167" s="26"/>
      <c r="AHI167" s="26"/>
      <c r="AHJ167" s="26"/>
      <c r="AHK167" s="26"/>
      <c r="AHL167" s="26"/>
      <c r="AHM167" s="26"/>
      <c r="AHN167" s="26"/>
      <c r="AHO167" s="26"/>
      <c r="AHP167" s="26"/>
      <c r="AHQ167" s="26"/>
      <c r="AHR167" s="26"/>
      <c r="AHS167" s="26"/>
      <c r="AHT167" s="26"/>
      <c r="AHU167" s="26"/>
      <c r="AHV167" s="26"/>
      <c r="AHW167" s="26"/>
      <c r="AHX167" s="26"/>
      <c r="AHY167" s="26"/>
      <c r="AHZ167" s="26"/>
      <c r="AIA167" s="26"/>
      <c r="AIB167" s="26"/>
      <c r="AIC167" s="26"/>
      <c r="AID167" s="26"/>
      <c r="AIE167" s="26"/>
      <c r="AIF167" s="26"/>
      <c r="AIG167" s="26"/>
      <c r="AIH167" s="26"/>
      <c r="AII167" s="26"/>
      <c r="AIJ167" s="26"/>
      <c r="AIK167" s="26"/>
      <c r="AIL167" s="26"/>
      <c r="AIM167" s="26"/>
      <c r="AIN167" s="26"/>
      <c r="AIO167" s="26"/>
      <c r="AIP167" s="26"/>
      <c r="AIQ167" s="26"/>
      <c r="AIR167" s="26"/>
      <c r="AIS167" s="26"/>
      <c r="AIT167" s="26"/>
      <c r="AIU167" s="26"/>
      <c r="AIV167" s="26"/>
      <c r="AIW167" s="26"/>
      <c r="AIX167" s="26"/>
      <c r="AIY167" s="26"/>
      <c r="AIZ167" s="26"/>
      <c r="AJA167" s="26"/>
      <c r="AJB167" s="26"/>
      <c r="AJC167" s="26"/>
      <c r="AJD167" s="26"/>
      <c r="AJE167" s="26"/>
      <c r="AJF167" s="26"/>
      <c r="AJG167" s="26"/>
      <c r="AJH167" s="26"/>
      <c r="AJI167" s="26"/>
      <c r="AJJ167" s="26"/>
      <c r="AJK167" s="26"/>
      <c r="AJL167" s="26"/>
      <c r="AJM167" s="26"/>
      <c r="AJN167" s="26"/>
      <c r="AJO167" s="26"/>
      <c r="AJP167" s="26"/>
      <c r="AJQ167" s="26"/>
      <c r="AJR167" s="26"/>
      <c r="AJS167" s="26"/>
      <c r="AJT167" s="26"/>
      <c r="AJU167" s="26"/>
      <c r="AJV167" s="26"/>
      <c r="AJW167" s="26"/>
      <c r="AJX167" s="26"/>
      <c r="AJY167" s="26"/>
      <c r="AJZ167" s="26"/>
      <c r="AKA167" s="26"/>
      <c r="AKB167" s="26"/>
      <c r="AKC167" s="26"/>
      <c r="AKD167" s="26"/>
      <c r="AKE167" s="26"/>
      <c r="AKF167" s="26"/>
      <c r="AKG167" s="26"/>
      <c r="AKH167" s="26"/>
      <c r="AKI167" s="26"/>
      <c r="AKJ167" s="26"/>
      <c r="AKK167" s="26"/>
      <c r="AKL167" s="26"/>
      <c r="AKM167" s="26"/>
      <c r="AKN167" s="26"/>
      <c r="AKO167" s="26"/>
      <c r="AKP167" s="26"/>
      <c r="AKQ167" s="26"/>
      <c r="AKR167" s="26"/>
      <c r="AKS167" s="26"/>
      <c r="AKT167" s="26"/>
      <c r="AKU167" s="26"/>
      <c r="AKV167" s="26"/>
      <c r="AKW167" s="26"/>
      <c r="AKX167" s="26"/>
      <c r="AKY167" s="26"/>
      <c r="AKZ167" s="26"/>
      <c r="ALA167" s="26"/>
      <c r="ALB167" s="26"/>
      <c r="ALC167" s="26"/>
      <c r="ALD167" s="26"/>
      <c r="ALE167" s="26"/>
      <c r="ALF167" s="26"/>
      <c r="ALG167" s="26"/>
      <c r="ALH167" s="26"/>
      <c r="ALI167" s="26"/>
      <c r="ALJ167" s="26"/>
      <c r="ALK167" s="26"/>
      <c r="ALL167" s="26"/>
      <c r="ALM167" s="26"/>
      <c r="ALN167" s="26"/>
      <c r="ALO167" s="26"/>
      <c r="ALP167" s="26"/>
      <c r="ALQ167" s="26"/>
      <c r="ALR167" s="26"/>
      <c r="ALS167" s="26"/>
      <c r="ALT167" s="26"/>
      <c r="ALU167" s="26"/>
      <c r="ALV167" s="26"/>
      <c r="ALW167" s="26"/>
      <c r="ALX167" s="26"/>
      <c r="ALY167" s="26"/>
      <c r="ALZ167" s="26"/>
      <c r="AMA167" s="26"/>
      <c r="AMB167" s="26"/>
      <c r="AMC167" s="26"/>
      <c r="AMD167" s="26"/>
      <c r="AME167" s="26"/>
      <c r="AMF167" s="26"/>
      <c r="AMG167" s="26"/>
      <c r="AMH167" s="26"/>
      <c r="AMI167" s="26"/>
      <c r="AMJ167" s="26"/>
      <c r="AMK167" s="26"/>
      <c r="AML167" s="26"/>
      <c r="AMM167" s="26"/>
      <c r="AMN167" s="26"/>
      <c r="AMO167" s="26"/>
      <c r="AMP167" s="26"/>
      <c r="AMQ167" s="26"/>
      <c r="AMR167" s="26"/>
      <c r="AMS167" s="26"/>
      <c r="AMT167" s="26"/>
      <c r="AMU167" s="26"/>
      <c r="AMV167" s="26"/>
      <c r="AMW167" s="26"/>
      <c r="AMX167" s="26"/>
      <c r="AMY167" s="26"/>
      <c r="AMZ167" s="26"/>
      <c r="ANA167" s="26"/>
      <c r="ANB167" s="26"/>
      <c r="ANC167" s="26"/>
      <c r="AND167" s="26"/>
      <c r="ANE167" s="26"/>
      <c r="ANF167" s="26"/>
      <c r="ANG167" s="26"/>
      <c r="ANH167" s="26"/>
      <c r="ANI167" s="26"/>
      <c r="ANJ167" s="26"/>
      <c r="ANK167" s="26"/>
      <c r="ANL167" s="26"/>
      <c r="ANM167" s="26"/>
      <c r="ANN167" s="26"/>
      <c r="ANO167" s="26"/>
      <c r="ANP167" s="26"/>
      <c r="ANQ167" s="26"/>
      <c r="ANR167" s="26"/>
      <c r="ANS167" s="26"/>
      <c r="ANT167" s="26"/>
      <c r="ANU167" s="26"/>
      <c r="ANV167" s="26"/>
      <c r="ANW167" s="26"/>
      <c r="ANX167" s="26"/>
      <c r="ANY167" s="26"/>
      <c r="ANZ167" s="26"/>
      <c r="AOA167" s="26"/>
      <c r="AOB167" s="26"/>
      <c r="AOC167" s="26"/>
      <c r="AOD167" s="26"/>
      <c r="AOE167" s="26"/>
      <c r="AOF167" s="26"/>
      <c r="AOG167" s="26"/>
      <c r="AOH167" s="26"/>
      <c r="AOI167" s="26"/>
      <c r="AOJ167" s="26"/>
      <c r="AOK167" s="26"/>
      <c r="AOL167" s="26"/>
      <c r="AOM167" s="26"/>
      <c r="AON167" s="26"/>
      <c r="AOO167" s="26"/>
      <c r="AOP167" s="26"/>
      <c r="AOQ167" s="26"/>
      <c r="AOR167" s="26"/>
      <c r="AOS167" s="26"/>
      <c r="AOT167" s="26"/>
      <c r="AOU167" s="26"/>
      <c r="AOV167" s="26"/>
      <c r="AOW167" s="26"/>
      <c r="AOX167" s="26"/>
      <c r="AOY167" s="26"/>
      <c r="AOZ167" s="26"/>
      <c r="APA167" s="26"/>
      <c r="APB167" s="26"/>
      <c r="APC167" s="26"/>
      <c r="APD167" s="26"/>
      <c r="APE167" s="26"/>
      <c r="APF167" s="26"/>
      <c r="APG167" s="26"/>
      <c r="APH167" s="26"/>
      <c r="API167" s="26"/>
      <c r="APJ167" s="26"/>
      <c r="APK167" s="26"/>
      <c r="APL167" s="26"/>
      <c r="APM167" s="26"/>
      <c r="APN167" s="26"/>
      <c r="APO167" s="26"/>
      <c r="APP167" s="26"/>
      <c r="APQ167" s="26"/>
      <c r="APR167" s="26"/>
      <c r="APS167" s="26"/>
      <c r="APT167" s="26"/>
      <c r="APU167" s="26"/>
      <c r="APV167" s="26"/>
      <c r="APW167" s="26"/>
      <c r="APX167" s="26"/>
      <c r="APY167" s="26"/>
      <c r="APZ167" s="26"/>
      <c r="AQA167" s="26"/>
      <c r="AQB167" s="26"/>
      <c r="AQC167" s="26"/>
      <c r="AQD167" s="26"/>
      <c r="AQE167" s="26"/>
      <c r="AQF167" s="26"/>
      <c r="AQG167" s="26"/>
      <c r="AQH167" s="26"/>
      <c r="AQI167" s="26"/>
      <c r="AQJ167" s="26"/>
      <c r="AQK167" s="26"/>
      <c r="AQL167" s="26"/>
      <c r="AQM167" s="26"/>
      <c r="AQN167" s="26"/>
      <c r="AQO167" s="26"/>
      <c r="AQP167" s="26"/>
      <c r="AQQ167" s="26"/>
      <c r="AQR167" s="26"/>
      <c r="AQS167" s="26"/>
      <c r="AQT167" s="26"/>
      <c r="AQU167" s="26"/>
      <c r="AQV167" s="26"/>
      <c r="AQW167" s="26"/>
      <c r="AQX167" s="26"/>
      <c r="AQY167" s="26"/>
      <c r="AQZ167" s="26"/>
      <c r="ARA167" s="26"/>
      <c r="ARB167" s="26"/>
      <c r="ARC167" s="26"/>
      <c r="ARD167" s="26"/>
      <c r="ARE167" s="26"/>
      <c r="ARF167" s="26"/>
      <c r="ARG167" s="26"/>
      <c r="ARH167" s="26"/>
      <c r="ARI167" s="26"/>
      <c r="ARJ167" s="26"/>
      <c r="ARK167" s="26"/>
      <c r="ARL167" s="26"/>
      <c r="ARM167" s="26"/>
      <c r="ARN167" s="26"/>
      <c r="ARO167" s="26"/>
      <c r="ARP167" s="26"/>
      <c r="ARQ167" s="26"/>
      <c r="ARR167" s="26"/>
      <c r="ARS167" s="26"/>
      <c r="ART167" s="26"/>
      <c r="ARU167" s="26"/>
      <c r="ARV167" s="26"/>
      <c r="ARW167" s="26"/>
      <c r="ARX167" s="26"/>
      <c r="ARY167" s="26"/>
      <c r="ARZ167" s="26"/>
      <c r="ASA167" s="26"/>
      <c r="ASB167" s="26"/>
      <c r="ASC167" s="26"/>
      <c r="ASD167" s="26"/>
      <c r="ASE167" s="26"/>
      <c r="ASF167" s="26"/>
      <c r="ASG167" s="26"/>
      <c r="ASH167" s="26"/>
      <c r="ASI167" s="26"/>
      <c r="ASJ167" s="26"/>
      <c r="ASK167" s="26"/>
      <c r="ASL167" s="26"/>
      <c r="ASM167" s="26"/>
      <c r="ASN167" s="26"/>
      <c r="ASO167" s="26"/>
      <c r="ASP167" s="26"/>
      <c r="ASQ167" s="26"/>
      <c r="ASR167" s="26"/>
      <c r="ASS167" s="26"/>
      <c r="AST167" s="26"/>
      <c r="ASU167" s="26"/>
      <c r="ASV167" s="26"/>
      <c r="ASW167" s="26"/>
      <c r="ASX167" s="26"/>
      <c r="ASY167" s="26"/>
      <c r="ASZ167" s="26"/>
      <c r="ATA167" s="26"/>
      <c r="ATB167" s="26"/>
      <c r="ATC167" s="26"/>
      <c r="ATD167" s="26"/>
      <c r="ATE167" s="26"/>
      <c r="ATF167" s="26"/>
      <c r="ATG167" s="26"/>
      <c r="ATH167" s="26"/>
      <c r="ATI167" s="26"/>
      <c r="ATJ167" s="26"/>
      <c r="ATK167" s="26"/>
      <c r="ATL167" s="26"/>
      <c r="ATM167" s="26"/>
      <c r="ATN167" s="26"/>
      <c r="ATO167" s="26"/>
      <c r="ATP167" s="26"/>
      <c r="ATQ167" s="26"/>
      <c r="ATR167" s="26"/>
      <c r="ATS167" s="26"/>
      <c r="ATT167" s="26"/>
      <c r="ATU167" s="26"/>
      <c r="ATV167" s="26"/>
      <c r="ATW167" s="26"/>
      <c r="ATX167" s="26"/>
      <c r="ATY167" s="26"/>
      <c r="ATZ167" s="26"/>
      <c r="AUA167" s="26"/>
      <c r="AUB167" s="26"/>
      <c r="AUC167" s="26"/>
      <c r="AUD167" s="26"/>
      <c r="AUE167" s="26"/>
      <c r="AUF167" s="26"/>
      <c r="AUG167" s="26"/>
      <c r="AUH167" s="26"/>
      <c r="AUI167" s="26"/>
      <c r="AUJ167" s="26"/>
      <c r="AUK167" s="26"/>
      <c r="AUL167" s="26"/>
      <c r="AUM167" s="26"/>
      <c r="AUN167" s="26"/>
      <c r="AUO167" s="26"/>
      <c r="AUP167" s="26"/>
      <c r="AUQ167" s="26"/>
      <c r="AUR167" s="26"/>
      <c r="AUS167" s="26"/>
      <c r="AUT167" s="26"/>
      <c r="AUU167" s="26"/>
      <c r="AUV167" s="26"/>
      <c r="AUW167" s="26"/>
      <c r="AUX167" s="26"/>
      <c r="AUY167" s="26"/>
      <c r="AUZ167" s="26"/>
      <c r="AVA167" s="26"/>
      <c r="AVB167" s="26"/>
      <c r="AVC167" s="26"/>
      <c r="AVD167" s="26"/>
      <c r="AVE167" s="26"/>
      <c r="AVF167" s="26"/>
      <c r="AVG167" s="26"/>
      <c r="AVH167" s="26"/>
      <c r="AVI167" s="26"/>
      <c r="AVJ167" s="26"/>
      <c r="AVK167" s="26"/>
      <c r="AVL167" s="26"/>
      <c r="AVM167" s="26"/>
      <c r="AVN167" s="26"/>
      <c r="AVO167" s="26"/>
      <c r="AVP167" s="26"/>
      <c r="AVQ167" s="26"/>
      <c r="AVR167" s="26"/>
      <c r="AVS167" s="26"/>
      <c r="AVT167" s="26"/>
      <c r="AVU167" s="26"/>
      <c r="AVV167" s="26"/>
      <c r="AVW167" s="26"/>
      <c r="AVX167" s="26"/>
      <c r="AVY167" s="26"/>
      <c r="AVZ167" s="26"/>
      <c r="AWA167" s="26"/>
      <c r="AWB167" s="26"/>
      <c r="AWC167" s="26"/>
      <c r="AWD167" s="26"/>
      <c r="AWE167" s="26"/>
      <c r="AWF167" s="26"/>
      <c r="AWG167" s="26"/>
      <c r="AWH167" s="26"/>
      <c r="AWI167" s="26"/>
      <c r="AWJ167" s="26"/>
      <c r="AWK167" s="26"/>
      <c r="AWL167" s="26"/>
      <c r="AWM167" s="26"/>
      <c r="AWN167" s="26"/>
      <c r="AWO167" s="26"/>
      <c r="AWP167" s="26"/>
      <c r="AWQ167" s="26"/>
      <c r="AWR167" s="26"/>
      <c r="AWS167" s="26"/>
      <c r="AWT167" s="26"/>
      <c r="AWU167" s="26"/>
      <c r="AWV167" s="26"/>
      <c r="AWW167" s="26"/>
      <c r="AWX167" s="26"/>
      <c r="AWY167" s="26"/>
      <c r="AWZ167" s="26"/>
      <c r="AXA167" s="26"/>
      <c r="AXB167" s="26"/>
      <c r="AXC167" s="26"/>
      <c r="AXD167" s="26"/>
      <c r="AXE167" s="26"/>
      <c r="AXF167" s="26"/>
      <c r="AXG167" s="26"/>
      <c r="AXH167" s="26"/>
      <c r="AXI167" s="26"/>
      <c r="AXJ167" s="26"/>
      <c r="AXK167" s="26"/>
      <c r="AXL167" s="26"/>
      <c r="AXM167" s="26"/>
      <c r="AXN167" s="26"/>
      <c r="AXO167" s="26"/>
      <c r="AXP167" s="26"/>
      <c r="AXQ167" s="26"/>
      <c r="AXR167" s="26"/>
      <c r="AXS167" s="26"/>
      <c r="AXT167" s="26"/>
      <c r="AXU167" s="26"/>
      <c r="AXV167" s="26"/>
      <c r="AXW167" s="26"/>
      <c r="AXX167" s="26"/>
      <c r="AXY167" s="26"/>
      <c r="AXZ167" s="26"/>
      <c r="AYA167" s="26"/>
      <c r="AYB167" s="26"/>
      <c r="AYC167" s="26"/>
      <c r="AYD167" s="26"/>
      <c r="AYE167" s="26"/>
      <c r="AYF167" s="26"/>
      <c r="AYG167" s="26"/>
      <c r="AYH167" s="26"/>
      <c r="AYI167" s="26"/>
      <c r="AYJ167" s="26"/>
      <c r="AYK167" s="26"/>
      <c r="AYL167" s="26"/>
      <c r="AYM167" s="26"/>
      <c r="AYN167" s="26"/>
      <c r="AYO167" s="26"/>
      <c r="AYP167" s="26"/>
      <c r="AYQ167" s="26"/>
      <c r="AYR167" s="26"/>
      <c r="AYS167" s="26"/>
      <c r="AYT167" s="26"/>
      <c r="AYU167" s="26"/>
      <c r="AYV167" s="26"/>
      <c r="AYW167" s="26"/>
      <c r="AYX167" s="26"/>
      <c r="AYY167" s="26"/>
      <c r="AYZ167" s="26"/>
      <c r="AZA167" s="26"/>
      <c r="AZB167" s="26"/>
      <c r="AZC167" s="26"/>
      <c r="AZD167" s="26"/>
      <c r="AZE167" s="26"/>
      <c r="AZF167" s="26"/>
      <c r="AZG167" s="26"/>
      <c r="AZH167" s="26"/>
      <c r="AZI167" s="26"/>
      <c r="AZJ167" s="26"/>
      <c r="AZK167" s="26"/>
      <c r="AZL167" s="26"/>
      <c r="AZM167" s="26"/>
      <c r="AZN167" s="26"/>
      <c r="AZO167" s="26"/>
      <c r="AZP167" s="26"/>
      <c r="AZQ167" s="26"/>
      <c r="AZR167" s="26"/>
      <c r="AZS167" s="26"/>
      <c r="AZT167" s="26"/>
      <c r="AZU167" s="26"/>
      <c r="AZV167" s="26"/>
      <c r="AZW167" s="26"/>
      <c r="AZX167" s="26"/>
      <c r="AZY167" s="26"/>
      <c r="AZZ167" s="26"/>
      <c r="BAA167" s="26"/>
      <c r="BAB167" s="26"/>
      <c r="BAC167" s="26"/>
      <c r="BAD167" s="26"/>
      <c r="BAE167" s="26"/>
      <c r="BAF167" s="26"/>
      <c r="BAG167" s="26"/>
      <c r="BAH167" s="26"/>
      <c r="BAI167" s="26"/>
      <c r="BAJ167" s="26"/>
      <c r="BAK167" s="26"/>
      <c r="BAL167" s="26"/>
      <c r="BAM167" s="26"/>
      <c r="BAN167" s="26"/>
      <c r="BAO167" s="26"/>
      <c r="BAP167" s="26"/>
      <c r="BAQ167" s="26"/>
      <c r="BAR167" s="26"/>
      <c r="BAS167" s="26"/>
      <c r="BAT167" s="26"/>
      <c r="BAU167" s="26"/>
      <c r="BAV167" s="26"/>
      <c r="BAW167" s="26"/>
      <c r="BAX167" s="26"/>
      <c r="BAY167" s="26"/>
      <c r="BAZ167" s="26"/>
      <c r="BBA167" s="26"/>
      <c r="BBB167" s="26"/>
      <c r="BBC167" s="26"/>
      <c r="BBD167" s="26"/>
      <c r="BBE167" s="26"/>
      <c r="BBF167" s="26"/>
      <c r="BBG167" s="26"/>
      <c r="BBH167" s="26"/>
      <c r="BBI167" s="26"/>
      <c r="BBJ167" s="26"/>
      <c r="BBK167" s="26"/>
      <c r="BBL167" s="26"/>
      <c r="BBM167" s="26"/>
      <c r="BBN167" s="26"/>
      <c r="BBO167" s="26"/>
      <c r="BBP167" s="26"/>
      <c r="BBQ167" s="26"/>
      <c r="BBR167" s="26"/>
      <c r="BBS167" s="26"/>
      <c r="BBT167" s="26"/>
      <c r="BBU167" s="26"/>
      <c r="BBV167" s="26"/>
      <c r="BBW167" s="26"/>
      <c r="BBX167" s="26"/>
      <c r="BBY167" s="26"/>
      <c r="BBZ167" s="26"/>
      <c r="BCA167" s="26"/>
      <c r="BCB167" s="26"/>
      <c r="BCC167" s="26"/>
      <c r="BCD167" s="26"/>
      <c r="BCE167" s="26"/>
      <c r="BCF167" s="26"/>
      <c r="BCG167" s="26"/>
      <c r="BCH167" s="26"/>
      <c r="BCI167" s="26"/>
      <c r="BCJ167" s="26"/>
      <c r="BCK167" s="26"/>
      <c r="BCL167" s="26"/>
      <c r="BCM167" s="26"/>
      <c r="BCN167" s="26"/>
      <c r="BCO167" s="26"/>
      <c r="BCP167" s="26"/>
      <c r="BCQ167" s="26"/>
      <c r="BCR167" s="26"/>
      <c r="BCS167" s="26"/>
      <c r="BCT167" s="26"/>
      <c r="BCU167" s="26"/>
      <c r="BCV167" s="26"/>
      <c r="BCW167" s="26"/>
      <c r="BCX167" s="26"/>
      <c r="BCY167" s="26"/>
      <c r="BCZ167" s="26"/>
      <c r="BDA167" s="26"/>
      <c r="BDB167" s="26"/>
      <c r="BDC167" s="26"/>
      <c r="BDD167" s="26"/>
      <c r="BDE167" s="26"/>
      <c r="BDF167" s="26"/>
      <c r="BDG167" s="26"/>
      <c r="BDH167" s="26"/>
      <c r="BDI167" s="26"/>
      <c r="BDJ167" s="26"/>
      <c r="BDK167" s="26"/>
      <c r="BDL167" s="26"/>
      <c r="BDM167" s="26"/>
      <c r="BDN167" s="26"/>
      <c r="BDO167" s="26"/>
      <c r="BDP167" s="26"/>
      <c r="BDQ167" s="26"/>
      <c r="BDR167" s="26"/>
      <c r="BDS167" s="26"/>
      <c r="BDT167" s="26"/>
      <c r="BDU167" s="26"/>
      <c r="BDV167" s="26"/>
      <c r="BDW167" s="26"/>
      <c r="BDX167" s="26"/>
      <c r="BDY167" s="26"/>
      <c r="BDZ167" s="26"/>
      <c r="BEA167" s="26"/>
      <c r="BEB167" s="26"/>
      <c r="BEC167" s="26"/>
      <c r="BED167" s="26"/>
      <c r="BEE167" s="26"/>
      <c r="BEF167" s="26"/>
      <c r="BEG167" s="26"/>
      <c r="BEH167" s="26"/>
      <c r="BEI167" s="26"/>
      <c r="BEJ167" s="26"/>
      <c r="BEK167" s="26"/>
      <c r="BEL167" s="26"/>
      <c r="BEM167" s="26"/>
      <c r="BEN167" s="26"/>
      <c r="BEO167" s="26"/>
      <c r="BEP167" s="26"/>
      <c r="BEQ167" s="26"/>
      <c r="BER167" s="26"/>
      <c r="BES167" s="26"/>
      <c r="BET167" s="26"/>
      <c r="BEU167" s="26"/>
      <c r="BEV167" s="26"/>
      <c r="BEW167" s="26"/>
      <c r="BEX167" s="26"/>
      <c r="BEY167" s="26"/>
      <c r="BEZ167" s="26"/>
      <c r="BFA167" s="26"/>
      <c r="BFB167" s="26"/>
      <c r="BFC167" s="26"/>
      <c r="BFD167" s="26"/>
      <c r="BFE167" s="26"/>
      <c r="BFF167" s="26"/>
      <c r="BFG167" s="26"/>
      <c r="BFH167" s="26"/>
      <c r="BFI167" s="26"/>
      <c r="BFJ167" s="26"/>
      <c r="BFK167" s="26"/>
      <c r="BFL167" s="26"/>
      <c r="BFM167" s="26"/>
      <c r="BFN167" s="26"/>
      <c r="BFO167" s="26"/>
      <c r="BFP167" s="26"/>
      <c r="BFQ167" s="26"/>
      <c r="BFR167" s="26"/>
      <c r="BFS167" s="26"/>
      <c r="BFT167" s="26"/>
      <c r="BFU167" s="26"/>
      <c r="BFV167" s="26"/>
      <c r="BFW167" s="26"/>
      <c r="BFX167" s="26"/>
      <c r="BFY167" s="26"/>
      <c r="BFZ167" s="26"/>
      <c r="BGA167" s="26"/>
      <c r="BGB167" s="26"/>
      <c r="BGC167" s="26"/>
      <c r="BGD167" s="26"/>
      <c r="BGE167" s="26"/>
      <c r="BGF167" s="26"/>
      <c r="BGG167" s="26"/>
      <c r="BGH167" s="26"/>
      <c r="BGI167" s="26"/>
      <c r="BGJ167" s="26"/>
      <c r="BGK167" s="26"/>
      <c r="BGL167" s="26"/>
      <c r="BGM167" s="26"/>
      <c r="BGN167" s="26"/>
      <c r="BGO167" s="26"/>
      <c r="BGP167" s="26"/>
      <c r="BGQ167" s="26"/>
      <c r="BGR167" s="26"/>
      <c r="BGS167" s="26"/>
      <c r="BGT167" s="26"/>
      <c r="BGU167" s="26"/>
      <c r="BGV167" s="26"/>
      <c r="BGW167" s="26"/>
      <c r="BGX167" s="26"/>
      <c r="BGY167" s="26"/>
      <c r="BGZ167" s="26"/>
      <c r="BHA167" s="26"/>
      <c r="BHB167" s="26"/>
      <c r="BHC167" s="26"/>
      <c r="BHD167" s="26"/>
      <c r="BHE167" s="26"/>
      <c r="BHF167" s="26"/>
      <c r="BHG167" s="26"/>
      <c r="BHH167" s="26"/>
      <c r="BHI167" s="26"/>
      <c r="BHJ167" s="26"/>
      <c r="BHK167" s="26"/>
      <c r="BHL167" s="26"/>
      <c r="BHM167" s="26"/>
      <c r="BHN167" s="26"/>
      <c r="BHO167" s="26"/>
      <c r="BHP167" s="26"/>
      <c r="BHQ167" s="26"/>
      <c r="BHR167" s="26"/>
      <c r="BHS167" s="26"/>
      <c r="BHT167" s="26"/>
      <c r="BHU167" s="26"/>
      <c r="BHV167" s="26"/>
      <c r="BHW167" s="26"/>
      <c r="BHX167" s="26"/>
      <c r="BHY167" s="26"/>
      <c r="BHZ167" s="26"/>
      <c r="BIA167" s="26"/>
      <c r="BIB167" s="26"/>
      <c r="BIC167" s="26"/>
      <c r="BID167" s="26"/>
      <c r="BIE167" s="26"/>
      <c r="BIF167" s="26"/>
      <c r="BIG167" s="26"/>
      <c r="BIH167" s="26"/>
      <c r="BII167" s="26"/>
      <c r="BIJ167" s="26"/>
      <c r="BIK167" s="26"/>
      <c r="BIL167" s="26"/>
      <c r="BIM167" s="26"/>
      <c r="BIN167" s="26"/>
      <c r="BIO167" s="26"/>
      <c r="BIP167" s="26"/>
      <c r="BIQ167" s="26"/>
      <c r="BIR167" s="26"/>
      <c r="BIS167" s="26"/>
      <c r="BIT167" s="26"/>
      <c r="BIU167" s="26"/>
      <c r="BIV167" s="26"/>
      <c r="BIW167" s="26"/>
      <c r="BIX167" s="26"/>
      <c r="BIY167" s="26"/>
      <c r="BIZ167" s="26"/>
      <c r="BJA167" s="26"/>
      <c r="BJB167" s="26"/>
      <c r="BJC167" s="26"/>
      <c r="BJD167" s="26"/>
      <c r="BJE167" s="26"/>
      <c r="BJF167" s="26"/>
      <c r="BJG167" s="26"/>
      <c r="BJH167" s="26"/>
      <c r="BJI167" s="26"/>
      <c r="BJJ167" s="26"/>
      <c r="BJK167" s="26"/>
      <c r="BJL167" s="26"/>
      <c r="BJM167" s="26"/>
      <c r="BJN167" s="26"/>
      <c r="BJO167" s="26"/>
      <c r="BJP167" s="26"/>
      <c r="BJQ167" s="26"/>
      <c r="BJR167" s="26"/>
      <c r="BJS167" s="26"/>
      <c r="BJT167" s="26"/>
      <c r="BJU167" s="26"/>
      <c r="BJV167" s="26"/>
      <c r="BJW167" s="26"/>
      <c r="BJX167" s="26"/>
      <c r="BJY167" s="26"/>
      <c r="BJZ167" s="26"/>
      <c r="BKA167" s="26"/>
      <c r="BKB167" s="26"/>
      <c r="BKC167" s="26"/>
      <c r="BKD167" s="26"/>
      <c r="BKE167" s="26"/>
      <c r="BKF167" s="26"/>
      <c r="BKG167" s="26"/>
      <c r="BKH167" s="26"/>
      <c r="BKI167" s="26"/>
      <c r="BKJ167" s="26"/>
      <c r="BKK167" s="26"/>
      <c r="BKL167" s="26"/>
      <c r="BKM167" s="26"/>
      <c r="BKN167" s="26"/>
      <c r="BKO167" s="26"/>
      <c r="BKP167" s="26"/>
      <c r="BKQ167" s="26"/>
      <c r="BKR167" s="26"/>
      <c r="BKS167" s="26"/>
      <c r="BKT167" s="26"/>
      <c r="BKU167" s="26"/>
      <c r="BKV167" s="26"/>
      <c r="BKW167" s="26"/>
      <c r="BKX167" s="26"/>
      <c r="BKY167" s="26"/>
      <c r="BKZ167" s="26"/>
      <c r="BLA167" s="26"/>
      <c r="BLB167" s="26"/>
      <c r="BLC167" s="26"/>
      <c r="BLD167" s="26"/>
      <c r="BLE167" s="26"/>
      <c r="BLF167" s="26"/>
      <c r="BLG167" s="26"/>
      <c r="BLH167" s="26"/>
      <c r="BLI167" s="26"/>
      <c r="BLJ167" s="26"/>
      <c r="BLK167" s="26"/>
      <c r="BLL167" s="26"/>
      <c r="BLM167" s="26"/>
      <c r="BLN167" s="26"/>
      <c r="BLO167" s="26"/>
      <c r="BLP167" s="26"/>
      <c r="BLQ167" s="26"/>
      <c r="BLR167" s="26"/>
      <c r="BLS167" s="26"/>
      <c r="BLT167" s="26"/>
      <c r="BLU167" s="26"/>
      <c r="BLV167" s="26"/>
      <c r="BLW167" s="26"/>
      <c r="BLX167" s="26"/>
      <c r="BLY167" s="26"/>
      <c r="BLZ167" s="26"/>
      <c r="BMA167" s="26"/>
      <c r="BMB167" s="26"/>
      <c r="BMC167" s="26"/>
      <c r="BMD167" s="26"/>
      <c r="BME167" s="26"/>
      <c r="BMF167" s="26"/>
      <c r="BMG167" s="26"/>
      <c r="BMH167" s="26"/>
      <c r="BMI167" s="26"/>
      <c r="BMJ167" s="26"/>
      <c r="BMK167" s="26"/>
      <c r="BML167" s="26"/>
      <c r="BMM167" s="26"/>
      <c r="BMN167" s="26"/>
      <c r="BMO167" s="26"/>
      <c r="BMP167" s="26"/>
      <c r="BMQ167" s="26"/>
      <c r="BMR167" s="26"/>
      <c r="BMS167" s="26"/>
      <c r="BMT167" s="26"/>
      <c r="BMU167" s="26"/>
      <c r="BMV167" s="26"/>
      <c r="BMW167" s="26"/>
      <c r="BMX167" s="26"/>
      <c r="BMY167" s="26"/>
      <c r="BMZ167" s="26"/>
      <c r="BNA167" s="26"/>
      <c r="BNB167" s="26"/>
      <c r="BNC167" s="26"/>
      <c r="BND167" s="26"/>
      <c r="BNE167" s="26"/>
      <c r="BNF167" s="26"/>
      <c r="BNG167" s="26"/>
      <c r="BNH167" s="26"/>
      <c r="BNI167" s="26"/>
      <c r="BNJ167" s="26"/>
      <c r="BNK167" s="26"/>
      <c r="BNL167" s="26"/>
      <c r="BNM167" s="26"/>
      <c r="BNN167" s="26"/>
      <c r="BNO167" s="26"/>
      <c r="BNP167" s="26"/>
      <c r="BNQ167" s="26"/>
      <c r="BNR167" s="26"/>
      <c r="BNS167" s="26"/>
      <c r="BNT167" s="26"/>
      <c r="BNU167" s="26"/>
      <c r="BNV167" s="26"/>
      <c r="BNW167" s="26"/>
      <c r="BNX167" s="26"/>
      <c r="BNY167" s="26"/>
      <c r="BNZ167" s="26"/>
      <c r="BOA167" s="26"/>
      <c r="BOB167" s="26"/>
      <c r="BOC167" s="26"/>
      <c r="BOD167" s="26"/>
      <c r="BOE167" s="26"/>
      <c r="BOF167" s="26"/>
      <c r="BOG167" s="26"/>
      <c r="BOH167" s="26"/>
      <c r="BOI167" s="26"/>
      <c r="BOJ167" s="26"/>
      <c r="BOK167" s="26"/>
      <c r="BOL167" s="26"/>
      <c r="BOM167" s="26"/>
      <c r="BON167" s="26"/>
      <c r="BOO167" s="26"/>
      <c r="BOP167" s="26"/>
      <c r="BOQ167" s="26"/>
      <c r="BOR167" s="26"/>
      <c r="BOS167" s="26"/>
      <c r="BOT167" s="26"/>
      <c r="BOU167" s="26"/>
      <c r="BOV167" s="26"/>
      <c r="BOW167" s="26"/>
      <c r="BOX167" s="26"/>
      <c r="BOY167" s="26"/>
      <c r="BOZ167" s="26"/>
      <c r="BPA167" s="26"/>
      <c r="BPB167" s="26"/>
      <c r="BPC167" s="26"/>
      <c r="BPD167" s="26"/>
      <c r="BPE167" s="26"/>
      <c r="BPF167" s="26"/>
      <c r="BPG167" s="26"/>
      <c r="BPH167" s="26"/>
      <c r="BPI167" s="26"/>
      <c r="BPJ167" s="26"/>
      <c r="BPK167" s="26"/>
      <c r="BPL167" s="26"/>
      <c r="BPM167" s="26"/>
      <c r="BPN167" s="26"/>
      <c r="BPO167" s="26"/>
      <c r="BPP167" s="26"/>
      <c r="BPQ167" s="26"/>
      <c r="BPR167" s="26"/>
      <c r="BPS167" s="26"/>
      <c r="BPT167" s="26"/>
      <c r="BPU167" s="26"/>
      <c r="BPV167" s="26"/>
      <c r="BPW167" s="26"/>
      <c r="BPX167" s="26"/>
      <c r="BPY167" s="26"/>
      <c r="BPZ167" s="26"/>
      <c r="BQA167" s="26"/>
      <c r="BQB167" s="26"/>
      <c r="BQC167" s="26"/>
      <c r="BQD167" s="26"/>
      <c r="BQE167" s="26"/>
      <c r="BQF167" s="26"/>
      <c r="BQG167" s="26"/>
      <c r="BQH167" s="26"/>
      <c r="BQI167" s="26"/>
      <c r="BQJ167" s="26"/>
      <c r="BQK167" s="26"/>
      <c r="BQL167" s="26"/>
      <c r="BQM167" s="26"/>
      <c r="BQN167" s="26"/>
      <c r="BQO167" s="26"/>
      <c r="BQP167" s="26"/>
      <c r="BQQ167" s="26"/>
      <c r="BQR167" s="26"/>
      <c r="BQS167" s="26"/>
      <c r="BQT167" s="26"/>
      <c r="BQU167" s="26"/>
      <c r="BQV167" s="26"/>
      <c r="BQW167" s="26"/>
      <c r="BQX167" s="26"/>
      <c r="BQY167" s="26"/>
      <c r="BQZ167" s="26"/>
      <c r="BRA167" s="26"/>
      <c r="BRB167" s="26"/>
      <c r="BRC167" s="26"/>
      <c r="BRD167" s="26"/>
      <c r="BRE167" s="26"/>
      <c r="BRF167" s="26"/>
      <c r="BRG167" s="26"/>
      <c r="BRH167" s="26"/>
      <c r="BRI167" s="26"/>
      <c r="BRJ167" s="26"/>
      <c r="BRK167" s="26"/>
      <c r="BRL167" s="26"/>
      <c r="BRM167" s="26"/>
      <c r="BRN167" s="26"/>
      <c r="BRO167" s="26"/>
      <c r="BRP167" s="26"/>
      <c r="BRQ167" s="26"/>
      <c r="BRR167" s="26"/>
      <c r="BRS167" s="26"/>
      <c r="BRT167" s="26"/>
      <c r="BRU167" s="26"/>
      <c r="BRV167" s="26"/>
      <c r="BRW167" s="26"/>
      <c r="BRX167" s="26"/>
      <c r="BRY167" s="26"/>
      <c r="BRZ167" s="26"/>
      <c r="BSA167" s="26"/>
      <c r="BSB167" s="26"/>
      <c r="BSC167" s="26"/>
      <c r="BSD167" s="26"/>
      <c r="BSE167" s="26"/>
      <c r="BSF167" s="26"/>
      <c r="BSG167" s="26"/>
      <c r="BSH167" s="26"/>
      <c r="BSI167" s="26"/>
      <c r="BSJ167" s="26"/>
      <c r="BSK167" s="26"/>
      <c r="BSL167" s="26"/>
      <c r="BSM167" s="26"/>
      <c r="BSN167" s="26"/>
      <c r="BSO167" s="26"/>
      <c r="BSP167" s="26"/>
      <c r="BSQ167" s="26"/>
      <c r="BSR167" s="26"/>
      <c r="BSS167" s="26"/>
      <c r="BST167" s="26"/>
      <c r="BSU167" s="26"/>
      <c r="BSV167" s="26"/>
      <c r="BSW167" s="26"/>
      <c r="BSX167" s="26"/>
      <c r="BSY167" s="26"/>
      <c r="BSZ167" s="26"/>
      <c r="BTA167" s="26"/>
      <c r="BTB167" s="26"/>
      <c r="BTC167" s="26"/>
      <c r="BTD167" s="26"/>
      <c r="BTE167" s="26"/>
      <c r="BTF167" s="26"/>
      <c r="BTG167" s="26"/>
      <c r="BTH167" s="26"/>
      <c r="BTI167" s="26"/>
      <c r="BTJ167" s="26"/>
      <c r="BTK167" s="26"/>
      <c r="BTL167" s="26"/>
      <c r="BTM167" s="26"/>
      <c r="BTN167" s="26"/>
      <c r="BTO167" s="26"/>
      <c r="BTP167" s="26"/>
      <c r="BTQ167" s="26"/>
      <c r="BTR167" s="26"/>
      <c r="BTS167" s="26"/>
      <c r="BTT167" s="26"/>
      <c r="BTU167" s="26"/>
      <c r="BTV167" s="26"/>
      <c r="BTW167" s="26"/>
      <c r="BTX167" s="26"/>
      <c r="BTY167" s="26"/>
      <c r="BTZ167" s="26"/>
      <c r="BUA167" s="26"/>
      <c r="BUB167" s="26"/>
      <c r="BUC167" s="26"/>
      <c r="BUD167" s="26"/>
      <c r="BUE167" s="26"/>
      <c r="BUF167" s="26"/>
      <c r="BUG167" s="26"/>
      <c r="BUH167" s="26"/>
      <c r="BUI167" s="26"/>
      <c r="BUJ167" s="26"/>
      <c r="BUK167" s="26"/>
      <c r="BUL167" s="26"/>
      <c r="BUM167" s="26"/>
      <c r="BUN167" s="26"/>
      <c r="BUO167" s="26"/>
      <c r="BUP167" s="26"/>
      <c r="BUQ167" s="26"/>
      <c r="BUR167" s="26"/>
      <c r="BUS167" s="26"/>
      <c r="BUT167" s="26"/>
      <c r="BUU167" s="26"/>
      <c r="BUV167" s="26"/>
      <c r="BUW167" s="26"/>
      <c r="BUX167" s="26"/>
      <c r="BUY167" s="26"/>
      <c r="BUZ167" s="26"/>
      <c r="BVA167" s="26"/>
      <c r="BVB167" s="26"/>
      <c r="BVC167" s="26"/>
      <c r="BVD167" s="26"/>
      <c r="BVE167" s="26"/>
      <c r="BVF167" s="26"/>
      <c r="BVG167" s="26"/>
      <c r="BVH167" s="26"/>
      <c r="BVI167" s="26"/>
      <c r="BVJ167" s="26"/>
      <c r="BVK167" s="26"/>
      <c r="BVL167" s="26"/>
      <c r="BVM167" s="26"/>
      <c r="BVN167" s="26"/>
      <c r="BVO167" s="26"/>
      <c r="BVP167" s="26"/>
      <c r="BVQ167" s="26"/>
      <c r="BVR167" s="26"/>
      <c r="BVS167" s="26"/>
      <c r="BVT167" s="26"/>
      <c r="BVU167" s="26"/>
      <c r="BVV167" s="26"/>
      <c r="BVW167" s="26"/>
      <c r="BVX167" s="26"/>
      <c r="BVY167" s="26"/>
      <c r="BVZ167" s="26"/>
      <c r="BWA167" s="26"/>
      <c r="BWB167" s="26"/>
      <c r="BWC167" s="26"/>
      <c r="BWD167" s="26"/>
      <c r="BWE167" s="26"/>
      <c r="BWF167" s="26"/>
      <c r="BWG167" s="26"/>
      <c r="BWH167" s="26"/>
      <c r="BWI167" s="26"/>
      <c r="BWJ167" s="26"/>
      <c r="BWK167" s="26"/>
      <c r="BWL167" s="26"/>
      <c r="BWM167" s="26"/>
      <c r="BWN167" s="26"/>
      <c r="BWO167" s="26"/>
      <c r="BWP167" s="26"/>
      <c r="BWQ167" s="26"/>
      <c r="BWR167" s="26"/>
      <c r="BWS167" s="26"/>
      <c r="BWT167" s="26"/>
      <c r="BWU167" s="26"/>
      <c r="BWV167" s="26"/>
      <c r="BWW167" s="26"/>
      <c r="BWX167" s="26"/>
      <c r="BWY167" s="26"/>
      <c r="BWZ167" s="26"/>
      <c r="BXA167" s="26"/>
      <c r="BXB167" s="26"/>
      <c r="BXC167" s="26"/>
      <c r="BXD167" s="26"/>
      <c r="BXE167" s="26"/>
      <c r="BXF167" s="26"/>
      <c r="BXG167" s="26"/>
      <c r="BXH167" s="26"/>
      <c r="BXI167" s="26"/>
      <c r="BXJ167" s="26"/>
      <c r="BXK167" s="26"/>
      <c r="BXL167" s="26"/>
      <c r="BXM167" s="26"/>
      <c r="BXN167" s="26"/>
      <c r="BXO167" s="26"/>
      <c r="BXP167" s="26"/>
      <c r="BXQ167" s="26"/>
      <c r="BXR167" s="26"/>
      <c r="BXS167" s="26"/>
      <c r="BXT167" s="26"/>
      <c r="BXU167" s="26"/>
      <c r="BXV167" s="26"/>
      <c r="BXW167" s="26"/>
      <c r="BXX167" s="26"/>
      <c r="BXY167" s="26"/>
      <c r="BXZ167" s="26"/>
      <c r="BYA167" s="26"/>
      <c r="BYB167" s="26"/>
      <c r="BYC167" s="26"/>
      <c r="BYD167" s="26"/>
      <c r="BYE167" s="26"/>
      <c r="BYF167" s="26"/>
      <c r="BYG167" s="26"/>
      <c r="BYH167" s="26"/>
      <c r="BYI167" s="26"/>
      <c r="BYJ167" s="26"/>
      <c r="BYK167" s="26"/>
      <c r="BYL167" s="26"/>
      <c r="BYM167" s="26"/>
      <c r="BYN167" s="26"/>
      <c r="BYO167" s="26"/>
      <c r="BYP167" s="26"/>
      <c r="BYQ167" s="26"/>
      <c r="BYR167" s="26"/>
      <c r="BYS167" s="26"/>
      <c r="BYT167" s="26"/>
      <c r="BYU167" s="26"/>
      <c r="BYV167" s="26"/>
      <c r="BYW167" s="26"/>
      <c r="BYX167" s="26"/>
      <c r="BYY167" s="26"/>
      <c r="BYZ167" s="26"/>
      <c r="BZA167" s="26"/>
      <c r="BZB167" s="26"/>
      <c r="BZC167" s="26"/>
      <c r="BZD167" s="26"/>
      <c r="BZE167" s="26"/>
      <c r="BZF167" s="26"/>
      <c r="BZG167" s="26"/>
      <c r="BZH167" s="26"/>
      <c r="BZI167" s="26"/>
      <c r="BZJ167" s="26"/>
      <c r="BZK167" s="26"/>
      <c r="BZL167" s="26"/>
      <c r="BZM167" s="26"/>
      <c r="BZN167" s="26"/>
      <c r="BZO167" s="26"/>
      <c r="BZP167" s="26"/>
      <c r="BZQ167" s="26"/>
      <c r="BZR167" s="26"/>
      <c r="BZS167" s="26"/>
      <c r="BZT167" s="26"/>
      <c r="BZU167" s="26"/>
      <c r="BZV167" s="26"/>
      <c r="BZW167" s="26"/>
      <c r="BZX167" s="26"/>
      <c r="BZY167" s="26"/>
      <c r="BZZ167" s="26"/>
      <c r="CAA167" s="26"/>
      <c r="CAB167" s="26"/>
      <c r="CAC167" s="26"/>
      <c r="CAD167" s="26"/>
      <c r="CAE167" s="26"/>
      <c r="CAF167" s="26"/>
      <c r="CAG167" s="26"/>
      <c r="CAH167" s="26"/>
      <c r="CAI167" s="26"/>
      <c r="CAJ167" s="26"/>
      <c r="CAK167" s="26"/>
      <c r="CAL167" s="26"/>
      <c r="CAM167" s="26"/>
      <c r="CAN167" s="26"/>
      <c r="CAO167" s="26"/>
      <c r="CAP167" s="26"/>
      <c r="CAQ167" s="26"/>
      <c r="CAR167" s="26"/>
      <c r="CAS167" s="26"/>
      <c r="CAT167" s="26"/>
      <c r="CAU167" s="26"/>
      <c r="CAV167" s="26"/>
      <c r="CAW167" s="26"/>
      <c r="CAX167" s="26"/>
      <c r="CAY167" s="26"/>
      <c r="CAZ167" s="26"/>
      <c r="CBA167" s="26"/>
      <c r="CBB167" s="26"/>
      <c r="CBC167" s="26"/>
      <c r="CBD167" s="26"/>
      <c r="CBE167" s="26"/>
      <c r="CBF167" s="26"/>
      <c r="CBG167" s="26"/>
      <c r="CBH167" s="26"/>
      <c r="CBI167" s="26"/>
    </row>
    <row r="168" spans="1:2089" ht="14" customHeight="1">
      <c r="A168" s="27">
        <v>167</v>
      </c>
      <c r="B168" s="27" t="s">
        <v>358</v>
      </c>
      <c r="C168" s="27">
        <v>2008</v>
      </c>
      <c r="D168" s="26" t="s">
        <v>27</v>
      </c>
      <c r="E168" s="26" t="s">
        <v>563</v>
      </c>
      <c r="F168" s="77" t="s">
        <v>548</v>
      </c>
      <c r="G168" s="2" t="s">
        <v>84</v>
      </c>
      <c r="H168" s="2" t="s">
        <v>275</v>
      </c>
      <c r="I168" s="2" t="s">
        <v>548</v>
      </c>
      <c r="J168" s="2" t="s">
        <v>183</v>
      </c>
      <c r="K168" s="2" t="s">
        <v>548</v>
      </c>
      <c r="L168" s="2" t="s">
        <v>548</v>
      </c>
      <c r="M168" s="2" t="s">
        <v>548</v>
      </c>
      <c r="N168" s="2" t="s">
        <v>608</v>
      </c>
      <c r="O168" s="2" t="s">
        <v>43</v>
      </c>
      <c r="P168" s="2" t="s">
        <v>608</v>
      </c>
      <c r="Q168" s="2" t="s">
        <v>42</v>
      </c>
      <c r="R168" s="102" t="s">
        <v>614</v>
      </c>
      <c r="S168" s="88">
        <v>0.65</v>
      </c>
      <c r="T168" s="26">
        <v>11</v>
      </c>
      <c r="U168" s="77">
        <v>0</v>
      </c>
      <c r="V168" s="26">
        <v>0</v>
      </c>
      <c r="W168" s="26">
        <v>1</v>
      </c>
      <c r="X168" s="26">
        <v>1</v>
      </c>
      <c r="Y168" s="26">
        <v>1</v>
      </c>
      <c r="Z168" s="26">
        <v>0</v>
      </c>
      <c r="AA168" s="26">
        <v>1</v>
      </c>
      <c r="AB168" s="26">
        <v>1</v>
      </c>
      <c r="AC168" s="26" t="s">
        <v>70</v>
      </c>
      <c r="AD168" s="26" t="s">
        <v>70</v>
      </c>
      <c r="AE168" s="26" t="s">
        <v>70</v>
      </c>
      <c r="AF168" s="26" t="s">
        <v>70</v>
      </c>
      <c r="AG168" s="26" t="s">
        <v>70</v>
      </c>
      <c r="AH168" s="26" t="s">
        <v>70</v>
      </c>
      <c r="AI168" s="26">
        <v>1000</v>
      </c>
      <c r="AJ168" s="26" t="s">
        <v>186</v>
      </c>
      <c r="AK168" s="26" t="s">
        <v>70</v>
      </c>
      <c r="AL168" s="33" t="s">
        <v>70</v>
      </c>
      <c r="AM168" s="35" t="s">
        <v>548</v>
      </c>
      <c r="AN168" s="26" t="s">
        <v>274</v>
      </c>
      <c r="AO168" s="35" t="s">
        <v>548</v>
      </c>
      <c r="AP168" s="35" t="s">
        <v>548</v>
      </c>
      <c r="AQ168" s="35" t="s">
        <v>548</v>
      </c>
      <c r="AR168" s="35" t="s">
        <v>548</v>
      </c>
      <c r="AS168" s="26" t="s">
        <v>175</v>
      </c>
      <c r="AT168" s="26" t="s">
        <v>70</v>
      </c>
      <c r="AU168" s="26" t="s">
        <v>70</v>
      </c>
      <c r="AV168" s="26">
        <v>6</v>
      </c>
    </row>
    <row r="169" spans="1:2089" ht="14" customHeight="1">
      <c r="A169" s="27">
        <v>168</v>
      </c>
      <c r="B169" s="27" t="s">
        <v>359</v>
      </c>
      <c r="C169" s="27">
        <v>2011</v>
      </c>
      <c r="D169" s="26" t="s">
        <v>138</v>
      </c>
      <c r="E169" s="26" t="s">
        <v>566</v>
      </c>
      <c r="F169" s="77" t="s">
        <v>175</v>
      </c>
      <c r="G169" s="2" t="s">
        <v>105</v>
      </c>
      <c r="H169" s="2" t="s">
        <v>24</v>
      </c>
      <c r="I169" s="2" t="s">
        <v>175</v>
      </c>
      <c r="J169" s="2" t="s">
        <v>604</v>
      </c>
      <c r="K169" s="2" t="s">
        <v>175</v>
      </c>
      <c r="L169" s="2" t="s">
        <v>175</v>
      </c>
      <c r="M169" s="2" t="s">
        <v>175</v>
      </c>
      <c r="N169" s="2" t="s">
        <v>139</v>
      </c>
      <c r="O169" s="2" t="s">
        <v>60</v>
      </c>
      <c r="P169" s="2" t="s">
        <v>139</v>
      </c>
      <c r="Q169" s="2" t="s">
        <v>42</v>
      </c>
      <c r="R169" s="102" t="s">
        <v>614</v>
      </c>
      <c r="S169" s="88" t="s">
        <v>70</v>
      </c>
      <c r="T169" s="26">
        <v>13</v>
      </c>
      <c r="U169" s="77">
        <v>1</v>
      </c>
      <c r="V169" s="26">
        <v>0</v>
      </c>
      <c r="W169" s="26">
        <v>0</v>
      </c>
      <c r="X169" s="26">
        <v>1</v>
      </c>
      <c r="Y169" s="26">
        <v>1</v>
      </c>
      <c r="Z169" s="26">
        <v>0</v>
      </c>
      <c r="AA169" s="26">
        <v>0</v>
      </c>
      <c r="AB169" s="26">
        <v>0</v>
      </c>
      <c r="AC169" s="26" t="s">
        <v>70</v>
      </c>
      <c r="AD169" s="26" t="s">
        <v>70</v>
      </c>
      <c r="AE169" s="26" t="s">
        <v>70</v>
      </c>
      <c r="AF169" s="26" t="s">
        <v>70</v>
      </c>
      <c r="AG169" s="33">
        <v>122</v>
      </c>
      <c r="AH169" s="33" t="s">
        <v>70</v>
      </c>
      <c r="AI169" s="33" t="s">
        <v>70</v>
      </c>
      <c r="AJ169" s="26" t="s">
        <v>140</v>
      </c>
      <c r="AK169" s="33" t="s">
        <v>70</v>
      </c>
      <c r="AL169" s="33" t="s">
        <v>70</v>
      </c>
      <c r="AM169" s="35" t="s">
        <v>175</v>
      </c>
      <c r="AN169" s="26" t="s">
        <v>615</v>
      </c>
      <c r="AO169" s="35" t="s">
        <v>548</v>
      </c>
      <c r="AP169" s="35" t="s">
        <v>548</v>
      </c>
      <c r="AQ169" s="35" t="s">
        <v>548</v>
      </c>
      <c r="AR169" s="35" t="s">
        <v>548</v>
      </c>
      <c r="AS169" s="26" t="s">
        <v>175</v>
      </c>
      <c r="AT169" s="26" t="s">
        <v>70</v>
      </c>
      <c r="AU169" s="26" t="s">
        <v>70</v>
      </c>
      <c r="AV169" s="26">
        <v>9</v>
      </c>
    </row>
    <row r="170" spans="1:2089" ht="14" customHeight="1">
      <c r="A170" s="27">
        <v>169</v>
      </c>
      <c r="B170" s="27" t="s">
        <v>561</v>
      </c>
      <c r="C170" s="27">
        <v>1998</v>
      </c>
      <c r="D170" s="26" t="s">
        <v>27</v>
      </c>
      <c r="E170" s="26" t="s">
        <v>563</v>
      </c>
      <c r="F170" s="77" t="s">
        <v>175</v>
      </c>
      <c r="G170" s="2" t="s">
        <v>84</v>
      </c>
      <c r="H170" s="2" t="s">
        <v>30</v>
      </c>
      <c r="I170" s="2" t="s">
        <v>175</v>
      </c>
      <c r="J170" s="2" t="s">
        <v>189</v>
      </c>
      <c r="K170" s="2" t="s">
        <v>175</v>
      </c>
      <c r="L170" s="2" t="s">
        <v>175</v>
      </c>
      <c r="M170" s="2" t="s">
        <v>175</v>
      </c>
      <c r="N170" s="2" t="s">
        <v>210</v>
      </c>
      <c r="O170" s="2" t="s">
        <v>43</v>
      </c>
      <c r="P170" s="2" t="s">
        <v>210</v>
      </c>
      <c r="Q170" s="2" t="s">
        <v>42</v>
      </c>
      <c r="R170" s="102" t="s">
        <v>614</v>
      </c>
      <c r="S170" s="88">
        <f>1-AC170</f>
        <v>0.42000000000000004</v>
      </c>
      <c r="T170" s="61">
        <v>85</v>
      </c>
      <c r="U170" s="77">
        <v>1</v>
      </c>
      <c r="V170" s="26">
        <v>0</v>
      </c>
      <c r="W170" s="26">
        <v>1</v>
      </c>
      <c r="X170" s="26">
        <v>1</v>
      </c>
      <c r="Y170" s="26">
        <v>1</v>
      </c>
      <c r="Z170" s="26">
        <v>1</v>
      </c>
      <c r="AA170" s="26">
        <v>0</v>
      </c>
      <c r="AB170" s="26">
        <v>0</v>
      </c>
      <c r="AC170" s="26">
        <v>0.57999999999999996</v>
      </c>
      <c r="AD170" s="26">
        <v>0.2</v>
      </c>
      <c r="AE170" s="26">
        <v>0.18</v>
      </c>
      <c r="AF170" s="26">
        <v>0.02</v>
      </c>
      <c r="AG170" s="33" t="s">
        <v>70</v>
      </c>
      <c r="AH170" s="33">
        <v>1.4</v>
      </c>
      <c r="AI170" s="33" t="s">
        <v>70</v>
      </c>
      <c r="AJ170" s="26" t="s">
        <v>70</v>
      </c>
      <c r="AK170" s="33" t="s">
        <v>70</v>
      </c>
      <c r="AL170" s="33" t="s">
        <v>70</v>
      </c>
      <c r="AM170" s="61" t="s">
        <v>175</v>
      </c>
      <c r="AN170" s="26" t="s">
        <v>274</v>
      </c>
      <c r="AO170" s="35" t="s">
        <v>548</v>
      </c>
      <c r="AP170" s="35" t="s">
        <v>548</v>
      </c>
      <c r="AQ170" s="35" t="s">
        <v>548</v>
      </c>
      <c r="AR170" s="35" t="s">
        <v>548</v>
      </c>
      <c r="AS170" s="26" t="s">
        <v>175</v>
      </c>
      <c r="AT170" s="26" t="s">
        <v>70</v>
      </c>
      <c r="AU170" s="26" t="s">
        <v>70</v>
      </c>
      <c r="AV170" s="26">
        <v>11</v>
      </c>
    </row>
    <row r="171" spans="1:2089" ht="14" customHeight="1">
      <c r="A171" s="27">
        <v>170</v>
      </c>
      <c r="B171" s="27" t="s">
        <v>561</v>
      </c>
      <c r="C171" s="27">
        <v>1998</v>
      </c>
      <c r="D171" s="26" t="s">
        <v>27</v>
      </c>
      <c r="E171" s="26" t="s">
        <v>563</v>
      </c>
      <c r="F171" s="77" t="s">
        <v>175</v>
      </c>
      <c r="G171" s="2" t="s">
        <v>84</v>
      </c>
      <c r="H171" s="2" t="s">
        <v>30</v>
      </c>
      <c r="I171" s="2" t="s">
        <v>175</v>
      </c>
      <c r="J171" s="2" t="s">
        <v>189</v>
      </c>
      <c r="K171" s="2" t="s">
        <v>175</v>
      </c>
      <c r="L171" s="2" t="s">
        <v>175</v>
      </c>
      <c r="M171" s="2" t="s">
        <v>175</v>
      </c>
      <c r="N171" s="2" t="s">
        <v>62</v>
      </c>
      <c r="O171" s="2" t="s">
        <v>43</v>
      </c>
      <c r="P171" s="2" t="s">
        <v>62</v>
      </c>
      <c r="Q171" s="26" t="s">
        <v>274</v>
      </c>
      <c r="R171" s="102" t="s">
        <v>614</v>
      </c>
      <c r="S171" s="88">
        <f>1-AC171</f>
        <v>0.85</v>
      </c>
      <c r="T171" s="61">
        <v>68</v>
      </c>
      <c r="U171" s="77">
        <v>1</v>
      </c>
      <c r="V171" s="26">
        <v>0</v>
      </c>
      <c r="W171" s="26">
        <v>1</v>
      </c>
      <c r="X171" s="26">
        <v>1</v>
      </c>
      <c r="Y171" s="26">
        <v>1</v>
      </c>
      <c r="Z171" s="26">
        <v>1</v>
      </c>
      <c r="AA171" s="26">
        <v>0</v>
      </c>
      <c r="AB171" s="26">
        <v>0</v>
      </c>
      <c r="AC171" s="26">
        <v>0.15</v>
      </c>
      <c r="AD171" s="26">
        <v>0.12</v>
      </c>
      <c r="AE171" s="26">
        <v>0.45</v>
      </c>
      <c r="AF171" s="26">
        <v>0.28000000000000003</v>
      </c>
      <c r="AG171" s="33" t="s">
        <v>70</v>
      </c>
      <c r="AH171" s="33">
        <v>29.1</v>
      </c>
      <c r="AI171" s="33" t="s">
        <v>70</v>
      </c>
      <c r="AJ171" s="26" t="s">
        <v>70</v>
      </c>
      <c r="AK171" s="33" t="s">
        <v>70</v>
      </c>
      <c r="AL171" s="33" t="s">
        <v>70</v>
      </c>
      <c r="AM171" s="61" t="s">
        <v>175</v>
      </c>
      <c r="AN171" s="26" t="s">
        <v>274</v>
      </c>
      <c r="AO171" s="35" t="s">
        <v>548</v>
      </c>
      <c r="AP171" s="35" t="s">
        <v>548</v>
      </c>
      <c r="AQ171" s="35" t="s">
        <v>548</v>
      </c>
      <c r="AR171" s="35" t="s">
        <v>548</v>
      </c>
      <c r="AS171" s="26" t="s">
        <v>175</v>
      </c>
      <c r="AT171" s="26" t="s">
        <v>70</v>
      </c>
      <c r="AU171" s="26" t="s">
        <v>70</v>
      </c>
      <c r="AV171" s="26">
        <v>11</v>
      </c>
    </row>
    <row r="172" spans="1:2089" ht="14" customHeight="1">
      <c r="A172" s="27">
        <v>171</v>
      </c>
      <c r="B172" s="27" t="s">
        <v>561</v>
      </c>
      <c r="C172" s="27">
        <v>1998</v>
      </c>
      <c r="D172" s="26" t="s">
        <v>27</v>
      </c>
      <c r="E172" s="26" t="s">
        <v>563</v>
      </c>
      <c r="F172" s="77" t="s">
        <v>175</v>
      </c>
      <c r="G172" s="2" t="s">
        <v>84</v>
      </c>
      <c r="H172" s="2" t="s">
        <v>30</v>
      </c>
      <c r="I172" s="2" t="s">
        <v>175</v>
      </c>
      <c r="J172" s="2" t="s">
        <v>189</v>
      </c>
      <c r="K172" s="2" t="s">
        <v>175</v>
      </c>
      <c r="L172" s="2" t="s">
        <v>175</v>
      </c>
      <c r="M172" s="2" t="s">
        <v>175</v>
      </c>
      <c r="N172" s="2" t="s">
        <v>210</v>
      </c>
      <c r="O172" s="2" t="s">
        <v>43</v>
      </c>
      <c r="P172" s="2" t="s">
        <v>618</v>
      </c>
      <c r="Q172" s="2" t="s">
        <v>42</v>
      </c>
      <c r="R172" s="102" t="s">
        <v>614</v>
      </c>
      <c r="S172" s="88">
        <f>1-AC172</f>
        <v>1</v>
      </c>
      <c r="T172" s="61">
        <v>108</v>
      </c>
      <c r="U172" s="77">
        <v>1</v>
      </c>
      <c r="V172" s="26">
        <v>0</v>
      </c>
      <c r="W172" s="26">
        <v>1</v>
      </c>
      <c r="X172" s="26">
        <v>1</v>
      </c>
      <c r="Y172" s="26">
        <v>1</v>
      </c>
      <c r="Z172" s="26">
        <v>1</v>
      </c>
      <c r="AA172" s="26">
        <v>0</v>
      </c>
      <c r="AB172" s="26">
        <v>0</v>
      </c>
      <c r="AC172" s="26">
        <v>0</v>
      </c>
      <c r="AD172" s="26">
        <v>7.0000000000000007E-2</v>
      </c>
      <c r="AE172" s="26">
        <v>0.23</v>
      </c>
      <c r="AF172" s="26">
        <f>1-SUM(AE172+AD172+AC172)</f>
        <v>0.7</v>
      </c>
      <c r="AG172" s="33" t="s">
        <v>70</v>
      </c>
      <c r="AH172" s="33">
        <v>6.3</v>
      </c>
      <c r="AI172" s="33" t="s">
        <v>70</v>
      </c>
      <c r="AJ172" s="26" t="s">
        <v>70</v>
      </c>
      <c r="AK172" s="33" t="s">
        <v>70</v>
      </c>
      <c r="AL172" s="33" t="s">
        <v>70</v>
      </c>
      <c r="AM172" s="61" t="s">
        <v>175</v>
      </c>
      <c r="AN172" s="26" t="s">
        <v>274</v>
      </c>
      <c r="AO172" s="35" t="s">
        <v>548</v>
      </c>
      <c r="AP172" s="35" t="s">
        <v>548</v>
      </c>
      <c r="AQ172" s="35" t="s">
        <v>548</v>
      </c>
      <c r="AR172" s="35" t="s">
        <v>548</v>
      </c>
      <c r="AS172" s="26" t="s">
        <v>175</v>
      </c>
      <c r="AT172" s="26" t="s">
        <v>70</v>
      </c>
      <c r="AU172" s="26" t="s">
        <v>70</v>
      </c>
      <c r="AV172" s="26">
        <v>11</v>
      </c>
    </row>
    <row r="173" spans="1:2089" ht="14" customHeight="1">
      <c r="A173" s="27">
        <v>172</v>
      </c>
      <c r="B173" s="27" t="s">
        <v>561</v>
      </c>
      <c r="C173" s="27">
        <v>1998</v>
      </c>
      <c r="D173" s="26" t="s">
        <v>27</v>
      </c>
      <c r="E173" s="26" t="s">
        <v>563</v>
      </c>
      <c r="F173" s="77" t="s">
        <v>175</v>
      </c>
      <c r="G173" s="2" t="s">
        <v>84</v>
      </c>
      <c r="H173" s="2" t="s">
        <v>30</v>
      </c>
      <c r="I173" s="2" t="s">
        <v>175</v>
      </c>
      <c r="J173" s="2" t="s">
        <v>189</v>
      </c>
      <c r="K173" s="2" t="s">
        <v>175</v>
      </c>
      <c r="L173" s="2" t="s">
        <v>175</v>
      </c>
      <c r="M173" s="2" t="s">
        <v>175</v>
      </c>
      <c r="N173" s="2" t="s">
        <v>62</v>
      </c>
      <c r="O173" s="2" t="s">
        <v>43</v>
      </c>
      <c r="P173" s="2" t="s">
        <v>621</v>
      </c>
      <c r="Q173" s="2" t="s">
        <v>42</v>
      </c>
      <c r="R173" s="102" t="s">
        <v>614</v>
      </c>
      <c r="S173" s="88">
        <f>1-AC173</f>
        <v>0.98</v>
      </c>
      <c r="T173" s="61">
        <v>101</v>
      </c>
      <c r="U173" s="77">
        <v>1</v>
      </c>
      <c r="V173" s="26">
        <v>0</v>
      </c>
      <c r="W173" s="26">
        <v>1</v>
      </c>
      <c r="X173" s="26">
        <v>1</v>
      </c>
      <c r="Y173" s="26">
        <v>1</v>
      </c>
      <c r="Z173" s="26">
        <v>1</v>
      </c>
      <c r="AA173" s="26">
        <v>0</v>
      </c>
      <c r="AB173" s="26">
        <v>0</v>
      </c>
      <c r="AC173" s="26">
        <v>0.02</v>
      </c>
      <c r="AD173" s="26">
        <v>0.2</v>
      </c>
      <c r="AE173" s="26">
        <v>0.56999999999999995</v>
      </c>
      <c r="AF173" s="26">
        <f>1-SUM(AE173+AD173+AC173)</f>
        <v>0.20999999999999996</v>
      </c>
      <c r="AG173" s="33" t="s">
        <v>70</v>
      </c>
      <c r="AH173" s="33">
        <v>38.6</v>
      </c>
      <c r="AI173" s="33" t="s">
        <v>70</v>
      </c>
      <c r="AJ173" s="26" t="s">
        <v>70</v>
      </c>
      <c r="AK173" s="33" t="s">
        <v>70</v>
      </c>
      <c r="AL173" s="33" t="s">
        <v>70</v>
      </c>
      <c r="AM173" s="61" t="s">
        <v>175</v>
      </c>
      <c r="AN173" s="26" t="s">
        <v>274</v>
      </c>
      <c r="AO173" s="35" t="s">
        <v>548</v>
      </c>
      <c r="AP173" s="35" t="s">
        <v>548</v>
      </c>
      <c r="AQ173" s="35" t="s">
        <v>548</v>
      </c>
      <c r="AR173" s="35" t="s">
        <v>548</v>
      </c>
      <c r="AS173" s="26" t="s">
        <v>175</v>
      </c>
      <c r="AT173" s="26" t="s">
        <v>70</v>
      </c>
      <c r="AU173" s="26" t="s">
        <v>70</v>
      </c>
      <c r="AV173" s="26">
        <v>11</v>
      </c>
    </row>
    <row r="174" spans="1:2089" ht="13.5" customHeight="1">
      <c r="A174" s="27">
        <v>173</v>
      </c>
      <c r="B174" s="27" t="s">
        <v>360</v>
      </c>
      <c r="C174" s="27">
        <v>2005</v>
      </c>
      <c r="D174" s="26" t="s">
        <v>73</v>
      </c>
      <c r="E174" s="26" t="s">
        <v>563</v>
      </c>
      <c r="F174" s="77" t="s">
        <v>175</v>
      </c>
      <c r="G174" s="2" t="s">
        <v>105</v>
      </c>
      <c r="H174" s="2" t="s">
        <v>30</v>
      </c>
      <c r="I174" s="2" t="s">
        <v>175</v>
      </c>
      <c r="J174" s="2" t="s">
        <v>604</v>
      </c>
      <c r="K174" s="2" t="s">
        <v>175</v>
      </c>
      <c r="L174" s="2" t="s">
        <v>175</v>
      </c>
      <c r="M174" s="2" t="s">
        <v>175</v>
      </c>
      <c r="N174" s="2" t="s">
        <v>50</v>
      </c>
      <c r="O174" s="2" t="s">
        <v>43</v>
      </c>
      <c r="P174" s="2" t="s">
        <v>50</v>
      </c>
      <c r="Q174" s="2" t="s">
        <v>42</v>
      </c>
      <c r="R174" s="79" t="s">
        <v>613</v>
      </c>
      <c r="S174" s="88">
        <v>1</v>
      </c>
      <c r="T174" s="35">
        <v>10</v>
      </c>
      <c r="U174" s="77">
        <v>1</v>
      </c>
      <c r="V174" s="35">
        <v>0</v>
      </c>
      <c r="W174" s="35">
        <v>1</v>
      </c>
      <c r="X174" s="35">
        <v>1</v>
      </c>
      <c r="Y174" s="35">
        <v>0</v>
      </c>
      <c r="Z174" s="35">
        <v>0</v>
      </c>
      <c r="AA174" s="35">
        <v>0</v>
      </c>
      <c r="AB174" s="35">
        <v>0</v>
      </c>
      <c r="AC174" s="33" t="s">
        <v>70</v>
      </c>
      <c r="AD174" s="33" t="s">
        <v>70</v>
      </c>
      <c r="AE174" s="33" t="s">
        <v>70</v>
      </c>
      <c r="AF174" s="33" t="s">
        <v>70</v>
      </c>
      <c r="AG174" s="33" t="s">
        <v>70</v>
      </c>
      <c r="AH174" s="33" t="s">
        <v>70</v>
      </c>
      <c r="AI174" s="33" t="s">
        <v>70</v>
      </c>
      <c r="AJ174" s="26" t="s">
        <v>187</v>
      </c>
      <c r="AK174" s="33" t="s">
        <v>70</v>
      </c>
      <c r="AL174" s="33" t="s">
        <v>70</v>
      </c>
      <c r="AM174" s="35" t="s">
        <v>175</v>
      </c>
      <c r="AN174" s="26" t="s">
        <v>615</v>
      </c>
      <c r="AO174" s="35" t="s">
        <v>548</v>
      </c>
      <c r="AP174" s="35" t="s">
        <v>175</v>
      </c>
      <c r="AQ174" s="35" t="s">
        <v>548</v>
      </c>
      <c r="AR174" s="35" t="s">
        <v>548</v>
      </c>
      <c r="AS174" s="26" t="s">
        <v>175</v>
      </c>
      <c r="AT174" s="26" t="s">
        <v>175</v>
      </c>
      <c r="AU174" s="40" t="s">
        <v>175</v>
      </c>
      <c r="AV174" s="26">
        <v>9</v>
      </c>
    </row>
    <row r="175" spans="1:2089" ht="14" customHeight="1">
      <c r="A175" s="27">
        <v>174</v>
      </c>
      <c r="B175" s="27" t="s">
        <v>361</v>
      </c>
      <c r="C175" s="27">
        <v>2009</v>
      </c>
      <c r="D175" s="26" t="s">
        <v>49</v>
      </c>
      <c r="E175" s="26" t="s">
        <v>566</v>
      </c>
      <c r="F175" s="77" t="s">
        <v>175</v>
      </c>
      <c r="G175" s="2" t="s">
        <v>84</v>
      </c>
      <c r="H175" s="2" t="s">
        <v>30</v>
      </c>
      <c r="I175" s="2" t="s">
        <v>548</v>
      </c>
      <c r="J175" s="2" t="s">
        <v>604</v>
      </c>
      <c r="K175" s="2" t="s">
        <v>548</v>
      </c>
      <c r="L175" s="2" t="s">
        <v>548</v>
      </c>
      <c r="M175" s="2" t="s">
        <v>175</v>
      </c>
      <c r="N175" s="2" t="s">
        <v>62</v>
      </c>
      <c r="O175" s="2" t="s">
        <v>43</v>
      </c>
      <c r="P175" s="2" t="s">
        <v>62</v>
      </c>
      <c r="Q175" s="26" t="s">
        <v>606</v>
      </c>
      <c r="R175" s="79" t="s">
        <v>613</v>
      </c>
      <c r="S175" s="88">
        <v>1</v>
      </c>
      <c r="T175" s="26">
        <v>10</v>
      </c>
      <c r="U175" s="77">
        <v>1</v>
      </c>
      <c r="V175" s="26">
        <v>0</v>
      </c>
      <c r="W175" s="26">
        <v>1</v>
      </c>
      <c r="X175" s="26">
        <v>1</v>
      </c>
      <c r="Y175" s="26">
        <v>1</v>
      </c>
      <c r="Z175" s="26">
        <v>0</v>
      </c>
      <c r="AA175" s="26">
        <v>0</v>
      </c>
      <c r="AB175" s="26">
        <v>0</v>
      </c>
      <c r="AC175" s="26" t="s">
        <v>70</v>
      </c>
      <c r="AD175" s="26" t="s">
        <v>70</v>
      </c>
      <c r="AE175" s="26" t="s">
        <v>70</v>
      </c>
      <c r="AF175" s="26" t="s">
        <v>70</v>
      </c>
      <c r="AG175" s="33" t="s">
        <v>70</v>
      </c>
      <c r="AH175" s="33" t="s">
        <v>70</v>
      </c>
      <c r="AI175" s="33" t="s">
        <v>70</v>
      </c>
      <c r="AJ175" s="26" t="s">
        <v>70</v>
      </c>
      <c r="AK175" s="33" t="s">
        <v>70</v>
      </c>
      <c r="AL175" s="33" t="s">
        <v>70</v>
      </c>
      <c r="AM175" s="35" t="s">
        <v>548</v>
      </c>
      <c r="AN175" s="26" t="s">
        <v>274</v>
      </c>
      <c r="AO175" s="35" t="s">
        <v>548</v>
      </c>
      <c r="AP175" s="35" t="s">
        <v>548</v>
      </c>
      <c r="AQ175" s="35" t="s">
        <v>548</v>
      </c>
      <c r="AR175" s="35" t="s">
        <v>548</v>
      </c>
      <c r="AS175" s="26" t="s">
        <v>175</v>
      </c>
      <c r="AT175" s="26" t="s">
        <v>70</v>
      </c>
      <c r="AU175" s="26" t="s">
        <v>70</v>
      </c>
      <c r="AV175" s="26">
        <v>6</v>
      </c>
    </row>
    <row r="176" spans="1:2089" ht="14" customHeight="1">
      <c r="A176" s="27">
        <v>175</v>
      </c>
      <c r="B176" s="27" t="s">
        <v>362</v>
      </c>
      <c r="C176" s="37">
        <v>1990</v>
      </c>
      <c r="D176" s="26" t="s">
        <v>27</v>
      </c>
      <c r="E176" s="26" t="s">
        <v>563</v>
      </c>
      <c r="F176" s="77" t="s">
        <v>175</v>
      </c>
      <c r="G176" s="2" t="s">
        <v>84</v>
      </c>
      <c r="H176" s="2" t="s">
        <v>24</v>
      </c>
      <c r="I176" s="2" t="s">
        <v>548</v>
      </c>
      <c r="J176" s="2" t="s">
        <v>189</v>
      </c>
      <c r="K176" s="2" t="s">
        <v>175</v>
      </c>
      <c r="L176" s="2" t="s">
        <v>175</v>
      </c>
      <c r="M176" s="2" t="s">
        <v>548</v>
      </c>
      <c r="N176" s="2" t="s">
        <v>210</v>
      </c>
      <c r="O176" s="2" t="s">
        <v>43</v>
      </c>
      <c r="P176" s="2" t="s">
        <v>618</v>
      </c>
      <c r="Q176" s="2" t="s">
        <v>42</v>
      </c>
      <c r="R176" s="79" t="s">
        <v>613</v>
      </c>
      <c r="S176" s="88">
        <v>0.12</v>
      </c>
      <c r="T176" s="26">
        <f>484+420</f>
        <v>904</v>
      </c>
      <c r="U176" s="77">
        <v>1</v>
      </c>
      <c r="V176" s="26">
        <v>0</v>
      </c>
      <c r="W176" s="26">
        <v>1</v>
      </c>
      <c r="X176" s="26">
        <v>1</v>
      </c>
      <c r="Y176" s="26">
        <v>1</v>
      </c>
      <c r="Z176" s="26">
        <v>1</v>
      </c>
      <c r="AA176" s="26">
        <v>0</v>
      </c>
      <c r="AB176" s="26">
        <v>0</v>
      </c>
      <c r="AC176" s="26" t="s">
        <v>70</v>
      </c>
      <c r="AD176" s="26" t="s">
        <v>70</v>
      </c>
      <c r="AE176" s="26" t="s">
        <v>70</v>
      </c>
      <c r="AF176" s="26" t="s">
        <v>70</v>
      </c>
      <c r="AG176" s="26" t="s">
        <v>70</v>
      </c>
      <c r="AH176" s="26" t="s">
        <v>70</v>
      </c>
      <c r="AI176" s="26" t="s">
        <v>70</v>
      </c>
      <c r="AJ176" s="26" t="s">
        <v>70</v>
      </c>
      <c r="AK176" s="26" t="s">
        <v>70</v>
      </c>
      <c r="AL176" s="26" t="s">
        <v>70</v>
      </c>
      <c r="AM176" s="35" t="s">
        <v>175</v>
      </c>
      <c r="AN176" s="32" t="s">
        <v>9</v>
      </c>
      <c r="AO176" s="35" t="s">
        <v>548</v>
      </c>
      <c r="AP176" s="35" t="s">
        <v>548</v>
      </c>
      <c r="AQ176" s="35" t="s">
        <v>548</v>
      </c>
      <c r="AR176" s="35" t="s">
        <v>548</v>
      </c>
      <c r="AS176" s="26" t="s">
        <v>175</v>
      </c>
      <c r="AT176" s="26" t="s">
        <v>70</v>
      </c>
      <c r="AU176" s="26" t="s">
        <v>70</v>
      </c>
      <c r="AV176" s="26">
        <v>9</v>
      </c>
    </row>
    <row r="177" spans="1:48" ht="14" customHeight="1">
      <c r="A177" s="27">
        <v>176</v>
      </c>
      <c r="B177" s="27" t="s">
        <v>362</v>
      </c>
      <c r="C177" s="37">
        <v>1990</v>
      </c>
      <c r="D177" s="26" t="s">
        <v>27</v>
      </c>
      <c r="E177" s="26" t="s">
        <v>563</v>
      </c>
      <c r="F177" s="77" t="s">
        <v>175</v>
      </c>
      <c r="G177" s="2" t="s">
        <v>84</v>
      </c>
      <c r="H177" s="2" t="s">
        <v>24</v>
      </c>
      <c r="I177" s="2" t="s">
        <v>548</v>
      </c>
      <c r="J177" s="2" t="s">
        <v>189</v>
      </c>
      <c r="K177" s="2" t="s">
        <v>175</v>
      </c>
      <c r="L177" s="2" t="s">
        <v>175</v>
      </c>
      <c r="M177" s="2" t="s">
        <v>548</v>
      </c>
      <c r="N177" s="2" t="s">
        <v>51</v>
      </c>
      <c r="O177" s="2" t="s">
        <v>43</v>
      </c>
      <c r="P177" s="2" t="s">
        <v>622</v>
      </c>
      <c r="Q177" s="2" t="s">
        <v>42</v>
      </c>
      <c r="R177" s="79" t="s">
        <v>613</v>
      </c>
      <c r="S177" s="88">
        <v>0.33</v>
      </c>
      <c r="T177" s="26">
        <v>92</v>
      </c>
      <c r="U177" s="77">
        <v>1</v>
      </c>
      <c r="V177" s="26">
        <v>0</v>
      </c>
      <c r="W177" s="26">
        <v>1</v>
      </c>
      <c r="X177" s="26">
        <v>1</v>
      </c>
      <c r="Y177" s="26">
        <v>1</v>
      </c>
      <c r="Z177" s="26">
        <v>1</v>
      </c>
      <c r="AA177" s="26">
        <v>0</v>
      </c>
      <c r="AB177" s="26">
        <v>0</v>
      </c>
      <c r="AC177" s="26" t="s">
        <v>70</v>
      </c>
      <c r="AD177" s="26" t="s">
        <v>70</v>
      </c>
      <c r="AE177" s="26" t="s">
        <v>70</v>
      </c>
      <c r="AF177" s="26" t="s">
        <v>70</v>
      </c>
      <c r="AG177" s="26" t="s">
        <v>70</v>
      </c>
      <c r="AH177" s="26" t="s">
        <v>70</v>
      </c>
      <c r="AI177" s="26" t="s">
        <v>70</v>
      </c>
      <c r="AJ177" s="26" t="s">
        <v>70</v>
      </c>
      <c r="AK177" s="26" t="s">
        <v>70</v>
      </c>
      <c r="AL177" s="26" t="s">
        <v>70</v>
      </c>
      <c r="AM177" s="35" t="s">
        <v>175</v>
      </c>
      <c r="AN177" s="32" t="s">
        <v>9</v>
      </c>
      <c r="AO177" s="35" t="s">
        <v>548</v>
      </c>
      <c r="AP177" s="35" t="s">
        <v>548</v>
      </c>
      <c r="AQ177" s="35" t="s">
        <v>548</v>
      </c>
      <c r="AR177" s="35" t="s">
        <v>548</v>
      </c>
      <c r="AS177" s="26" t="s">
        <v>175</v>
      </c>
      <c r="AT177" s="26" t="s">
        <v>70</v>
      </c>
      <c r="AU177" s="26" t="s">
        <v>70</v>
      </c>
      <c r="AV177" s="26">
        <v>9</v>
      </c>
    </row>
    <row r="178" spans="1:48" ht="14" customHeight="1">
      <c r="A178" s="27">
        <v>177</v>
      </c>
      <c r="B178" s="27" t="s">
        <v>363</v>
      </c>
      <c r="C178" s="27">
        <v>2012</v>
      </c>
      <c r="D178" s="26" t="s">
        <v>57</v>
      </c>
      <c r="E178" s="26" t="s">
        <v>566</v>
      </c>
      <c r="F178" s="77" t="s">
        <v>175</v>
      </c>
      <c r="G178" s="2" t="s">
        <v>84</v>
      </c>
      <c r="H178" s="2" t="s">
        <v>275</v>
      </c>
      <c r="I178" s="2" t="s">
        <v>548</v>
      </c>
      <c r="J178" s="2" t="s">
        <v>604</v>
      </c>
      <c r="K178" s="2" t="s">
        <v>548</v>
      </c>
      <c r="L178" s="2" t="s">
        <v>548</v>
      </c>
      <c r="M178" s="2" t="s">
        <v>175</v>
      </c>
      <c r="N178" s="2" t="s">
        <v>48</v>
      </c>
      <c r="O178" s="2" t="s">
        <v>209</v>
      </c>
      <c r="P178" s="2" t="s">
        <v>48</v>
      </c>
      <c r="Q178" s="2" t="s">
        <v>42</v>
      </c>
      <c r="R178" s="79" t="s">
        <v>613</v>
      </c>
      <c r="S178" s="88">
        <v>0.3</v>
      </c>
      <c r="T178" s="35">
        <v>30</v>
      </c>
      <c r="U178" s="77">
        <v>1</v>
      </c>
      <c r="V178" s="35">
        <v>1</v>
      </c>
      <c r="W178" s="35">
        <v>1</v>
      </c>
      <c r="X178" s="35">
        <v>1</v>
      </c>
      <c r="Y178" s="35">
        <v>0</v>
      </c>
      <c r="Z178" s="35">
        <v>0</v>
      </c>
      <c r="AA178" s="35">
        <v>0</v>
      </c>
      <c r="AB178" s="35">
        <v>0</v>
      </c>
      <c r="AC178" s="33" t="s">
        <v>70</v>
      </c>
      <c r="AD178" s="33" t="s">
        <v>70</v>
      </c>
      <c r="AE178" s="33" t="s">
        <v>70</v>
      </c>
      <c r="AF178" s="33" t="s">
        <v>70</v>
      </c>
      <c r="AG178" s="33">
        <v>10.97</v>
      </c>
      <c r="AH178" s="33" t="s">
        <v>70</v>
      </c>
      <c r="AI178" s="33" t="s">
        <v>70</v>
      </c>
      <c r="AJ178" s="33" t="s">
        <v>70</v>
      </c>
      <c r="AK178" s="33" t="s">
        <v>70</v>
      </c>
      <c r="AL178" s="33" t="s">
        <v>70</v>
      </c>
      <c r="AM178" s="35" t="s">
        <v>548</v>
      </c>
      <c r="AN178" s="26" t="s">
        <v>274</v>
      </c>
      <c r="AO178" s="35" t="s">
        <v>548</v>
      </c>
      <c r="AP178" s="35" t="s">
        <v>548</v>
      </c>
      <c r="AQ178" s="35" t="s">
        <v>548</v>
      </c>
      <c r="AR178" s="35" t="s">
        <v>548</v>
      </c>
      <c r="AS178" s="26" t="s">
        <v>175</v>
      </c>
      <c r="AT178" s="26" t="s">
        <v>70</v>
      </c>
      <c r="AU178" s="26" t="s">
        <v>70</v>
      </c>
      <c r="AV178" s="26">
        <v>6</v>
      </c>
    </row>
    <row r="179" spans="1:48" ht="14" customHeight="1">
      <c r="A179" s="27">
        <v>178</v>
      </c>
      <c r="B179" s="27" t="s">
        <v>364</v>
      </c>
      <c r="C179" s="37">
        <v>2007</v>
      </c>
      <c r="D179" s="26" t="s">
        <v>27</v>
      </c>
      <c r="E179" s="26" t="s">
        <v>563</v>
      </c>
      <c r="F179" s="77" t="s">
        <v>175</v>
      </c>
      <c r="G179" s="2" t="s">
        <v>84</v>
      </c>
      <c r="H179" s="2" t="s">
        <v>24</v>
      </c>
      <c r="I179" s="2" t="s">
        <v>548</v>
      </c>
      <c r="J179" s="2" t="s">
        <v>603</v>
      </c>
      <c r="K179" s="2" t="s">
        <v>548</v>
      </c>
      <c r="L179" s="2" t="s">
        <v>548</v>
      </c>
      <c r="M179" s="2" t="s">
        <v>175</v>
      </c>
      <c r="N179" s="2" t="s">
        <v>51</v>
      </c>
      <c r="O179" s="2" t="s">
        <v>43</v>
      </c>
      <c r="P179" s="2" t="s">
        <v>51</v>
      </c>
      <c r="Q179" s="2" t="s">
        <v>42</v>
      </c>
      <c r="R179" s="79" t="s">
        <v>613</v>
      </c>
      <c r="S179" s="88">
        <f>7/T179</f>
        <v>0.35</v>
      </c>
      <c r="T179" s="26">
        <v>20</v>
      </c>
      <c r="U179" s="77">
        <v>1</v>
      </c>
      <c r="V179" s="26">
        <v>1</v>
      </c>
      <c r="W179" s="26">
        <v>1</v>
      </c>
      <c r="X179" s="26">
        <v>1</v>
      </c>
      <c r="Y179" s="26">
        <v>1</v>
      </c>
      <c r="Z179" s="26">
        <v>0</v>
      </c>
      <c r="AA179" s="26">
        <v>0</v>
      </c>
      <c r="AB179" s="26">
        <v>0</v>
      </c>
      <c r="AC179" s="26">
        <f>13/20</f>
        <v>0.65</v>
      </c>
      <c r="AD179" s="26" t="s">
        <v>70</v>
      </c>
      <c r="AE179" s="26" t="s">
        <v>70</v>
      </c>
      <c r="AF179" s="26" t="s">
        <v>70</v>
      </c>
      <c r="AG179" s="26">
        <f>2614*7/25</f>
        <v>731.92</v>
      </c>
      <c r="AH179" s="33" t="s">
        <v>70</v>
      </c>
      <c r="AI179" s="33" t="s">
        <v>70</v>
      </c>
      <c r="AJ179" s="26" t="s">
        <v>70</v>
      </c>
      <c r="AK179" s="33" t="s">
        <v>70</v>
      </c>
      <c r="AL179" s="33" t="s">
        <v>70</v>
      </c>
      <c r="AM179" s="35" t="s">
        <v>175</v>
      </c>
      <c r="AN179" s="32" t="s">
        <v>9</v>
      </c>
      <c r="AO179" s="35" t="s">
        <v>175</v>
      </c>
      <c r="AP179" s="35" t="s">
        <v>548</v>
      </c>
      <c r="AQ179" s="35" t="s">
        <v>548</v>
      </c>
      <c r="AR179" s="35" t="s">
        <v>548</v>
      </c>
      <c r="AS179" s="26" t="s">
        <v>175</v>
      </c>
      <c r="AT179" s="26" t="s">
        <v>70</v>
      </c>
      <c r="AU179" s="26" t="s">
        <v>70</v>
      </c>
      <c r="AV179" s="26">
        <v>8</v>
      </c>
    </row>
    <row r="180" spans="1:48" ht="14" customHeight="1">
      <c r="A180" s="27">
        <v>179</v>
      </c>
      <c r="B180" s="27" t="s">
        <v>365</v>
      </c>
      <c r="C180" s="27">
        <v>2012</v>
      </c>
      <c r="D180" s="26" t="s">
        <v>111</v>
      </c>
      <c r="E180" s="26" t="s">
        <v>563</v>
      </c>
      <c r="F180" s="77" t="s">
        <v>175</v>
      </c>
      <c r="G180" s="2" t="s">
        <v>105</v>
      </c>
      <c r="H180" s="2" t="s">
        <v>30</v>
      </c>
      <c r="I180" s="2" t="s">
        <v>548</v>
      </c>
      <c r="J180" s="2" t="s">
        <v>604</v>
      </c>
      <c r="K180" s="2" t="s">
        <v>548</v>
      </c>
      <c r="L180" s="2" t="s">
        <v>548</v>
      </c>
      <c r="M180" s="2" t="s">
        <v>175</v>
      </c>
      <c r="N180" s="2" t="s">
        <v>609</v>
      </c>
      <c r="O180" s="2" t="s">
        <v>60</v>
      </c>
      <c r="P180" s="2" t="s">
        <v>609</v>
      </c>
      <c r="Q180" s="2" t="s">
        <v>42</v>
      </c>
      <c r="R180" s="102" t="s">
        <v>614</v>
      </c>
      <c r="S180" s="2">
        <f>20/T180</f>
        <v>0.66666666666666663</v>
      </c>
      <c r="T180" s="26">
        <v>30</v>
      </c>
      <c r="U180" s="77">
        <v>1</v>
      </c>
      <c r="V180" s="26">
        <v>1</v>
      </c>
      <c r="W180" s="26">
        <v>1</v>
      </c>
      <c r="X180" s="26">
        <v>1</v>
      </c>
      <c r="Y180" s="26">
        <v>1</v>
      </c>
      <c r="Z180" s="26">
        <v>0</v>
      </c>
      <c r="AA180" s="26">
        <v>0</v>
      </c>
      <c r="AB180" s="26">
        <v>0</v>
      </c>
      <c r="AC180" s="26">
        <f>1-S180</f>
        <v>0.33333333333333337</v>
      </c>
      <c r="AD180" s="26">
        <f>5/30</f>
        <v>0.16666666666666666</v>
      </c>
      <c r="AE180" s="26">
        <f>5/30</f>
        <v>0.16666666666666666</v>
      </c>
      <c r="AF180" s="26">
        <f>10/30</f>
        <v>0.33333333333333331</v>
      </c>
      <c r="AG180" s="33">
        <v>320</v>
      </c>
      <c r="AH180" s="33">
        <v>14</v>
      </c>
      <c r="AI180" s="33">
        <v>14</v>
      </c>
      <c r="AJ180" s="26" t="s">
        <v>70</v>
      </c>
      <c r="AK180" s="33" t="s">
        <v>70</v>
      </c>
      <c r="AL180" s="33" t="s">
        <v>70</v>
      </c>
      <c r="AM180" s="35" t="s">
        <v>175</v>
      </c>
      <c r="AN180" s="26" t="s">
        <v>617</v>
      </c>
      <c r="AO180" s="35" t="s">
        <v>548</v>
      </c>
      <c r="AP180" s="35" t="s">
        <v>548</v>
      </c>
      <c r="AQ180" s="35" t="s">
        <v>548</v>
      </c>
      <c r="AR180" s="35" t="s">
        <v>548</v>
      </c>
      <c r="AS180" s="26" t="s">
        <v>175</v>
      </c>
      <c r="AT180" s="26" t="s">
        <v>548</v>
      </c>
      <c r="AU180" s="40" t="s">
        <v>548</v>
      </c>
      <c r="AV180" s="26">
        <v>8</v>
      </c>
    </row>
    <row r="181" spans="1:48" ht="14" customHeight="1">
      <c r="A181" s="27">
        <v>180</v>
      </c>
      <c r="B181" s="27" t="s">
        <v>366</v>
      </c>
      <c r="C181" s="40">
        <v>2009</v>
      </c>
      <c r="D181" s="26" t="s">
        <v>150</v>
      </c>
      <c r="E181" s="26" t="s">
        <v>565</v>
      </c>
      <c r="F181" s="77" t="s">
        <v>175</v>
      </c>
      <c r="G181" s="2" t="s">
        <v>106</v>
      </c>
      <c r="H181" s="2" t="s">
        <v>24</v>
      </c>
      <c r="I181" s="2" t="s">
        <v>175</v>
      </c>
      <c r="J181" s="2" t="s">
        <v>604</v>
      </c>
      <c r="K181" s="2" t="s">
        <v>548</v>
      </c>
      <c r="L181" s="2" t="s">
        <v>548</v>
      </c>
      <c r="M181" s="2" t="s">
        <v>175</v>
      </c>
      <c r="N181" s="2" t="s">
        <v>209</v>
      </c>
      <c r="O181" s="2" t="s">
        <v>209</v>
      </c>
      <c r="P181" s="2" t="s">
        <v>610</v>
      </c>
      <c r="Q181" s="2" t="s">
        <v>42</v>
      </c>
      <c r="R181" s="102" t="s">
        <v>614</v>
      </c>
      <c r="S181" s="90">
        <v>0.7696629213483146</v>
      </c>
      <c r="T181" s="61">
        <v>178</v>
      </c>
      <c r="U181" s="77">
        <v>1</v>
      </c>
      <c r="V181" s="26">
        <v>0</v>
      </c>
      <c r="W181" s="26">
        <v>1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33">
        <v>0.23</v>
      </c>
      <c r="AD181" s="33">
        <v>0.46</v>
      </c>
      <c r="AE181" s="33">
        <v>0.22</v>
      </c>
      <c r="AF181" s="33">
        <v>0.09</v>
      </c>
      <c r="AG181" s="33" t="s">
        <v>70</v>
      </c>
      <c r="AH181" s="26">
        <v>0.67100000000000004</v>
      </c>
      <c r="AI181" s="33" t="s">
        <v>70</v>
      </c>
      <c r="AJ181" s="26" t="s">
        <v>70</v>
      </c>
      <c r="AK181" s="33" t="s">
        <v>70</v>
      </c>
      <c r="AL181" s="33" t="s">
        <v>70</v>
      </c>
      <c r="AM181" s="61" t="s">
        <v>175</v>
      </c>
      <c r="AN181" s="26" t="s">
        <v>274</v>
      </c>
      <c r="AO181" s="26" t="s">
        <v>548</v>
      </c>
      <c r="AP181" s="26" t="s">
        <v>548</v>
      </c>
      <c r="AQ181" s="26" t="s">
        <v>548</v>
      </c>
      <c r="AR181" s="26" t="s">
        <v>548</v>
      </c>
      <c r="AS181" s="26" t="s">
        <v>175</v>
      </c>
      <c r="AT181" s="26" t="s">
        <v>70</v>
      </c>
      <c r="AU181" s="26" t="s">
        <v>70</v>
      </c>
      <c r="AV181" s="26">
        <v>6</v>
      </c>
    </row>
    <row r="182" spans="1:48" ht="14" customHeight="1">
      <c r="A182" s="27">
        <v>181</v>
      </c>
      <c r="B182" s="27" t="s">
        <v>366</v>
      </c>
      <c r="C182" s="40">
        <v>2009</v>
      </c>
      <c r="D182" s="26" t="s">
        <v>150</v>
      </c>
      <c r="E182" s="26" t="s">
        <v>565</v>
      </c>
      <c r="F182" s="77" t="s">
        <v>175</v>
      </c>
      <c r="G182" s="2" t="s">
        <v>106</v>
      </c>
      <c r="H182" s="2" t="s">
        <v>24</v>
      </c>
      <c r="I182" s="2" t="s">
        <v>175</v>
      </c>
      <c r="J182" s="2" t="s">
        <v>604</v>
      </c>
      <c r="K182" s="2" t="s">
        <v>548</v>
      </c>
      <c r="L182" s="2" t="s">
        <v>548</v>
      </c>
      <c r="M182" s="2" t="s">
        <v>175</v>
      </c>
      <c r="N182" s="2" t="s">
        <v>209</v>
      </c>
      <c r="O182" s="2" t="s">
        <v>209</v>
      </c>
      <c r="P182" s="81" t="s">
        <v>619</v>
      </c>
      <c r="Q182" s="2" t="s">
        <v>42</v>
      </c>
      <c r="R182" s="102" t="s">
        <v>614</v>
      </c>
      <c r="S182" s="90">
        <v>0.88311688311688308</v>
      </c>
      <c r="T182" s="61">
        <v>77</v>
      </c>
      <c r="U182" s="77">
        <v>1</v>
      </c>
      <c r="V182" s="26">
        <v>0</v>
      </c>
      <c r="W182" s="26">
        <v>1</v>
      </c>
      <c r="X182" s="26">
        <v>0</v>
      </c>
      <c r="Y182" s="26">
        <v>0</v>
      </c>
      <c r="Z182" s="26">
        <v>0</v>
      </c>
      <c r="AA182" s="26">
        <v>0</v>
      </c>
      <c r="AB182" s="26">
        <v>0</v>
      </c>
      <c r="AC182" s="33">
        <v>0.12</v>
      </c>
      <c r="AD182" s="33">
        <v>0.33</v>
      </c>
      <c r="AE182" s="33">
        <v>0.31</v>
      </c>
      <c r="AF182" s="33">
        <v>0.24</v>
      </c>
      <c r="AG182" s="33" t="s">
        <v>70</v>
      </c>
      <c r="AH182" s="26">
        <v>1.18</v>
      </c>
      <c r="AI182" s="33" t="s">
        <v>70</v>
      </c>
      <c r="AJ182" s="26" t="s">
        <v>70</v>
      </c>
      <c r="AK182" s="33" t="s">
        <v>70</v>
      </c>
      <c r="AL182" s="33" t="s">
        <v>70</v>
      </c>
      <c r="AM182" s="61" t="s">
        <v>175</v>
      </c>
      <c r="AN182" s="26" t="s">
        <v>274</v>
      </c>
      <c r="AO182" s="26" t="s">
        <v>548</v>
      </c>
      <c r="AP182" s="26" t="s">
        <v>548</v>
      </c>
      <c r="AQ182" s="26" t="s">
        <v>548</v>
      </c>
      <c r="AR182" s="26" t="s">
        <v>548</v>
      </c>
      <c r="AS182" s="26" t="s">
        <v>175</v>
      </c>
      <c r="AT182" s="26" t="s">
        <v>70</v>
      </c>
      <c r="AU182" s="26" t="s">
        <v>70</v>
      </c>
      <c r="AV182" s="26">
        <v>6</v>
      </c>
    </row>
    <row r="183" spans="1:48" ht="14" customHeight="1">
      <c r="A183" s="27">
        <v>182</v>
      </c>
      <c r="B183" s="27" t="s">
        <v>366</v>
      </c>
      <c r="C183" s="40">
        <v>2009</v>
      </c>
      <c r="D183" s="26" t="s">
        <v>150</v>
      </c>
      <c r="E183" s="26" t="s">
        <v>565</v>
      </c>
      <c r="F183" s="77" t="s">
        <v>175</v>
      </c>
      <c r="G183" s="2" t="s">
        <v>106</v>
      </c>
      <c r="H183" s="2" t="s">
        <v>24</v>
      </c>
      <c r="I183" s="2" t="s">
        <v>175</v>
      </c>
      <c r="J183" s="2" t="s">
        <v>604</v>
      </c>
      <c r="K183" s="2" t="s">
        <v>548</v>
      </c>
      <c r="L183" s="2" t="s">
        <v>548</v>
      </c>
      <c r="M183" s="2" t="s">
        <v>175</v>
      </c>
      <c r="N183" s="2" t="s">
        <v>209</v>
      </c>
      <c r="O183" s="2" t="s">
        <v>209</v>
      </c>
      <c r="P183" s="2" t="s">
        <v>620</v>
      </c>
      <c r="Q183" s="2" t="s">
        <v>42</v>
      </c>
      <c r="R183" s="102" t="s">
        <v>614</v>
      </c>
      <c r="S183" s="90">
        <v>0.85238095238095235</v>
      </c>
      <c r="T183" s="61">
        <v>420</v>
      </c>
      <c r="U183" s="77">
        <v>1</v>
      </c>
      <c r="V183" s="26">
        <v>0</v>
      </c>
      <c r="W183" s="26">
        <v>1</v>
      </c>
      <c r="X183" s="26">
        <v>0</v>
      </c>
      <c r="Y183" s="26">
        <v>0</v>
      </c>
      <c r="Z183" s="26">
        <v>0</v>
      </c>
      <c r="AA183" s="26">
        <v>0</v>
      </c>
      <c r="AB183" s="26">
        <v>0</v>
      </c>
      <c r="AC183" s="33">
        <v>0.15</v>
      </c>
      <c r="AD183" s="33">
        <v>0.35</v>
      </c>
      <c r="AE183" s="33">
        <v>0.28000000000000003</v>
      </c>
      <c r="AF183" s="33">
        <v>0.22</v>
      </c>
      <c r="AG183" s="33" t="s">
        <v>70</v>
      </c>
      <c r="AH183" s="26">
        <v>1.1200000000000001</v>
      </c>
      <c r="AI183" s="33" t="s">
        <v>70</v>
      </c>
      <c r="AJ183" s="26" t="s">
        <v>70</v>
      </c>
      <c r="AK183" s="33" t="s">
        <v>70</v>
      </c>
      <c r="AL183" s="33" t="s">
        <v>70</v>
      </c>
      <c r="AM183" s="61" t="s">
        <v>175</v>
      </c>
      <c r="AN183" s="26" t="s">
        <v>274</v>
      </c>
      <c r="AO183" s="26" t="s">
        <v>548</v>
      </c>
      <c r="AP183" s="26" t="s">
        <v>548</v>
      </c>
      <c r="AQ183" s="26" t="s">
        <v>548</v>
      </c>
      <c r="AR183" s="26" t="s">
        <v>548</v>
      </c>
      <c r="AS183" s="26" t="s">
        <v>175</v>
      </c>
      <c r="AT183" s="26" t="s">
        <v>70</v>
      </c>
      <c r="AU183" s="26" t="s">
        <v>70</v>
      </c>
      <c r="AV183" s="26">
        <v>6</v>
      </c>
    </row>
    <row r="184" spans="1:48" ht="14" customHeight="1">
      <c r="A184" s="27">
        <v>183</v>
      </c>
      <c r="B184" s="27" t="s">
        <v>366</v>
      </c>
      <c r="C184" s="40">
        <v>2009</v>
      </c>
      <c r="D184" s="26" t="s">
        <v>150</v>
      </c>
      <c r="E184" s="26" t="s">
        <v>565</v>
      </c>
      <c r="F184" s="77" t="s">
        <v>175</v>
      </c>
      <c r="G184" s="2" t="s">
        <v>106</v>
      </c>
      <c r="H184" s="2" t="s">
        <v>24</v>
      </c>
      <c r="I184" s="2" t="s">
        <v>175</v>
      </c>
      <c r="J184" s="2" t="s">
        <v>604</v>
      </c>
      <c r="K184" s="2" t="s">
        <v>548</v>
      </c>
      <c r="L184" s="2" t="s">
        <v>548</v>
      </c>
      <c r="M184" s="2" t="s">
        <v>175</v>
      </c>
      <c r="N184" s="2" t="s">
        <v>62</v>
      </c>
      <c r="O184" s="2" t="s">
        <v>43</v>
      </c>
      <c r="P184" s="2" t="s">
        <v>621</v>
      </c>
      <c r="Q184" s="2" t="s">
        <v>42</v>
      </c>
      <c r="R184" s="102" t="s">
        <v>614</v>
      </c>
      <c r="S184" s="90">
        <v>0.85777126099706702</v>
      </c>
      <c r="T184" s="61">
        <v>682</v>
      </c>
      <c r="U184" s="77">
        <v>1</v>
      </c>
      <c r="V184" s="26">
        <v>0</v>
      </c>
      <c r="W184" s="26">
        <v>1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33">
        <v>0.14000000000000001</v>
      </c>
      <c r="AD184" s="33">
        <v>0.2</v>
      </c>
      <c r="AE184" s="33">
        <v>0.39</v>
      </c>
      <c r="AF184" s="33">
        <v>0.27</v>
      </c>
      <c r="AG184" s="33" t="s">
        <v>70</v>
      </c>
      <c r="AH184" s="26">
        <v>1.37</v>
      </c>
      <c r="AI184" s="33" t="s">
        <v>70</v>
      </c>
      <c r="AJ184" s="26" t="s">
        <v>70</v>
      </c>
      <c r="AK184" s="33" t="s">
        <v>70</v>
      </c>
      <c r="AL184" s="33" t="s">
        <v>70</v>
      </c>
      <c r="AM184" s="61" t="s">
        <v>175</v>
      </c>
      <c r="AN184" s="26" t="s">
        <v>274</v>
      </c>
      <c r="AO184" s="26" t="s">
        <v>548</v>
      </c>
      <c r="AP184" s="26" t="s">
        <v>548</v>
      </c>
      <c r="AQ184" s="26" t="s">
        <v>548</v>
      </c>
      <c r="AR184" s="26" t="s">
        <v>548</v>
      </c>
      <c r="AS184" s="26" t="s">
        <v>175</v>
      </c>
      <c r="AT184" s="26" t="s">
        <v>70</v>
      </c>
      <c r="AU184" s="26" t="s">
        <v>70</v>
      </c>
      <c r="AV184" s="26">
        <v>6</v>
      </c>
    </row>
    <row r="185" spans="1:48" ht="14" customHeight="1">
      <c r="A185" s="27">
        <v>184</v>
      </c>
      <c r="B185" s="27" t="s">
        <v>366</v>
      </c>
      <c r="C185" s="40">
        <v>2009</v>
      </c>
      <c r="D185" s="26" t="s">
        <v>150</v>
      </c>
      <c r="E185" s="26" t="s">
        <v>565</v>
      </c>
      <c r="F185" s="77" t="s">
        <v>175</v>
      </c>
      <c r="G185" s="2" t="s">
        <v>106</v>
      </c>
      <c r="H185" s="2" t="s">
        <v>24</v>
      </c>
      <c r="I185" s="2" t="s">
        <v>175</v>
      </c>
      <c r="J185" s="2" t="s">
        <v>604</v>
      </c>
      <c r="K185" s="2" t="s">
        <v>548</v>
      </c>
      <c r="L185" s="2" t="s">
        <v>548</v>
      </c>
      <c r="M185" s="2" t="s">
        <v>175</v>
      </c>
      <c r="N185" s="2" t="s">
        <v>608</v>
      </c>
      <c r="O185" s="2" t="s">
        <v>43</v>
      </c>
      <c r="P185" s="2" t="s">
        <v>623</v>
      </c>
      <c r="Q185" s="2" t="s">
        <v>42</v>
      </c>
      <c r="R185" s="102" t="s">
        <v>614</v>
      </c>
      <c r="S185" s="90">
        <v>0.7344632768361582</v>
      </c>
      <c r="T185" s="61">
        <v>177</v>
      </c>
      <c r="U185" s="77">
        <v>1</v>
      </c>
      <c r="V185" s="26">
        <v>0</v>
      </c>
      <c r="W185" s="26">
        <v>1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33">
        <v>0.27</v>
      </c>
      <c r="AD185" s="33">
        <v>0.47</v>
      </c>
      <c r="AE185" s="33">
        <v>0.19</v>
      </c>
      <c r="AF185" s="33">
        <v>7.0000000000000007E-2</v>
      </c>
      <c r="AG185" s="33" t="s">
        <v>70</v>
      </c>
      <c r="AH185" s="26">
        <v>0.60599999999999998</v>
      </c>
      <c r="AI185" s="33" t="s">
        <v>70</v>
      </c>
      <c r="AJ185" s="26" t="s">
        <v>70</v>
      </c>
      <c r="AK185" s="33" t="s">
        <v>70</v>
      </c>
      <c r="AL185" s="33" t="s">
        <v>70</v>
      </c>
      <c r="AM185" s="61" t="s">
        <v>175</v>
      </c>
      <c r="AN185" s="26" t="s">
        <v>274</v>
      </c>
      <c r="AO185" s="26" t="s">
        <v>548</v>
      </c>
      <c r="AP185" s="26" t="s">
        <v>548</v>
      </c>
      <c r="AQ185" s="26" t="s">
        <v>548</v>
      </c>
      <c r="AR185" s="26" t="s">
        <v>548</v>
      </c>
      <c r="AS185" s="26" t="s">
        <v>175</v>
      </c>
      <c r="AT185" s="26" t="s">
        <v>70</v>
      </c>
      <c r="AU185" s="26" t="s">
        <v>70</v>
      </c>
      <c r="AV185" s="26">
        <v>6</v>
      </c>
    </row>
    <row r="186" spans="1:48" ht="14" customHeight="1">
      <c r="A186" s="27">
        <v>185</v>
      </c>
      <c r="B186" s="27" t="s">
        <v>367</v>
      </c>
      <c r="C186" s="27">
        <v>1993</v>
      </c>
      <c r="D186" s="26" t="s">
        <v>27</v>
      </c>
      <c r="E186" s="26" t="s">
        <v>563</v>
      </c>
      <c r="F186" s="77" t="s">
        <v>175</v>
      </c>
      <c r="G186" s="2" t="s">
        <v>84</v>
      </c>
      <c r="H186" s="2" t="s">
        <v>275</v>
      </c>
      <c r="I186" s="2" t="s">
        <v>548</v>
      </c>
      <c r="J186" s="2" t="s">
        <v>604</v>
      </c>
      <c r="K186" s="2" t="s">
        <v>548</v>
      </c>
      <c r="L186" s="2" t="s">
        <v>548</v>
      </c>
      <c r="M186" s="2" t="s">
        <v>175</v>
      </c>
      <c r="N186" s="2" t="s">
        <v>210</v>
      </c>
      <c r="O186" s="2" t="s">
        <v>43</v>
      </c>
      <c r="P186" s="2" t="s">
        <v>210</v>
      </c>
      <c r="Q186" s="2" t="s">
        <v>42</v>
      </c>
      <c r="R186" s="79" t="s">
        <v>613</v>
      </c>
      <c r="S186" s="88" t="s">
        <v>70</v>
      </c>
      <c r="T186" s="26">
        <v>27</v>
      </c>
      <c r="U186" s="77">
        <v>1</v>
      </c>
      <c r="V186" s="26">
        <v>0</v>
      </c>
      <c r="W186" s="26">
        <v>1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 t="s">
        <v>70</v>
      </c>
      <c r="AD186" s="33">
        <v>0.75964912280701746</v>
      </c>
      <c r="AE186" s="33">
        <v>0.21649122807017543</v>
      </c>
      <c r="AF186" s="33">
        <v>2.3859649122807018E-2</v>
      </c>
      <c r="AG186" s="33" t="s">
        <v>70</v>
      </c>
      <c r="AH186" s="33" t="s">
        <v>70</v>
      </c>
      <c r="AI186" s="33" t="s">
        <v>70</v>
      </c>
      <c r="AJ186" s="26" t="s">
        <v>70</v>
      </c>
      <c r="AK186" s="33" t="s">
        <v>70</v>
      </c>
      <c r="AL186" s="33" t="s">
        <v>70</v>
      </c>
      <c r="AM186" s="35" t="s">
        <v>175</v>
      </c>
      <c r="AN186" s="26" t="s">
        <v>274</v>
      </c>
      <c r="AO186" s="35" t="s">
        <v>548</v>
      </c>
      <c r="AP186" s="35" t="s">
        <v>548</v>
      </c>
      <c r="AQ186" s="35" t="s">
        <v>175</v>
      </c>
      <c r="AR186" s="35" t="s">
        <v>548</v>
      </c>
      <c r="AS186" s="26" t="s">
        <v>175</v>
      </c>
      <c r="AT186" s="26" t="s">
        <v>70</v>
      </c>
      <c r="AU186" s="26" t="s">
        <v>70</v>
      </c>
      <c r="AV186" s="26">
        <v>5</v>
      </c>
    </row>
    <row r="187" spans="1:48" ht="14" customHeight="1">
      <c r="A187" s="27">
        <v>186</v>
      </c>
      <c r="B187" s="27" t="s">
        <v>367</v>
      </c>
      <c r="C187" s="27">
        <v>2006</v>
      </c>
      <c r="D187" s="26" t="s">
        <v>27</v>
      </c>
      <c r="E187" s="26" t="s">
        <v>563</v>
      </c>
      <c r="F187" s="77" t="s">
        <v>175</v>
      </c>
      <c r="G187" s="2" t="s">
        <v>84</v>
      </c>
      <c r="H187" s="2" t="s">
        <v>24</v>
      </c>
      <c r="I187" s="2" t="s">
        <v>548</v>
      </c>
      <c r="J187" s="2" t="s">
        <v>604</v>
      </c>
      <c r="K187" s="2" t="s">
        <v>548</v>
      </c>
      <c r="L187" s="2" t="s">
        <v>548</v>
      </c>
      <c r="M187" s="2" t="s">
        <v>175</v>
      </c>
      <c r="N187" s="2" t="s">
        <v>210</v>
      </c>
      <c r="O187" s="2" t="s">
        <v>43</v>
      </c>
      <c r="P187" s="2" t="s">
        <v>210</v>
      </c>
      <c r="Q187" s="2" t="s">
        <v>42</v>
      </c>
      <c r="R187" s="79" t="s">
        <v>613</v>
      </c>
      <c r="S187" s="88">
        <f>1-0.37</f>
        <v>0.63</v>
      </c>
      <c r="T187" s="26">
        <v>270</v>
      </c>
      <c r="U187" s="77">
        <v>1</v>
      </c>
      <c r="V187" s="26">
        <v>1</v>
      </c>
      <c r="W187" s="26">
        <v>1</v>
      </c>
      <c r="X187" s="26">
        <v>1</v>
      </c>
      <c r="Y187" s="26">
        <v>1</v>
      </c>
      <c r="Z187" s="26">
        <v>0</v>
      </c>
      <c r="AA187" s="26">
        <v>1</v>
      </c>
      <c r="AB187" s="26">
        <v>1</v>
      </c>
      <c r="AC187" s="26">
        <f>128/224</f>
        <v>0.5714285714285714</v>
      </c>
      <c r="AD187" s="26">
        <f>51/224</f>
        <v>0.22767857142857142</v>
      </c>
      <c r="AE187" s="26">
        <f>35/224</f>
        <v>0.15625</v>
      </c>
      <c r="AF187" s="26">
        <f>10/224</f>
        <v>4.4642857142857144E-2</v>
      </c>
      <c r="AG187" s="33" t="s">
        <v>70</v>
      </c>
      <c r="AH187" s="33">
        <v>4.1399999999999997</v>
      </c>
      <c r="AI187" s="33">
        <v>0</v>
      </c>
      <c r="AJ187" s="26" t="s">
        <v>70</v>
      </c>
      <c r="AK187" s="33">
        <v>3.56</v>
      </c>
      <c r="AL187" s="33" t="s">
        <v>70</v>
      </c>
      <c r="AM187" s="35" t="s">
        <v>175</v>
      </c>
      <c r="AN187" s="32" t="s">
        <v>9</v>
      </c>
      <c r="AO187" s="35" t="s">
        <v>175</v>
      </c>
      <c r="AP187" s="35" t="s">
        <v>548</v>
      </c>
      <c r="AQ187" s="35" t="s">
        <v>548</v>
      </c>
      <c r="AR187" s="35" t="s">
        <v>548</v>
      </c>
      <c r="AS187" s="26" t="s">
        <v>175</v>
      </c>
      <c r="AT187" s="26" t="s">
        <v>70</v>
      </c>
      <c r="AU187" s="26" t="s">
        <v>70</v>
      </c>
      <c r="AV187" s="26">
        <v>10</v>
      </c>
    </row>
    <row r="188" spans="1:48" ht="14" customHeight="1">
      <c r="A188" s="27">
        <v>187</v>
      </c>
      <c r="B188" s="27" t="s">
        <v>367</v>
      </c>
      <c r="C188" s="27">
        <v>2006</v>
      </c>
      <c r="D188" s="26" t="s">
        <v>27</v>
      </c>
      <c r="E188" s="26" t="s">
        <v>563</v>
      </c>
      <c r="F188" s="77" t="s">
        <v>175</v>
      </c>
      <c r="G188" s="2" t="s">
        <v>84</v>
      </c>
      <c r="H188" s="2" t="s">
        <v>24</v>
      </c>
      <c r="I188" s="2" t="s">
        <v>548</v>
      </c>
      <c r="J188" s="2" t="s">
        <v>604</v>
      </c>
      <c r="K188" s="2" t="s">
        <v>548</v>
      </c>
      <c r="L188" s="2" t="s">
        <v>548</v>
      </c>
      <c r="M188" s="2" t="s">
        <v>175</v>
      </c>
      <c r="N188" s="2" t="s">
        <v>210</v>
      </c>
      <c r="O188" s="2" t="s">
        <v>43</v>
      </c>
      <c r="P188" s="2" t="s">
        <v>618</v>
      </c>
      <c r="Q188" s="2" t="s">
        <v>42</v>
      </c>
      <c r="R188" s="79" t="s">
        <v>613</v>
      </c>
      <c r="S188" s="88">
        <f>1-0.08</f>
        <v>0.92</v>
      </c>
      <c r="T188" s="26">
        <v>287</v>
      </c>
      <c r="U188" s="77">
        <v>1</v>
      </c>
      <c r="V188" s="26">
        <v>1</v>
      </c>
      <c r="W188" s="26">
        <v>1</v>
      </c>
      <c r="X188" s="26">
        <v>1</v>
      </c>
      <c r="Y188" s="26">
        <v>1</v>
      </c>
      <c r="Z188" s="26">
        <v>0</v>
      </c>
      <c r="AA188" s="26">
        <v>1</v>
      </c>
      <c r="AB188" s="26">
        <v>1</v>
      </c>
      <c r="AC188" s="26">
        <f>128/224</f>
        <v>0.5714285714285714</v>
      </c>
      <c r="AD188" s="26">
        <f>51/224</f>
        <v>0.22767857142857142</v>
      </c>
      <c r="AE188" s="26">
        <f>35/224</f>
        <v>0.15625</v>
      </c>
      <c r="AF188" s="26">
        <f>10/224</f>
        <v>4.4642857142857144E-2</v>
      </c>
      <c r="AG188" s="33" t="s">
        <v>70</v>
      </c>
      <c r="AH188" s="33">
        <v>4.1399999999999997</v>
      </c>
      <c r="AI188" s="33">
        <v>0</v>
      </c>
      <c r="AJ188" s="26" t="s">
        <v>70</v>
      </c>
      <c r="AK188" s="33">
        <v>3.56</v>
      </c>
      <c r="AL188" s="33" t="s">
        <v>70</v>
      </c>
      <c r="AM188" s="35" t="s">
        <v>175</v>
      </c>
      <c r="AN188" s="32" t="s">
        <v>9</v>
      </c>
      <c r="AO188" s="35" t="s">
        <v>175</v>
      </c>
      <c r="AP188" s="35" t="s">
        <v>548</v>
      </c>
      <c r="AQ188" s="35" t="s">
        <v>548</v>
      </c>
      <c r="AR188" s="35" t="s">
        <v>548</v>
      </c>
      <c r="AS188" s="26" t="s">
        <v>175</v>
      </c>
      <c r="AT188" s="26" t="s">
        <v>70</v>
      </c>
      <c r="AU188" s="26" t="s">
        <v>70</v>
      </c>
      <c r="AV188" s="26">
        <v>10</v>
      </c>
    </row>
    <row r="189" spans="1:48" ht="14" customHeight="1">
      <c r="A189" s="27">
        <v>188</v>
      </c>
      <c r="B189" s="27" t="s">
        <v>368</v>
      </c>
      <c r="C189" s="28">
        <v>2010</v>
      </c>
      <c r="D189" s="26" t="s">
        <v>156</v>
      </c>
      <c r="E189" s="26" t="s">
        <v>566</v>
      </c>
      <c r="F189" s="2" t="s">
        <v>175</v>
      </c>
      <c r="G189" s="2" t="s">
        <v>148</v>
      </c>
      <c r="H189" s="2" t="s">
        <v>24</v>
      </c>
      <c r="I189" s="2" t="s">
        <v>548</v>
      </c>
      <c r="J189" s="2" t="s">
        <v>604</v>
      </c>
      <c r="K189" s="2" t="s">
        <v>548</v>
      </c>
      <c r="L189" s="2" t="s">
        <v>548</v>
      </c>
      <c r="M189" s="2" t="s">
        <v>548</v>
      </c>
      <c r="N189" s="2" t="s">
        <v>608</v>
      </c>
      <c r="O189" s="2" t="s">
        <v>43</v>
      </c>
      <c r="P189" s="2" t="s">
        <v>608</v>
      </c>
      <c r="Q189" s="2" t="s">
        <v>42</v>
      </c>
      <c r="R189" s="102" t="s">
        <v>614</v>
      </c>
      <c r="S189" s="88">
        <v>1</v>
      </c>
      <c r="T189" s="61">
        <v>10</v>
      </c>
      <c r="U189" s="2">
        <v>1</v>
      </c>
      <c r="V189" s="26">
        <v>1</v>
      </c>
      <c r="W189" s="26">
        <v>1</v>
      </c>
      <c r="X189" s="26">
        <v>1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f>6/10</f>
        <v>0.6</v>
      </c>
      <c r="AF189" s="26">
        <f>4/10</f>
        <v>0.4</v>
      </c>
      <c r="AG189" s="33" t="s">
        <v>70</v>
      </c>
      <c r="AH189" s="33" t="s">
        <v>70</v>
      </c>
      <c r="AI189" s="33">
        <v>35</v>
      </c>
      <c r="AJ189" s="26" t="s">
        <v>70</v>
      </c>
      <c r="AK189" s="33" t="s">
        <v>70</v>
      </c>
      <c r="AL189" s="33" t="s">
        <v>70</v>
      </c>
      <c r="AM189" s="61" t="s">
        <v>175</v>
      </c>
      <c r="AN189" s="26" t="s">
        <v>615</v>
      </c>
      <c r="AO189" s="26" t="s">
        <v>548</v>
      </c>
      <c r="AP189" s="26" t="s">
        <v>548</v>
      </c>
      <c r="AQ189" s="26" t="s">
        <v>548</v>
      </c>
      <c r="AR189" s="26" t="s">
        <v>548</v>
      </c>
      <c r="AS189" s="26" t="s">
        <v>175</v>
      </c>
      <c r="AT189" s="26" t="s">
        <v>70</v>
      </c>
      <c r="AU189" s="26" t="s">
        <v>70</v>
      </c>
      <c r="AV189" s="26">
        <v>6</v>
      </c>
    </row>
    <row r="190" spans="1:48" ht="14" customHeight="1">
      <c r="A190" s="27">
        <v>189</v>
      </c>
      <c r="B190" s="27" t="s">
        <v>369</v>
      </c>
      <c r="C190" s="27">
        <v>1999</v>
      </c>
      <c r="D190" s="26" t="s">
        <v>73</v>
      </c>
      <c r="E190" s="26" t="s">
        <v>563</v>
      </c>
      <c r="F190" s="77" t="s">
        <v>175</v>
      </c>
      <c r="G190" s="2" t="s">
        <v>105</v>
      </c>
      <c r="H190" s="2" t="s">
        <v>30</v>
      </c>
      <c r="I190" s="2" t="s">
        <v>548</v>
      </c>
      <c r="J190" s="2" t="s">
        <v>604</v>
      </c>
      <c r="K190" s="2" t="s">
        <v>548</v>
      </c>
      <c r="L190" s="2" t="s">
        <v>548</v>
      </c>
      <c r="M190" s="2" t="s">
        <v>548</v>
      </c>
      <c r="N190" s="2" t="s">
        <v>210</v>
      </c>
      <c r="O190" s="2" t="s">
        <v>43</v>
      </c>
      <c r="P190" s="2" t="s">
        <v>210</v>
      </c>
      <c r="Q190" s="2" t="s">
        <v>42</v>
      </c>
      <c r="R190" s="79" t="s">
        <v>613</v>
      </c>
      <c r="S190" s="2">
        <f>36/T190</f>
        <v>0.14399999999999999</v>
      </c>
      <c r="T190" s="26">
        <v>250</v>
      </c>
      <c r="U190" s="77">
        <v>1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 t="s">
        <v>70</v>
      </c>
      <c r="AD190" s="26" t="s">
        <v>70</v>
      </c>
      <c r="AE190" s="26" t="s">
        <v>70</v>
      </c>
      <c r="AF190" s="26" t="s">
        <v>70</v>
      </c>
      <c r="AG190" s="26" t="s">
        <v>70</v>
      </c>
      <c r="AH190" s="26" t="s">
        <v>70</v>
      </c>
      <c r="AI190" s="26" t="s">
        <v>70</v>
      </c>
      <c r="AJ190" s="26" t="s">
        <v>70</v>
      </c>
      <c r="AK190" s="26" t="s">
        <v>70</v>
      </c>
      <c r="AL190" s="26" t="s">
        <v>70</v>
      </c>
      <c r="AM190" s="35" t="s">
        <v>548</v>
      </c>
      <c r="AN190" s="26" t="s">
        <v>274</v>
      </c>
      <c r="AO190" s="35" t="s">
        <v>548</v>
      </c>
      <c r="AP190" s="35" t="s">
        <v>175</v>
      </c>
      <c r="AQ190" s="35" t="s">
        <v>548</v>
      </c>
      <c r="AR190" s="35" t="s">
        <v>548</v>
      </c>
      <c r="AS190" s="26" t="s">
        <v>548</v>
      </c>
      <c r="AT190" s="26" t="s">
        <v>548</v>
      </c>
      <c r="AU190" s="26" t="s">
        <v>274</v>
      </c>
      <c r="AV190" s="26">
        <v>1</v>
      </c>
    </row>
    <row r="191" spans="1:48" ht="14" customHeight="1">
      <c r="A191" s="27">
        <v>190</v>
      </c>
      <c r="B191" s="27" t="s">
        <v>369</v>
      </c>
      <c r="C191" s="27">
        <v>1999</v>
      </c>
      <c r="D191" s="26" t="s">
        <v>73</v>
      </c>
      <c r="E191" s="26" t="s">
        <v>563</v>
      </c>
      <c r="F191" s="77" t="s">
        <v>175</v>
      </c>
      <c r="G191" s="2" t="s">
        <v>105</v>
      </c>
      <c r="H191" s="2" t="s">
        <v>30</v>
      </c>
      <c r="I191" s="2" t="s">
        <v>548</v>
      </c>
      <c r="J191" s="2" t="s">
        <v>603</v>
      </c>
      <c r="K191" s="2" t="s">
        <v>548</v>
      </c>
      <c r="L191" s="2" t="s">
        <v>548</v>
      </c>
      <c r="M191" s="2" t="s">
        <v>548</v>
      </c>
      <c r="N191" s="2" t="s">
        <v>62</v>
      </c>
      <c r="O191" s="2" t="s">
        <v>43</v>
      </c>
      <c r="P191" s="2" t="s">
        <v>62</v>
      </c>
      <c r="Q191" s="26" t="s">
        <v>606</v>
      </c>
      <c r="R191" s="79" t="s">
        <v>613</v>
      </c>
      <c r="S191" s="2">
        <f>37/T191</f>
        <v>2.5412087912087912E-2</v>
      </c>
      <c r="T191" s="26">
        <f>119+125+225+308+246+219+214</f>
        <v>1456</v>
      </c>
      <c r="U191" s="77">
        <v>1</v>
      </c>
      <c r="V191" s="26">
        <v>0</v>
      </c>
      <c r="W191" s="26">
        <v>0</v>
      </c>
      <c r="X191" s="26">
        <v>0</v>
      </c>
      <c r="Y191" s="26">
        <v>0</v>
      </c>
      <c r="Z191" s="26">
        <v>0</v>
      </c>
      <c r="AA191" s="26">
        <v>0</v>
      </c>
      <c r="AB191" s="26">
        <v>0</v>
      </c>
      <c r="AC191" s="26" t="s">
        <v>70</v>
      </c>
      <c r="AD191" s="26" t="s">
        <v>70</v>
      </c>
      <c r="AE191" s="26" t="s">
        <v>70</v>
      </c>
      <c r="AF191" s="26" t="s">
        <v>70</v>
      </c>
      <c r="AG191" s="26" t="s">
        <v>70</v>
      </c>
      <c r="AH191" s="26" t="s">
        <v>70</v>
      </c>
      <c r="AI191" s="26" t="s">
        <v>70</v>
      </c>
      <c r="AJ191" s="26" t="s">
        <v>70</v>
      </c>
      <c r="AK191" s="26" t="s">
        <v>70</v>
      </c>
      <c r="AL191" s="26" t="s">
        <v>70</v>
      </c>
      <c r="AM191" s="35" t="s">
        <v>175</v>
      </c>
      <c r="AN191" s="32" t="s">
        <v>9</v>
      </c>
      <c r="AO191" s="35" t="s">
        <v>175</v>
      </c>
      <c r="AP191" s="35" t="s">
        <v>175</v>
      </c>
      <c r="AQ191" s="35" t="s">
        <v>548</v>
      </c>
      <c r="AR191" s="38" t="s">
        <v>548</v>
      </c>
      <c r="AS191" s="26" t="s">
        <v>548</v>
      </c>
      <c r="AT191" s="26" t="s">
        <v>548</v>
      </c>
      <c r="AU191" s="26" t="s">
        <v>274</v>
      </c>
      <c r="AV191" s="26">
        <v>2</v>
      </c>
    </row>
    <row r="192" spans="1:48" ht="14" customHeight="1">
      <c r="A192" s="27">
        <v>191</v>
      </c>
      <c r="B192" s="27" t="s">
        <v>370</v>
      </c>
      <c r="C192" s="27">
        <v>2005</v>
      </c>
      <c r="D192" s="26" t="s">
        <v>63</v>
      </c>
      <c r="E192" s="26" t="s">
        <v>565</v>
      </c>
      <c r="F192" s="77" t="s">
        <v>175</v>
      </c>
      <c r="G192" s="2" t="s">
        <v>106</v>
      </c>
      <c r="H192" s="2" t="s">
        <v>30</v>
      </c>
      <c r="I192" s="2" t="s">
        <v>548</v>
      </c>
      <c r="J192" s="2" t="s">
        <v>604</v>
      </c>
      <c r="K192" s="2" t="s">
        <v>548</v>
      </c>
      <c r="L192" s="2" t="s">
        <v>548</v>
      </c>
      <c r="M192" s="2" t="s">
        <v>175</v>
      </c>
      <c r="N192" s="2" t="s">
        <v>210</v>
      </c>
      <c r="O192" s="2" t="s">
        <v>43</v>
      </c>
      <c r="P192" s="2" t="s">
        <v>210</v>
      </c>
      <c r="Q192" s="2" t="s">
        <v>42</v>
      </c>
      <c r="R192" s="79" t="s">
        <v>613</v>
      </c>
      <c r="S192" s="90">
        <f>2/11</f>
        <v>0.18181818181818182</v>
      </c>
      <c r="T192" s="26">
        <v>11</v>
      </c>
      <c r="U192" s="77">
        <v>1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1</v>
      </c>
      <c r="AB192" s="26">
        <v>1</v>
      </c>
      <c r="AC192" s="26" t="s">
        <v>70</v>
      </c>
      <c r="AD192" s="26" t="s">
        <v>70</v>
      </c>
      <c r="AE192" s="26" t="s">
        <v>70</v>
      </c>
      <c r="AF192" s="26" t="s">
        <v>70</v>
      </c>
      <c r="AG192" s="26" t="s">
        <v>70</v>
      </c>
      <c r="AH192" s="26" t="s">
        <v>70</v>
      </c>
      <c r="AI192" s="26" t="s">
        <v>70</v>
      </c>
      <c r="AJ192" s="26" t="s">
        <v>70</v>
      </c>
      <c r="AK192" s="26" t="s">
        <v>70</v>
      </c>
      <c r="AL192" s="26" t="s">
        <v>70</v>
      </c>
      <c r="AM192" s="35" t="s">
        <v>548</v>
      </c>
      <c r="AN192" s="26" t="s">
        <v>274</v>
      </c>
      <c r="AO192" s="35" t="s">
        <v>548</v>
      </c>
      <c r="AP192" s="35" t="s">
        <v>548</v>
      </c>
      <c r="AQ192" s="35" t="s">
        <v>548</v>
      </c>
      <c r="AR192" s="35" t="s">
        <v>548</v>
      </c>
      <c r="AS192" s="26" t="s">
        <v>175</v>
      </c>
      <c r="AT192" s="26" t="s">
        <v>70</v>
      </c>
      <c r="AU192" s="26" t="s">
        <v>70</v>
      </c>
      <c r="AV192" s="26">
        <v>5</v>
      </c>
    </row>
    <row r="193" spans="1:2089" ht="14" customHeight="1">
      <c r="A193" s="27">
        <v>192</v>
      </c>
      <c r="B193" s="27" t="s">
        <v>370</v>
      </c>
      <c r="C193" s="27">
        <v>2005</v>
      </c>
      <c r="D193" s="26" t="s">
        <v>63</v>
      </c>
      <c r="E193" s="26" t="s">
        <v>565</v>
      </c>
      <c r="F193" s="77" t="s">
        <v>175</v>
      </c>
      <c r="G193" s="2" t="s">
        <v>106</v>
      </c>
      <c r="H193" s="2" t="s">
        <v>30</v>
      </c>
      <c r="I193" s="2" t="s">
        <v>548</v>
      </c>
      <c r="J193" s="2" t="s">
        <v>604</v>
      </c>
      <c r="K193" s="2" t="s">
        <v>548</v>
      </c>
      <c r="L193" s="2" t="s">
        <v>548</v>
      </c>
      <c r="M193" s="2" t="s">
        <v>175</v>
      </c>
      <c r="N193" s="2" t="s">
        <v>70</v>
      </c>
      <c r="O193" s="2" t="s">
        <v>209</v>
      </c>
      <c r="P193" s="2" t="s">
        <v>612</v>
      </c>
      <c r="Q193" s="2" t="s">
        <v>42</v>
      </c>
      <c r="R193" s="79" t="s">
        <v>613</v>
      </c>
      <c r="S193" s="90">
        <f>9/11</f>
        <v>0.81818181818181823</v>
      </c>
      <c r="T193" s="26">
        <v>11</v>
      </c>
      <c r="U193" s="77">
        <v>1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1</v>
      </c>
      <c r="AB193" s="26">
        <v>1</v>
      </c>
      <c r="AC193" s="26" t="s">
        <v>70</v>
      </c>
      <c r="AD193" s="26" t="s">
        <v>70</v>
      </c>
      <c r="AE193" s="26" t="s">
        <v>70</v>
      </c>
      <c r="AF193" s="26" t="s">
        <v>70</v>
      </c>
      <c r="AG193" s="26" t="s">
        <v>70</v>
      </c>
      <c r="AH193" s="26" t="s">
        <v>70</v>
      </c>
      <c r="AI193" s="26" t="s">
        <v>70</v>
      </c>
      <c r="AJ193" s="26" t="s">
        <v>70</v>
      </c>
      <c r="AK193" s="26" t="s">
        <v>70</v>
      </c>
      <c r="AL193" s="26" t="s">
        <v>70</v>
      </c>
      <c r="AM193" s="35" t="s">
        <v>548</v>
      </c>
      <c r="AN193" s="32" t="s">
        <v>274</v>
      </c>
      <c r="AO193" s="35" t="s">
        <v>548</v>
      </c>
      <c r="AP193" s="35" t="s">
        <v>548</v>
      </c>
      <c r="AQ193" s="35" t="s">
        <v>548</v>
      </c>
      <c r="AR193" s="35" t="s">
        <v>548</v>
      </c>
      <c r="AS193" s="26" t="s">
        <v>175</v>
      </c>
      <c r="AT193" s="26" t="s">
        <v>70</v>
      </c>
      <c r="AU193" s="26" t="s">
        <v>70</v>
      </c>
      <c r="AV193" s="26">
        <v>5</v>
      </c>
    </row>
    <row r="194" spans="1:2089" ht="14" customHeight="1">
      <c r="A194" s="27">
        <v>193</v>
      </c>
      <c r="B194" s="27" t="s">
        <v>371</v>
      </c>
      <c r="C194" s="27">
        <v>2001</v>
      </c>
      <c r="D194" s="26" t="s">
        <v>18</v>
      </c>
      <c r="E194" s="26" t="s">
        <v>566</v>
      </c>
      <c r="F194" s="77" t="s">
        <v>175</v>
      </c>
      <c r="G194" s="2" t="s">
        <v>84</v>
      </c>
      <c r="H194" s="2" t="s">
        <v>30</v>
      </c>
      <c r="I194" s="2" t="s">
        <v>548</v>
      </c>
      <c r="J194" s="2" t="s">
        <v>604</v>
      </c>
      <c r="K194" s="2" t="s">
        <v>548</v>
      </c>
      <c r="L194" s="2" t="s">
        <v>548</v>
      </c>
      <c r="M194" s="2" t="s">
        <v>548</v>
      </c>
      <c r="N194" s="2" t="s">
        <v>210</v>
      </c>
      <c r="O194" s="2" t="s">
        <v>43</v>
      </c>
      <c r="P194" s="2" t="s">
        <v>210</v>
      </c>
      <c r="Q194" s="2" t="s">
        <v>42</v>
      </c>
      <c r="R194" s="102" t="s">
        <v>614</v>
      </c>
      <c r="S194" s="2">
        <f>3/T194</f>
        <v>0.17647058823529413</v>
      </c>
      <c r="T194" s="26">
        <v>17</v>
      </c>
      <c r="U194" s="77">
        <v>1</v>
      </c>
      <c r="V194" s="26">
        <v>0</v>
      </c>
      <c r="W194" s="26">
        <v>0</v>
      </c>
      <c r="X194" s="26">
        <v>1</v>
      </c>
      <c r="Y194" s="26">
        <v>0</v>
      </c>
      <c r="Z194" s="26">
        <v>0</v>
      </c>
      <c r="AA194" s="26">
        <v>0</v>
      </c>
      <c r="AB194" s="26">
        <v>0</v>
      </c>
      <c r="AC194" s="33" t="s">
        <v>70</v>
      </c>
      <c r="AD194" s="33" t="s">
        <v>70</v>
      </c>
      <c r="AE194" s="33" t="s">
        <v>70</v>
      </c>
      <c r="AF194" s="33" t="s">
        <v>70</v>
      </c>
      <c r="AG194" s="33" t="s">
        <v>70</v>
      </c>
      <c r="AH194" s="33" t="s">
        <v>70</v>
      </c>
      <c r="AI194" s="33" t="s">
        <v>70</v>
      </c>
      <c r="AJ194" s="33" t="s">
        <v>70</v>
      </c>
      <c r="AK194" s="33" t="s">
        <v>70</v>
      </c>
      <c r="AL194" s="33" t="s">
        <v>70</v>
      </c>
      <c r="AM194" s="35" t="s">
        <v>548</v>
      </c>
      <c r="AN194" s="26" t="s">
        <v>274</v>
      </c>
      <c r="AO194" s="35" t="s">
        <v>548</v>
      </c>
      <c r="AP194" s="26" t="s">
        <v>548</v>
      </c>
      <c r="AQ194" s="26" t="s">
        <v>548</v>
      </c>
      <c r="AR194" s="26" t="s">
        <v>548</v>
      </c>
      <c r="AS194" s="26" t="s">
        <v>175</v>
      </c>
      <c r="AT194" s="26" t="s">
        <v>70</v>
      </c>
      <c r="AU194" s="26" t="s">
        <v>70</v>
      </c>
      <c r="AV194" s="26">
        <v>3</v>
      </c>
    </row>
    <row r="195" spans="1:2089" ht="14" customHeight="1">
      <c r="A195" s="27">
        <v>194</v>
      </c>
      <c r="B195" s="27" t="s">
        <v>371</v>
      </c>
      <c r="C195" s="27">
        <v>2001</v>
      </c>
      <c r="D195" s="26" t="s">
        <v>18</v>
      </c>
      <c r="E195" s="26" t="s">
        <v>566</v>
      </c>
      <c r="F195" s="77" t="s">
        <v>175</v>
      </c>
      <c r="G195" s="2" t="s">
        <v>84</v>
      </c>
      <c r="H195" s="2" t="s">
        <v>30</v>
      </c>
      <c r="I195" s="2" t="s">
        <v>548</v>
      </c>
      <c r="J195" s="2" t="s">
        <v>604</v>
      </c>
      <c r="K195" s="2" t="s">
        <v>548</v>
      </c>
      <c r="L195" s="2" t="s">
        <v>548</v>
      </c>
      <c r="M195" s="2" t="s">
        <v>548</v>
      </c>
      <c r="N195" s="2" t="s">
        <v>70</v>
      </c>
      <c r="O195" s="2" t="s">
        <v>209</v>
      </c>
      <c r="P195" s="2" t="s">
        <v>612</v>
      </c>
      <c r="Q195" s="2" t="s">
        <v>42</v>
      </c>
      <c r="R195" s="102" t="s">
        <v>614</v>
      </c>
      <c r="S195" s="2">
        <f>11/T195</f>
        <v>0.28947368421052633</v>
      </c>
      <c r="T195" s="26">
        <v>38</v>
      </c>
      <c r="U195" s="77">
        <v>1</v>
      </c>
      <c r="V195" s="26">
        <v>0</v>
      </c>
      <c r="W195" s="26">
        <v>0</v>
      </c>
      <c r="X195" s="26">
        <v>1</v>
      </c>
      <c r="Y195" s="26">
        <v>0</v>
      </c>
      <c r="Z195" s="26">
        <v>0</v>
      </c>
      <c r="AA195" s="26">
        <v>0</v>
      </c>
      <c r="AB195" s="26">
        <v>0</v>
      </c>
      <c r="AC195" s="33" t="s">
        <v>70</v>
      </c>
      <c r="AD195" s="33" t="s">
        <v>70</v>
      </c>
      <c r="AE195" s="33" t="s">
        <v>70</v>
      </c>
      <c r="AF195" s="33" t="s">
        <v>70</v>
      </c>
      <c r="AG195" s="33" t="s">
        <v>70</v>
      </c>
      <c r="AH195" s="33" t="s">
        <v>70</v>
      </c>
      <c r="AI195" s="33" t="s">
        <v>70</v>
      </c>
      <c r="AJ195" s="33" t="s">
        <v>70</v>
      </c>
      <c r="AK195" s="33" t="s">
        <v>70</v>
      </c>
      <c r="AL195" s="33" t="s">
        <v>70</v>
      </c>
      <c r="AM195" s="35" t="s">
        <v>548</v>
      </c>
      <c r="AN195" s="32" t="s">
        <v>274</v>
      </c>
      <c r="AO195" s="35" t="s">
        <v>548</v>
      </c>
      <c r="AP195" s="26" t="s">
        <v>548</v>
      </c>
      <c r="AQ195" s="26" t="s">
        <v>548</v>
      </c>
      <c r="AR195" s="26" t="s">
        <v>548</v>
      </c>
      <c r="AS195" s="26" t="s">
        <v>175</v>
      </c>
      <c r="AT195" s="26" t="s">
        <v>70</v>
      </c>
      <c r="AU195" s="26" t="s">
        <v>70</v>
      </c>
      <c r="AV195" s="26">
        <v>3</v>
      </c>
    </row>
    <row r="196" spans="1:2089" ht="14" customHeight="1">
      <c r="A196" s="27">
        <v>195</v>
      </c>
      <c r="B196" s="27" t="s">
        <v>372</v>
      </c>
      <c r="C196" s="27">
        <v>2010</v>
      </c>
      <c r="D196" s="26" t="s">
        <v>13</v>
      </c>
      <c r="E196" s="26" t="s">
        <v>566</v>
      </c>
      <c r="F196" s="77" t="s">
        <v>175</v>
      </c>
      <c r="G196" s="2" t="s">
        <v>105</v>
      </c>
      <c r="H196" s="2" t="s">
        <v>275</v>
      </c>
      <c r="I196" s="2" t="s">
        <v>175</v>
      </c>
      <c r="J196" s="2" t="s">
        <v>604</v>
      </c>
      <c r="K196" s="2" t="s">
        <v>175</v>
      </c>
      <c r="L196" s="2" t="s">
        <v>175</v>
      </c>
      <c r="M196" s="2" t="s">
        <v>175</v>
      </c>
      <c r="N196" s="2" t="s">
        <v>210</v>
      </c>
      <c r="O196" s="2" t="s">
        <v>43</v>
      </c>
      <c r="P196" s="2" t="s">
        <v>210</v>
      </c>
      <c r="Q196" s="2" t="s">
        <v>42</v>
      </c>
      <c r="R196" s="79" t="s">
        <v>613</v>
      </c>
      <c r="S196" s="88">
        <v>0.06</v>
      </c>
      <c r="T196" s="26">
        <v>525</v>
      </c>
      <c r="U196" s="77">
        <v>1</v>
      </c>
      <c r="V196" s="26">
        <v>1</v>
      </c>
      <c r="W196" s="26">
        <v>1</v>
      </c>
      <c r="X196" s="26">
        <v>1</v>
      </c>
      <c r="Y196" s="26">
        <v>1</v>
      </c>
      <c r="Z196" s="26">
        <v>1</v>
      </c>
      <c r="AA196" s="26">
        <v>0</v>
      </c>
      <c r="AB196" s="26">
        <v>1</v>
      </c>
      <c r="AC196" s="26">
        <v>0.94095238095238098</v>
      </c>
      <c r="AD196" s="26">
        <v>4.5714285714285714E-2</v>
      </c>
      <c r="AE196" s="26">
        <v>1.3333333333333334E-2</v>
      </c>
      <c r="AF196" s="26">
        <v>0</v>
      </c>
      <c r="AG196" s="26">
        <v>1</v>
      </c>
      <c r="AH196" s="26" t="s">
        <v>70</v>
      </c>
      <c r="AI196" s="26" t="s">
        <v>70</v>
      </c>
      <c r="AJ196" s="26" t="s">
        <v>70</v>
      </c>
      <c r="AK196" s="26" t="s">
        <v>70</v>
      </c>
      <c r="AL196" s="26" t="s">
        <v>70</v>
      </c>
      <c r="AM196" s="35" t="s">
        <v>175</v>
      </c>
      <c r="AN196" s="26" t="s">
        <v>274</v>
      </c>
      <c r="AO196" s="35" t="s">
        <v>175</v>
      </c>
      <c r="AP196" s="35" t="s">
        <v>175</v>
      </c>
      <c r="AQ196" s="35" t="s">
        <v>548</v>
      </c>
      <c r="AR196" s="35" t="s">
        <v>548</v>
      </c>
      <c r="AS196" s="26" t="s">
        <v>548</v>
      </c>
      <c r="AT196" s="26" t="s">
        <v>175</v>
      </c>
      <c r="AU196" s="40" t="s">
        <v>175</v>
      </c>
      <c r="AV196" s="26">
        <v>12</v>
      </c>
    </row>
    <row r="197" spans="1:2089" ht="14" customHeight="1">
      <c r="A197" s="27">
        <v>196</v>
      </c>
      <c r="B197" s="27" t="s">
        <v>372</v>
      </c>
      <c r="C197" s="27">
        <v>2010</v>
      </c>
      <c r="D197" s="26" t="s">
        <v>13</v>
      </c>
      <c r="E197" s="26" t="s">
        <v>566</v>
      </c>
      <c r="F197" s="77" t="s">
        <v>175</v>
      </c>
      <c r="G197" s="2" t="s">
        <v>105</v>
      </c>
      <c r="H197" s="2" t="s">
        <v>275</v>
      </c>
      <c r="I197" s="2" t="s">
        <v>175</v>
      </c>
      <c r="J197" s="2" t="s">
        <v>604</v>
      </c>
      <c r="K197" s="2" t="s">
        <v>175</v>
      </c>
      <c r="L197" s="2" t="s">
        <v>175</v>
      </c>
      <c r="M197" s="2" t="s">
        <v>175</v>
      </c>
      <c r="N197" s="2" t="s">
        <v>62</v>
      </c>
      <c r="O197" s="2" t="s">
        <v>43</v>
      </c>
      <c r="P197" s="2" t="s">
        <v>62</v>
      </c>
      <c r="Q197" s="26" t="s">
        <v>606</v>
      </c>
      <c r="R197" s="79" t="s">
        <v>613</v>
      </c>
      <c r="S197" s="88">
        <v>0.23</v>
      </c>
      <c r="T197" s="26">
        <v>630</v>
      </c>
      <c r="U197" s="77">
        <v>1</v>
      </c>
      <c r="V197" s="26">
        <v>1</v>
      </c>
      <c r="W197" s="26">
        <v>1</v>
      </c>
      <c r="X197" s="26">
        <v>1</v>
      </c>
      <c r="Y197" s="26">
        <v>1</v>
      </c>
      <c r="Z197" s="26">
        <v>1</v>
      </c>
      <c r="AA197" s="26">
        <v>0</v>
      </c>
      <c r="AB197" s="26">
        <v>1</v>
      </c>
      <c r="AC197" s="26">
        <v>0.77460317460317463</v>
      </c>
      <c r="AD197" s="26">
        <v>0.11904761904761904</v>
      </c>
      <c r="AE197" s="26">
        <v>8.0952380952380956E-2</v>
      </c>
      <c r="AF197" s="26">
        <v>2.5396825396825397E-2</v>
      </c>
      <c r="AG197" s="26">
        <v>7</v>
      </c>
      <c r="AH197" s="26" t="s">
        <v>70</v>
      </c>
      <c r="AI197" s="26" t="s">
        <v>70</v>
      </c>
      <c r="AJ197" s="26" t="s">
        <v>70</v>
      </c>
      <c r="AK197" s="26" t="s">
        <v>70</v>
      </c>
      <c r="AL197" s="26" t="s">
        <v>70</v>
      </c>
      <c r="AM197" s="35" t="s">
        <v>175</v>
      </c>
      <c r="AN197" s="26" t="s">
        <v>274</v>
      </c>
      <c r="AO197" s="35" t="s">
        <v>175</v>
      </c>
      <c r="AP197" s="35" t="s">
        <v>175</v>
      </c>
      <c r="AQ197" s="35" t="s">
        <v>548</v>
      </c>
      <c r="AR197" s="35" t="s">
        <v>548</v>
      </c>
      <c r="AS197" s="26" t="s">
        <v>548</v>
      </c>
      <c r="AT197" s="26" t="s">
        <v>175</v>
      </c>
      <c r="AU197" s="40" t="s">
        <v>175</v>
      </c>
      <c r="AV197" s="26">
        <v>12</v>
      </c>
    </row>
    <row r="198" spans="1:2089" ht="14" customHeight="1">
      <c r="A198" s="27">
        <v>197</v>
      </c>
      <c r="B198" s="27" t="s">
        <v>372</v>
      </c>
      <c r="C198" s="27">
        <v>2010</v>
      </c>
      <c r="D198" s="26" t="s">
        <v>13</v>
      </c>
      <c r="E198" s="26" t="s">
        <v>566</v>
      </c>
      <c r="F198" s="77" t="s">
        <v>175</v>
      </c>
      <c r="G198" s="2" t="s">
        <v>105</v>
      </c>
      <c r="H198" s="2" t="s">
        <v>275</v>
      </c>
      <c r="I198" s="2" t="s">
        <v>175</v>
      </c>
      <c r="J198" s="2" t="s">
        <v>604</v>
      </c>
      <c r="K198" s="2" t="s">
        <v>175</v>
      </c>
      <c r="L198" s="2" t="s">
        <v>175</v>
      </c>
      <c r="M198" s="2" t="s">
        <v>175</v>
      </c>
      <c r="N198" s="2" t="s">
        <v>51</v>
      </c>
      <c r="O198" s="2" t="s">
        <v>43</v>
      </c>
      <c r="P198" s="2" t="s">
        <v>51</v>
      </c>
      <c r="Q198" s="2" t="s">
        <v>42</v>
      </c>
      <c r="R198" s="79" t="s">
        <v>613</v>
      </c>
      <c r="S198" s="88">
        <v>0.44</v>
      </c>
      <c r="T198" s="26">
        <v>424</v>
      </c>
      <c r="U198" s="77">
        <v>1</v>
      </c>
      <c r="V198" s="26">
        <v>1</v>
      </c>
      <c r="W198" s="26">
        <v>1</v>
      </c>
      <c r="X198" s="26">
        <v>1</v>
      </c>
      <c r="Y198" s="26">
        <v>1</v>
      </c>
      <c r="Z198" s="26">
        <v>1</v>
      </c>
      <c r="AA198" s="26">
        <v>0</v>
      </c>
      <c r="AB198" s="26">
        <v>1</v>
      </c>
      <c r="AC198" s="26">
        <v>0.56367924528301883</v>
      </c>
      <c r="AD198" s="26">
        <v>0.11320754716981132</v>
      </c>
      <c r="AE198" s="26">
        <v>0.26650943396226418</v>
      </c>
      <c r="AF198" s="26">
        <v>5.6603773584905662E-2</v>
      </c>
      <c r="AG198" s="26">
        <v>10</v>
      </c>
      <c r="AH198" s="26" t="s">
        <v>70</v>
      </c>
      <c r="AI198" s="26" t="s">
        <v>70</v>
      </c>
      <c r="AJ198" s="26" t="s">
        <v>70</v>
      </c>
      <c r="AK198" s="26" t="s">
        <v>70</v>
      </c>
      <c r="AL198" s="26" t="s">
        <v>70</v>
      </c>
      <c r="AM198" s="35" t="s">
        <v>175</v>
      </c>
      <c r="AN198" s="26" t="s">
        <v>274</v>
      </c>
      <c r="AO198" s="35" t="s">
        <v>175</v>
      </c>
      <c r="AP198" s="35" t="s">
        <v>175</v>
      </c>
      <c r="AQ198" s="35" t="s">
        <v>548</v>
      </c>
      <c r="AR198" s="35" t="s">
        <v>548</v>
      </c>
      <c r="AS198" s="26" t="s">
        <v>548</v>
      </c>
      <c r="AT198" s="26" t="s">
        <v>175</v>
      </c>
      <c r="AU198" s="40" t="s">
        <v>175</v>
      </c>
      <c r="AV198" s="26">
        <v>12</v>
      </c>
    </row>
    <row r="199" spans="1:2089" ht="14" customHeight="1">
      <c r="A199" s="27">
        <v>198</v>
      </c>
      <c r="B199" s="27" t="s">
        <v>372</v>
      </c>
      <c r="C199" s="27">
        <v>2010</v>
      </c>
      <c r="D199" s="26" t="s">
        <v>13</v>
      </c>
      <c r="E199" s="26" t="s">
        <v>566</v>
      </c>
      <c r="F199" s="77" t="s">
        <v>175</v>
      </c>
      <c r="G199" s="2" t="s">
        <v>105</v>
      </c>
      <c r="H199" s="2" t="s">
        <v>275</v>
      </c>
      <c r="I199" s="2" t="s">
        <v>175</v>
      </c>
      <c r="J199" s="2" t="s">
        <v>604</v>
      </c>
      <c r="K199" s="2" t="s">
        <v>175</v>
      </c>
      <c r="L199" s="2" t="s">
        <v>175</v>
      </c>
      <c r="M199" s="2" t="s">
        <v>175</v>
      </c>
      <c r="N199" s="2" t="s">
        <v>167</v>
      </c>
      <c r="O199" s="2" t="s">
        <v>60</v>
      </c>
      <c r="P199" s="2" t="s">
        <v>167</v>
      </c>
      <c r="Q199" s="2" t="s">
        <v>42</v>
      </c>
      <c r="R199" s="79" t="s">
        <v>613</v>
      </c>
      <c r="S199" s="88">
        <f>11/T199</f>
        <v>0.37931034482758619</v>
      </c>
      <c r="T199" s="26">
        <v>29</v>
      </c>
      <c r="U199" s="77">
        <v>1</v>
      </c>
      <c r="V199" s="26">
        <v>1</v>
      </c>
      <c r="W199" s="26">
        <v>1</v>
      </c>
      <c r="X199" s="26">
        <v>1</v>
      </c>
      <c r="Y199" s="26">
        <v>1</v>
      </c>
      <c r="Z199" s="26">
        <v>1</v>
      </c>
      <c r="AA199" s="26">
        <v>0</v>
      </c>
      <c r="AB199" s="26">
        <v>1</v>
      </c>
      <c r="AC199" s="26">
        <v>0.62068965517241381</v>
      </c>
      <c r="AD199" s="26">
        <v>0.27586206896551724</v>
      </c>
      <c r="AE199" s="26">
        <v>6.8965517241379309E-2</v>
      </c>
      <c r="AF199" s="26">
        <v>3.4482758620689655E-2</v>
      </c>
      <c r="AG199" s="26">
        <v>10</v>
      </c>
      <c r="AH199" s="26" t="s">
        <v>70</v>
      </c>
      <c r="AI199" s="26" t="s">
        <v>70</v>
      </c>
      <c r="AJ199" s="26" t="s">
        <v>70</v>
      </c>
      <c r="AK199" s="26" t="s">
        <v>70</v>
      </c>
      <c r="AL199" s="26" t="s">
        <v>70</v>
      </c>
      <c r="AM199" s="35" t="s">
        <v>175</v>
      </c>
      <c r="AN199" s="26" t="s">
        <v>274</v>
      </c>
      <c r="AO199" s="35" t="s">
        <v>175</v>
      </c>
      <c r="AP199" s="35" t="s">
        <v>175</v>
      </c>
      <c r="AQ199" s="35" t="s">
        <v>548</v>
      </c>
      <c r="AR199" s="35" t="s">
        <v>548</v>
      </c>
      <c r="AS199" s="26" t="s">
        <v>548</v>
      </c>
      <c r="AT199" s="26" t="s">
        <v>175</v>
      </c>
      <c r="AU199" s="40" t="s">
        <v>175</v>
      </c>
      <c r="AV199" s="26">
        <v>12</v>
      </c>
    </row>
    <row r="200" spans="1:2089" ht="14" customHeight="1">
      <c r="A200" s="27">
        <v>199</v>
      </c>
      <c r="B200" s="27" t="s">
        <v>373</v>
      </c>
      <c r="C200" s="27">
        <v>1998</v>
      </c>
      <c r="D200" s="26" t="s">
        <v>67</v>
      </c>
      <c r="E200" s="26" t="s">
        <v>565</v>
      </c>
      <c r="F200" s="77" t="s">
        <v>175</v>
      </c>
      <c r="G200" s="2" t="s">
        <v>106</v>
      </c>
      <c r="H200" s="2" t="s">
        <v>24</v>
      </c>
      <c r="I200" s="2" t="s">
        <v>548</v>
      </c>
      <c r="J200" s="2" t="s">
        <v>604</v>
      </c>
      <c r="K200" s="2" t="s">
        <v>548</v>
      </c>
      <c r="L200" s="2" t="s">
        <v>548</v>
      </c>
      <c r="M200" s="2" t="s">
        <v>175</v>
      </c>
      <c r="N200" s="2" t="s">
        <v>62</v>
      </c>
      <c r="O200" s="2" t="s">
        <v>43</v>
      </c>
      <c r="P200" s="2" t="s">
        <v>62</v>
      </c>
      <c r="Q200" s="26" t="s">
        <v>275</v>
      </c>
      <c r="R200" s="79" t="s">
        <v>613</v>
      </c>
      <c r="S200" s="90">
        <f>13/T200</f>
        <v>0.38235294117647056</v>
      </c>
      <c r="T200" s="26">
        <v>34</v>
      </c>
      <c r="U200" s="77">
        <v>1</v>
      </c>
      <c r="V200" s="26">
        <v>1</v>
      </c>
      <c r="W200" s="26">
        <v>1</v>
      </c>
      <c r="X200" s="26">
        <v>1</v>
      </c>
      <c r="Y200" s="26">
        <v>1</v>
      </c>
      <c r="Z200" s="26">
        <v>1</v>
      </c>
      <c r="AA200" s="26">
        <v>0</v>
      </c>
      <c r="AB200" s="26">
        <v>0</v>
      </c>
      <c r="AC200" s="26" t="s">
        <v>70</v>
      </c>
      <c r="AD200" s="26" t="s">
        <v>70</v>
      </c>
      <c r="AE200" s="26" t="s">
        <v>70</v>
      </c>
      <c r="AF200" s="26" t="s">
        <v>70</v>
      </c>
      <c r="AG200" s="33">
        <v>75.599999999999994</v>
      </c>
      <c r="AH200" s="26" t="s">
        <v>70</v>
      </c>
      <c r="AI200" s="26" t="s">
        <v>70</v>
      </c>
      <c r="AJ200" s="26" t="s">
        <v>70</v>
      </c>
      <c r="AK200" s="26" t="s">
        <v>70</v>
      </c>
      <c r="AL200" s="26" t="s">
        <v>70</v>
      </c>
      <c r="AM200" s="35" t="s">
        <v>175</v>
      </c>
      <c r="AN200" s="26" t="s">
        <v>274</v>
      </c>
      <c r="AO200" s="35" t="s">
        <v>175</v>
      </c>
      <c r="AP200" s="35" t="s">
        <v>548</v>
      </c>
      <c r="AQ200" s="35" t="s">
        <v>548</v>
      </c>
      <c r="AR200" s="35" t="s">
        <v>548</v>
      </c>
      <c r="AS200" s="26" t="s">
        <v>175</v>
      </c>
      <c r="AT200" s="26" t="s">
        <v>70</v>
      </c>
      <c r="AU200" s="26" t="s">
        <v>70</v>
      </c>
      <c r="AV200" s="26">
        <v>9</v>
      </c>
    </row>
    <row r="201" spans="1:2089" s="53" customFormat="1" ht="14" customHeight="1">
      <c r="A201" s="27">
        <v>200</v>
      </c>
      <c r="B201" s="27" t="s">
        <v>374</v>
      </c>
      <c r="C201" s="26">
        <v>2011</v>
      </c>
      <c r="D201" s="26" t="s">
        <v>27</v>
      </c>
      <c r="E201" s="26" t="s">
        <v>563</v>
      </c>
      <c r="F201" s="2" t="s">
        <v>175</v>
      </c>
      <c r="G201" s="2" t="s">
        <v>84</v>
      </c>
      <c r="H201" s="2" t="s">
        <v>24</v>
      </c>
      <c r="I201" s="2" t="s">
        <v>548</v>
      </c>
      <c r="J201" s="2" t="s">
        <v>604</v>
      </c>
      <c r="K201" s="2" t="s">
        <v>548</v>
      </c>
      <c r="L201" s="2" t="s">
        <v>548</v>
      </c>
      <c r="M201" s="2" t="s">
        <v>548</v>
      </c>
      <c r="N201" s="2" t="s">
        <v>608</v>
      </c>
      <c r="O201" s="2" t="s">
        <v>43</v>
      </c>
      <c r="P201" s="2" t="s">
        <v>608</v>
      </c>
      <c r="Q201" s="2" t="s">
        <v>42</v>
      </c>
      <c r="R201" s="102" t="s">
        <v>614</v>
      </c>
      <c r="S201" s="88">
        <v>0.82599999999999996</v>
      </c>
      <c r="T201" s="61">
        <v>23</v>
      </c>
      <c r="U201" s="2">
        <v>1</v>
      </c>
      <c r="V201" s="26">
        <v>0</v>
      </c>
      <c r="W201" s="26">
        <v>1</v>
      </c>
      <c r="X201" s="26">
        <v>1</v>
      </c>
      <c r="Y201" s="26">
        <v>1</v>
      </c>
      <c r="Z201" s="26">
        <v>1</v>
      </c>
      <c r="AA201" s="26">
        <v>0</v>
      </c>
      <c r="AB201" s="26">
        <v>0</v>
      </c>
      <c r="AC201" s="26" t="s">
        <v>70</v>
      </c>
      <c r="AD201" s="26" t="s">
        <v>70</v>
      </c>
      <c r="AE201" s="26" t="s">
        <v>70</v>
      </c>
      <c r="AF201" s="26" t="s">
        <v>70</v>
      </c>
      <c r="AG201" s="33">
        <v>288</v>
      </c>
      <c r="AH201" s="26" t="s">
        <v>70</v>
      </c>
      <c r="AI201" s="33">
        <v>5</v>
      </c>
      <c r="AJ201" s="26" t="s">
        <v>157</v>
      </c>
      <c r="AK201" s="33" t="s">
        <v>70</v>
      </c>
      <c r="AL201" s="33" t="s">
        <v>70</v>
      </c>
      <c r="AM201" s="61" t="s">
        <v>175</v>
      </c>
      <c r="AN201" s="32" t="s">
        <v>9</v>
      </c>
      <c r="AO201" s="26" t="s">
        <v>175</v>
      </c>
      <c r="AP201" s="26" t="s">
        <v>175</v>
      </c>
      <c r="AQ201" s="26" t="s">
        <v>548</v>
      </c>
      <c r="AR201" s="26" t="s">
        <v>548</v>
      </c>
      <c r="AS201" s="26" t="s">
        <v>175</v>
      </c>
      <c r="AT201" s="26" t="s">
        <v>548</v>
      </c>
      <c r="AU201" s="40" t="s">
        <v>175</v>
      </c>
      <c r="AV201" s="26">
        <v>7</v>
      </c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  <c r="GR201" s="26"/>
      <c r="GS201" s="26"/>
      <c r="GT201" s="26"/>
      <c r="GU201" s="26"/>
      <c r="GV201" s="26"/>
      <c r="GW201" s="26"/>
      <c r="GX201" s="26"/>
      <c r="GY201" s="26"/>
      <c r="GZ201" s="26"/>
      <c r="HA201" s="26"/>
      <c r="HB201" s="26"/>
      <c r="HC201" s="26"/>
      <c r="HD201" s="26"/>
      <c r="HE201" s="26"/>
      <c r="HF201" s="26"/>
      <c r="HG201" s="26"/>
      <c r="HH201" s="26"/>
      <c r="HI201" s="26"/>
      <c r="HJ201" s="26"/>
      <c r="HK201" s="26"/>
      <c r="HL201" s="26"/>
      <c r="HM201" s="26"/>
      <c r="HN201" s="26"/>
      <c r="HO201" s="26"/>
      <c r="HP201" s="26"/>
      <c r="HQ201" s="26"/>
      <c r="HR201" s="26"/>
      <c r="HS201" s="26"/>
      <c r="HT201" s="26"/>
      <c r="HU201" s="26"/>
      <c r="HV201" s="26"/>
      <c r="HW201" s="26"/>
      <c r="HX201" s="26"/>
      <c r="HY201" s="26"/>
      <c r="HZ201" s="26"/>
      <c r="IA201" s="26"/>
      <c r="IB201" s="26"/>
      <c r="IC201" s="26"/>
      <c r="ID201" s="26"/>
      <c r="IE201" s="26"/>
      <c r="IF201" s="26"/>
      <c r="IG201" s="26"/>
      <c r="IH201" s="26"/>
      <c r="II201" s="26"/>
      <c r="IJ201" s="26"/>
      <c r="IK201" s="26"/>
      <c r="IL201" s="26"/>
      <c r="IM201" s="26"/>
      <c r="IN201" s="26"/>
      <c r="IO201" s="26"/>
      <c r="IP201" s="26"/>
      <c r="IQ201" s="26"/>
      <c r="IR201" s="26"/>
      <c r="IS201" s="26"/>
      <c r="IT201" s="26"/>
      <c r="IU201" s="26"/>
      <c r="IV201" s="26"/>
      <c r="IW201" s="26"/>
      <c r="IX201" s="26"/>
      <c r="IY201" s="26"/>
      <c r="IZ201" s="26"/>
      <c r="JA201" s="26"/>
      <c r="JB201" s="26"/>
      <c r="JC201" s="26"/>
      <c r="JD201" s="26"/>
      <c r="JE201" s="26"/>
      <c r="JF201" s="26"/>
      <c r="JG201" s="26"/>
      <c r="JH201" s="26"/>
      <c r="JI201" s="26"/>
      <c r="JJ201" s="26"/>
      <c r="JK201" s="26"/>
      <c r="JL201" s="26"/>
      <c r="JM201" s="26"/>
      <c r="JN201" s="26"/>
      <c r="JO201" s="26"/>
      <c r="JP201" s="26"/>
      <c r="JQ201" s="26"/>
      <c r="JR201" s="26"/>
      <c r="JS201" s="26"/>
      <c r="JT201" s="26"/>
      <c r="JU201" s="26"/>
      <c r="JV201" s="26"/>
      <c r="JW201" s="26"/>
      <c r="JX201" s="26"/>
      <c r="JY201" s="26"/>
      <c r="JZ201" s="26"/>
      <c r="KA201" s="26"/>
      <c r="KB201" s="26"/>
      <c r="KC201" s="26"/>
      <c r="KD201" s="26"/>
      <c r="KE201" s="26"/>
      <c r="KF201" s="26"/>
      <c r="KG201" s="26"/>
      <c r="KH201" s="26"/>
      <c r="KI201" s="26"/>
      <c r="KJ201" s="26"/>
      <c r="KK201" s="26"/>
      <c r="KL201" s="26"/>
      <c r="KM201" s="26"/>
      <c r="KN201" s="26"/>
      <c r="KO201" s="26"/>
      <c r="KP201" s="26"/>
      <c r="KQ201" s="26"/>
      <c r="KR201" s="26"/>
      <c r="KS201" s="26"/>
      <c r="KT201" s="26"/>
      <c r="KU201" s="26"/>
      <c r="KV201" s="26"/>
      <c r="KW201" s="26"/>
      <c r="KX201" s="26"/>
      <c r="KY201" s="26"/>
      <c r="KZ201" s="26"/>
      <c r="LA201" s="26"/>
      <c r="LB201" s="26"/>
      <c r="LC201" s="26"/>
      <c r="LD201" s="26"/>
      <c r="LE201" s="26"/>
      <c r="LF201" s="26"/>
      <c r="LG201" s="26"/>
      <c r="LH201" s="26"/>
      <c r="LI201" s="26"/>
      <c r="LJ201" s="26"/>
      <c r="LK201" s="26"/>
      <c r="LL201" s="26"/>
      <c r="LM201" s="26"/>
      <c r="LN201" s="26"/>
      <c r="LO201" s="26"/>
      <c r="LP201" s="26"/>
      <c r="LQ201" s="26"/>
      <c r="LR201" s="26"/>
      <c r="LS201" s="26"/>
      <c r="LT201" s="26"/>
      <c r="LU201" s="26"/>
      <c r="LV201" s="26"/>
      <c r="LW201" s="26"/>
      <c r="LX201" s="26"/>
      <c r="LY201" s="26"/>
      <c r="LZ201" s="26"/>
      <c r="MA201" s="26"/>
      <c r="MB201" s="26"/>
      <c r="MC201" s="26"/>
      <c r="MD201" s="26"/>
      <c r="ME201" s="26"/>
      <c r="MF201" s="26"/>
      <c r="MG201" s="26"/>
      <c r="MH201" s="26"/>
      <c r="MI201" s="26"/>
      <c r="MJ201" s="26"/>
      <c r="MK201" s="26"/>
      <c r="ML201" s="26"/>
      <c r="MM201" s="26"/>
      <c r="MN201" s="26"/>
      <c r="MO201" s="26"/>
      <c r="MP201" s="26"/>
      <c r="MQ201" s="26"/>
      <c r="MR201" s="26"/>
      <c r="MS201" s="26"/>
      <c r="MT201" s="26"/>
      <c r="MU201" s="26"/>
      <c r="MV201" s="26"/>
      <c r="MW201" s="26"/>
      <c r="MX201" s="26"/>
      <c r="MY201" s="26"/>
      <c r="MZ201" s="26"/>
      <c r="NA201" s="26"/>
      <c r="NB201" s="26"/>
      <c r="NC201" s="26"/>
      <c r="ND201" s="26"/>
      <c r="NE201" s="26"/>
      <c r="NF201" s="26"/>
      <c r="NG201" s="26"/>
      <c r="NH201" s="26"/>
      <c r="NI201" s="26"/>
      <c r="NJ201" s="26"/>
      <c r="NK201" s="26"/>
      <c r="NL201" s="26"/>
      <c r="NM201" s="26"/>
      <c r="NN201" s="26"/>
      <c r="NO201" s="26"/>
      <c r="NP201" s="26"/>
      <c r="NQ201" s="26"/>
      <c r="NR201" s="26"/>
      <c r="NS201" s="26"/>
      <c r="NT201" s="26"/>
      <c r="NU201" s="26"/>
      <c r="NV201" s="26"/>
      <c r="NW201" s="26"/>
      <c r="NX201" s="26"/>
      <c r="NY201" s="26"/>
      <c r="NZ201" s="26"/>
      <c r="OA201" s="26"/>
      <c r="OB201" s="26"/>
      <c r="OC201" s="26"/>
      <c r="OD201" s="26"/>
      <c r="OE201" s="26"/>
      <c r="OF201" s="26"/>
      <c r="OG201" s="26"/>
      <c r="OH201" s="26"/>
      <c r="OI201" s="26"/>
      <c r="OJ201" s="26"/>
      <c r="OK201" s="26"/>
      <c r="OL201" s="26"/>
      <c r="OM201" s="26"/>
      <c r="ON201" s="26"/>
      <c r="OO201" s="26"/>
      <c r="OP201" s="26"/>
      <c r="OQ201" s="26"/>
      <c r="OR201" s="26"/>
      <c r="OS201" s="26"/>
      <c r="OT201" s="26"/>
      <c r="OU201" s="26"/>
      <c r="OV201" s="26"/>
      <c r="OW201" s="26"/>
      <c r="OX201" s="26"/>
      <c r="OY201" s="26"/>
      <c r="OZ201" s="26"/>
      <c r="PA201" s="26"/>
      <c r="PB201" s="26"/>
      <c r="PC201" s="26"/>
      <c r="PD201" s="26"/>
      <c r="PE201" s="26"/>
      <c r="PF201" s="26"/>
      <c r="PG201" s="26"/>
      <c r="PH201" s="26"/>
      <c r="PI201" s="26"/>
      <c r="PJ201" s="26"/>
      <c r="PK201" s="26"/>
      <c r="PL201" s="26"/>
      <c r="PM201" s="26"/>
      <c r="PN201" s="26"/>
      <c r="PO201" s="26"/>
      <c r="PP201" s="26"/>
      <c r="PQ201" s="26"/>
      <c r="PR201" s="26"/>
      <c r="PS201" s="26"/>
      <c r="PT201" s="26"/>
      <c r="PU201" s="26"/>
      <c r="PV201" s="26"/>
      <c r="PW201" s="26"/>
      <c r="PX201" s="26"/>
      <c r="PY201" s="26"/>
      <c r="PZ201" s="26"/>
      <c r="QA201" s="26"/>
      <c r="QB201" s="26"/>
      <c r="QC201" s="26"/>
      <c r="QD201" s="26"/>
      <c r="QE201" s="26"/>
      <c r="QF201" s="26"/>
      <c r="QG201" s="26"/>
      <c r="QH201" s="26"/>
      <c r="QI201" s="26"/>
      <c r="QJ201" s="26"/>
      <c r="QK201" s="26"/>
      <c r="QL201" s="26"/>
      <c r="QM201" s="26"/>
      <c r="QN201" s="26"/>
      <c r="QO201" s="26"/>
      <c r="QP201" s="26"/>
      <c r="QQ201" s="26"/>
      <c r="QR201" s="26"/>
      <c r="QS201" s="26"/>
      <c r="QT201" s="26"/>
      <c r="QU201" s="26"/>
      <c r="QV201" s="26"/>
      <c r="QW201" s="26"/>
      <c r="QX201" s="26"/>
      <c r="QY201" s="26"/>
      <c r="QZ201" s="26"/>
      <c r="RA201" s="26"/>
      <c r="RB201" s="26"/>
      <c r="RC201" s="26"/>
      <c r="RD201" s="26"/>
      <c r="RE201" s="26"/>
      <c r="RF201" s="26"/>
      <c r="RG201" s="26"/>
      <c r="RH201" s="26"/>
      <c r="RI201" s="26"/>
      <c r="RJ201" s="26"/>
      <c r="RK201" s="26"/>
      <c r="RL201" s="26"/>
      <c r="RM201" s="26"/>
      <c r="RN201" s="26"/>
      <c r="RO201" s="26"/>
      <c r="RP201" s="26"/>
      <c r="RQ201" s="26"/>
      <c r="RR201" s="26"/>
      <c r="RS201" s="26"/>
      <c r="RT201" s="26"/>
      <c r="RU201" s="26"/>
      <c r="RV201" s="26"/>
      <c r="RW201" s="26"/>
      <c r="RX201" s="26"/>
      <c r="RY201" s="26"/>
      <c r="RZ201" s="26"/>
      <c r="SA201" s="26"/>
      <c r="SB201" s="26"/>
      <c r="SC201" s="26"/>
      <c r="SD201" s="26"/>
      <c r="SE201" s="26"/>
      <c r="SF201" s="26"/>
      <c r="SG201" s="26"/>
      <c r="SH201" s="26"/>
      <c r="SI201" s="26"/>
      <c r="SJ201" s="26"/>
      <c r="SK201" s="26"/>
      <c r="SL201" s="26"/>
      <c r="SM201" s="26"/>
      <c r="SN201" s="26"/>
      <c r="SO201" s="26"/>
      <c r="SP201" s="26"/>
      <c r="SQ201" s="26"/>
      <c r="SR201" s="26"/>
      <c r="SS201" s="26"/>
      <c r="ST201" s="26"/>
      <c r="SU201" s="26"/>
      <c r="SV201" s="26"/>
      <c r="SW201" s="26"/>
      <c r="SX201" s="26"/>
      <c r="SY201" s="26"/>
      <c r="SZ201" s="26"/>
      <c r="TA201" s="26"/>
      <c r="TB201" s="26"/>
      <c r="TC201" s="26"/>
      <c r="TD201" s="26"/>
      <c r="TE201" s="26"/>
      <c r="TF201" s="26"/>
      <c r="TG201" s="26"/>
      <c r="TH201" s="26"/>
      <c r="TI201" s="26"/>
      <c r="TJ201" s="26"/>
      <c r="TK201" s="26"/>
      <c r="TL201" s="26"/>
      <c r="TM201" s="26"/>
      <c r="TN201" s="26"/>
      <c r="TO201" s="26"/>
      <c r="TP201" s="26"/>
      <c r="TQ201" s="26"/>
      <c r="TR201" s="26"/>
      <c r="TS201" s="26"/>
      <c r="TT201" s="26"/>
      <c r="TU201" s="26"/>
      <c r="TV201" s="26"/>
      <c r="TW201" s="26"/>
      <c r="TX201" s="26"/>
      <c r="TY201" s="26"/>
      <c r="TZ201" s="26"/>
      <c r="UA201" s="26"/>
      <c r="UB201" s="26"/>
      <c r="UC201" s="26"/>
      <c r="UD201" s="26"/>
      <c r="UE201" s="26"/>
      <c r="UF201" s="26"/>
      <c r="UG201" s="26"/>
      <c r="UH201" s="26"/>
      <c r="UI201" s="26"/>
      <c r="UJ201" s="26"/>
      <c r="UK201" s="26"/>
      <c r="UL201" s="26"/>
      <c r="UM201" s="26"/>
      <c r="UN201" s="26"/>
      <c r="UO201" s="26"/>
      <c r="UP201" s="26"/>
      <c r="UQ201" s="26"/>
      <c r="UR201" s="26"/>
      <c r="US201" s="26"/>
      <c r="UT201" s="26"/>
      <c r="UU201" s="26"/>
      <c r="UV201" s="26"/>
      <c r="UW201" s="26"/>
      <c r="UX201" s="26"/>
      <c r="UY201" s="26"/>
      <c r="UZ201" s="26"/>
      <c r="VA201" s="26"/>
      <c r="VB201" s="26"/>
      <c r="VC201" s="26"/>
      <c r="VD201" s="26"/>
      <c r="VE201" s="26"/>
      <c r="VF201" s="26"/>
      <c r="VG201" s="26"/>
      <c r="VH201" s="26"/>
      <c r="VI201" s="26"/>
      <c r="VJ201" s="26"/>
      <c r="VK201" s="26"/>
      <c r="VL201" s="26"/>
      <c r="VM201" s="26"/>
      <c r="VN201" s="26"/>
      <c r="VO201" s="26"/>
      <c r="VP201" s="26"/>
      <c r="VQ201" s="26"/>
      <c r="VR201" s="26"/>
      <c r="VS201" s="26"/>
      <c r="VT201" s="26"/>
      <c r="VU201" s="26"/>
      <c r="VV201" s="26"/>
      <c r="VW201" s="26"/>
      <c r="VX201" s="26"/>
      <c r="VY201" s="26"/>
      <c r="VZ201" s="26"/>
      <c r="WA201" s="26"/>
      <c r="WB201" s="26"/>
      <c r="WC201" s="26"/>
      <c r="WD201" s="26"/>
      <c r="WE201" s="26"/>
      <c r="WF201" s="26"/>
      <c r="WG201" s="26"/>
      <c r="WH201" s="26"/>
      <c r="WI201" s="26"/>
      <c r="WJ201" s="26"/>
      <c r="WK201" s="26"/>
      <c r="WL201" s="26"/>
      <c r="WM201" s="26"/>
      <c r="WN201" s="26"/>
      <c r="WO201" s="26"/>
      <c r="WP201" s="26"/>
      <c r="WQ201" s="26"/>
      <c r="WR201" s="26"/>
      <c r="WS201" s="26"/>
      <c r="WT201" s="26"/>
      <c r="WU201" s="26"/>
      <c r="WV201" s="26"/>
      <c r="WW201" s="26"/>
      <c r="WX201" s="26"/>
      <c r="WY201" s="26"/>
      <c r="WZ201" s="26"/>
      <c r="XA201" s="26"/>
      <c r="XB201" s="26"/>
      <c r="XC201" s="26"/>
      <c r="XD201" s="26"/>
      <c r="XE201" s="26"/>
      <c r="XF201" s="26"/>
      <c r="XG201" s="26"/>
      <c r="XH201" s="26"/>
      <c r="XI201" s="26"/>
      <c r="XJ201" s="26"/>
      <c r="XK201" s="26"/>
      <c r="XL201" s="26"/>
      <c r="XM201" s="26"/>
      <c r="XN201" s="26"/>
      <c r="XO201" s="26"/>
      <c r="XP201" s="26"/>
      <c r="XQ201" s="26"/>
      <c r="XR201" s="26"/>
      <c r="XS201" s="26"/>
      <c r="XT201" s="26"/>
      <c r="XU201" s="26"/>
      <c r="XV201" s="26"/>
      <c r="XW201" s="26"/>
      <c r="XX201" s="26"/>
      <c r="XY201" s="26"/>
      <c r="XZ201" s="26"/>
      <c r="YA201" s="26"/>
      <c r="YB201" s="26"/>
      <c r="YC201" s="26"/>
      <c r="YD201" s="26"/>
      <c r="YE201" s="26"/>
      <c r="YF201" s="26"/>
      <c r="YG201" s="26"/>
      <c r="YH201" s="26"/>
      <c r="YI201" s="26"/>
      <c r="YJ201" s="26"/>
      <c r="YK201" s="26"/>
      <c r="YL201" s="26"/>
      <c r="YM201" s="26"/>
      <c r="YN201" s="26"/>
      <c r="YO201" s="26"/>
      <c r="YP201" s="26"/>
      <c r="YQ201" s="26"/>
      <c r="YR201" s="26"/>
      <c r="YS201" s="26"/>
      <c r="YT201" s="26"/>
      <c r="YU201" s="26"/>
      <c r="YV201" s="26"/>
      <c r="YW201" s="26"/>
      <c r="YX201" s="26"/>
      <c r="YY201" s="26"/>
      <c r="YZ201" s="26"/>
      <c r="ZA201" s="26"/>
      <c r="ZB201" s="26"/>
      <c r="ZC201" s="26"/>
      <c r="ZD201" s="26"/>
      <c r="ZE201" s="26"/>
      <c r="ZF201" s="26"/>
      <c r="ZG201" s="26"/>
      <c r="ZH201" s="26"/>
      <c r="ZI201" s="26"/>
      <c r="ZJ201" s="26"/>
      <c r="ZK201" s="26"/>
      <c r="ZL201" s="26"/>
      <c r="ZM201" s="26"/>
      <c r="ZN201" s="26"/>
      <c r="ZO201" s="26"/>
      <c r="ZP201" s="26"/>
      <c r="ZQ201" s="26"/>
      <c r="ZR201" s="26"/>
      <c r="ZS201" s="26"/>
      <c r="ZT201" s="26"/>
      <c r="ZU201" s="26"/>
      <c r="ZV201" s="26"/>
      <c r="ZW201" s="26"/>
      <c r="ZX201" s="26"/>
      <c r="ZY201" s="26"/>
      <c r="ZZ201" s="26"/>
      <c r="AAA201" s="26"/>
      <c r="AAB201" s="26"/>
      <c r="AAC201" s="26"/>
      <c r="AAD201" s="26"/>
      <c r="AAE201" s="26"/>
      <c r="AAF201" s="26"/>
      <c r="AAG201" s="26"/>
      <c r="AAH201" s="26"/>
      <c r="AAI201" s="26"/>
      <c r="AAJ201" s="26"/>
      <c r="AAK201" s="26"/>
      <c r="AAL201" s="26"/>
      <c r="AAM201" s="26"/>
      <c r="AAN201" s="26"/>
      <c r="AAO201" s="26"/>
      <c r="AAP201" s="26"/>
      <c r="AAQ201" s="26"/>
      <c r="AAR201" s="26"/>
      <c r="AAS201" s="26"/>
      <c r="AAT201" s="26"/>
      <c r="AAU201" s="26"/>
      <c r="AAV201" s="26"/>
      <c r="AAW201" s="26"/>
      <c r="AAX201" s="26"/>
      <c r="AAY201" s="26"/>
      <c r="AAZ201" s="26"/>
      <c r="ABA201" s="26"/>
      <c r="ABB201" s="26"/>
      <c r="ABC201" s="26"/>
      <c r="ABD201" s="26"/>
      <c r="ABE201" s="26"/>
      <c r="ABF201" s="26"/>
      <c r="ABG201" s="26"/>
      <c r="ABH201" s="26"/>
      <c r="ABI201" s="26"/>
      <c r="ABJ201" s="26"/>
      <c r="ABK201" s="26"/>
      <c r="ABL201" s="26"/>
      <c r="ABM201" s="26"/>
      <c r="ABN201" s="26"/>
      <c r="ABO201" s="26"/>
      <c r="ABP201" s="26"/>
      <c r="ABQ201" s="26"/>
      <c r="ABR201" s="26"/>
      <c r="ABS201" s="26"/>
      <c r="ABT201" s="26"/>
      <c r="ABU201" s="26"/>
      <c r="ABV201" s="26"/>
      <c r="ABW201" s="26"/>
      <c r="ABX201" s="26"/>
      <c r="ABY201" s="26"/>
      <c r="ABZ201" s="26"/>
      <c r="ACA201" s="26"/>
      <c r="ACB201" s="26"/>
      <c r="ACC201" s="26"/>
      <c r="ACD201" s="26"/>
      <c r="ACE201" s="26"/>
      <c r="ACF201" s="26"/>
      <c r="ACG201" s="26"/>
      <c r="ACH201" s="26"/>
      <c r="ACI201" s="26"/>
      <c r="ACJ201" s="26"/>
      <c r="ACK201" s="26"/>
      <c r="ACL201" s="26"/>
      <c r="ACM201" s="26"/>
      <c r="ACN201" s="26"/>
      <c r="ACO201" s="26"/>
      <c r="ACP201" s="26"/>
      <c r="ACQ201" s="26"/>
      <c r="ACR201" s="26"/>
      <c r="ACS201" s="26"/>
      <c r="ACT201" s="26"/>
      <c r="ACU201" s="26"/>
      <c r="ACV201" s="26"/>
      <c r="ACW201" s="26"/>
      <c r="ACX201" s="26"/>
      <c r="ACY201" s="26"/>
      <c r="ACZ201" s="26"/>
      <c r="ADA201" s="26"/>
      <c r="ADB201" s="26"/>
      <c r="ADC201" s="26"/>
      <c r="ADD201" s="26"/>
      <c r="ADE201" s="26"/>
      <c r="ADF201" s="26"/>
      <c r="ADG201" s="26"/>
      <c r="ADH201" s="26"/>
      <c r="ADI201" s="26"/>
      <c r="ADJ201" s="26"/>
      <c r="ADK201" s="26"/>
      <c r="ADL201" s="26"/>
      <c r="ADM201" s="26"/>
      <c r="ADN201" s="26"/>
      <c r="ADO201" s="26"/>
      <c r="ADP201" s="26"/>
      <c r="ADQ201" s="26"/>
      <c r="ADR201" s="26"/>
      <c r="ADS201" s="26"/>
      <c r="ADT201" s="26"/>
      <c r="ADU201" s="26"/>
      <c r="ADV201" s="26"/>
      <c r="ADW201" s="26"/>
      <c r="ADX201" s="26"/>
      <c r="ADY201" s="26"/>
      <c r="ADZ201" s="26"/>
      <c r="AEA201" s="26"/>
      <c r="AEB201" s="26"/>
      <c r="AEC201" s="26"/>
      <c r="AED201" s="26"/>
      <c r="AEE201" s="26"/>
      <c r="AEF201" s="26"/>
      <c r="AEG201" s="26"/>
      <c r="AEH201" s="26"/>
      <c r="AEI201" s="26"/>
      <c r="AEJ201" s="26"/>
      <c r="AEK201" s="26"/>
      <c r="AEL201" s="26"/>
      <c r="AEM201" s="26"/>
      <c r="AEN201" s="26"/>
      <c r="AEO201" s="26"/>
      <c r="AEP201" s="26"/>
      <c r="AEQ201" s="26"/>
      <c r="AER201" s="26"/>
      <c r="AES201" s="26"/>
      <c r="AET201" s="26"/>
      <c r="AEU201" s="26"/>
      <c r="AEV201" s="26"/>
      <c r="AEW201" s="26"/>
      <c r="AEX201" s="26"/>
      <c r="AEY201" s="26"/>
      <c r="AEZ201" s="26"/>
      <c r="AFA201" s="26"/>
      <c r="AFB201" s="26"/>
      <c r="AFC201" s="26"/>
      <c r="AFD201" s="26"/>
      <c r="AFE201" s="26"/>
      <c r="AFF201" s="26"/>
      <c r="AFG201" s="26"/>
      <c r="AFH201" s="26"/>
      <c r="AFI201" s="26"/>
      <c r="AFJ201" s="26"/>
      <c r="AFK201" s="26"/>
      <c r="AFL201" s="26"/>
      <c r="AFM201" s="26"/>
      <c r="AFN201" s="26"/>
      <c r="AFO201" s="26"/>
      <c r="AFP201" s="26"/>
      <c r="AFQ201" s="26"/>
      <c r="AFR201" s="26"/>
      <c r="AFS201" s="26"/>
      <c r="AFT201" s="26"/>
      <c r="AFU201" s="26"/>
      <c r="AFV201" s="26"/>
      <c r="AFW201" s="26"/>
      <c r="AFX201" s="26"/>
      <c r="AFY201" s="26"/>
      <c r="AFZ201" s="26"/>
      <c r="AGA201" s="26"/>
      <c r="AGB201" s="26"/>
      <c r="AGC201" s="26"/>
      <c r="AGD201" s="26"/>
      <c r="AGE201" s="26"/>
      <c r="AGF201" s="26"/>
      <c r="AGG201" s="26"/>
      <c r="AGH201" s="26"/>
      <c r="AGI201" s="26"/>
      <c r="AGJ201" s="26"/>
      <c r="AGK201" s="26"/>
      <c r="AGL201" s="26"/>
      <c r="AGM201" s="26"/>
      <c r="AGN201" s="26"/>
      <c r="AGO201" s="26"/>
      <c r="AGP201" s="26"/>
      <c r="AGQ201" s="26"/>
      <c r="AGR201" s="26"/>
      <c r="AGS201" s="26"/>
      <c r="AGT201" s="26"/>
      <c r="AGU201" s="26"/>
      <c r="AGV201" s="26"/>
      <c r="AGW201" s="26"/>
      <c r="AGX201" s="26"/>
      <c r="AGY201" s="26"/>
      <c r="AGZ201" s="26"/>
      <c r="AHA201" s="26"/>
      <c r="AHB201" s="26"/>
      <c r="AHC201" s="26"/>
      <c r="AHD201" s="26"/>
      <c r="AHE201" s="26"/>
      <c r="AHF201" s="26"/>
      <c r="AHG201" s="26"/>
      <c r="AHH201" s="26"/>
      <c r="AHI201" s="26"/>
      <c r="AHJ201" s="26"/>
      <c r="AHK201" s="26"/>
      <c r="AHL201" s="26"/>
      <c r="AHM201" s="26"/>
      <c r="AHN201" s="26"/>
      <c r="AHO201" s="26"/>
      <c r="AHP201" s="26"/>
      <c r="AHQ201" s="26"/>
      <c r="AHR201" s="26"/>
      <c r="AHS201" s="26"/>
      <c r="AHT201" s="26"/>
      <c r="AHU201" s="26"/>
      <c r="AHV201" s="26"/>
      <c r="AHW201" s="26"/>
      <c r="AHX201" s="26"/>
      <c r="AHY201" s="26"/>
      <c r="AHZ201" s="26"/>
      <c r="AIA201" s="26"/>
      <c r="AIB201" s="26"/>
      <c r="AIC201" s="26"/>
      <c r="AID201" s="26"/>
      <c r="AIE201" s="26"/>
      <c r="AIF201" s="26"/>
      <c r="AIG201" s="26"/>
      <c r="AIH201" s="26"/>
      <c r="AII201" s="26"/>
      <c r="AIJ201" s="26"/>
      <c r="AIK201" s="26"/>
      <c r="AIL201" s="26"/>
      <c r="AIM201" s="26"/>
      <c r="AIN201" s="26"/>
      <c r="AIO201" s="26"/>
      <c r="AIP201" s="26"/>
      <c r="AIQ201" s="26"/>
      <c r="AIR201" s="26"/>
      <c r="AIS201" s="26"/>
      <c r="AIT201" s="26"/>
      <c r="AIU201" s="26"/>
      <c r="AIV201" s="26"/>
      <c r="AIW201" s="26"/>
      <c r="AIX201" s="26"/>
      <c r="AIY201" s="26"/>
      <c r="AIZ201" s="26"/>
      <c r="AJA201" s="26"/>
      <c r="AJB201" s="26"/>
      <c r="AJC201" s="26"/>
      <c r="AJD201" s="26"/>
      <c r="AJE201" s="26"/>
      <c r="AJF201" s="26"/>
      <c r="AJG201" s="26"/>
      <c r="AJH201" s="26"/>
      <c r="AJI201" s="26"/>
      <c r="AJJ201" s="26"/>
      <c r="AJK201" s="26"/>
      <c r="AJL201" s="26"/>
      <c r="AJM201" s="26"/>
      <c r="AJN201" s="26"/>
      <c r="AJO201" s="26"/>
      <c r="AJP201" s="26"/>
      <c r="AJQ201" s="26"/>
      <c r="AJR201" s="26"/>
      <c r="AJS201" s="26"/>
      <c r="AJT201" s="26"/>
      <c r="AJU201" s="26"/>
      <c r="AJV201" s="26"/>
      <c r="AJW201" s="26"/>
      <c r="AJX201" s="26"/>
      <c r="AJY201" s="26"/>
      <c r="AJZ201" s="26"/>
      <c r="AKA201" s="26"/>
      <c r="AKB201" s="26"/>
      <c r="AKC201" s="26"/>
      <c r="AKD201" s="26"/>
      <c r="AKE201" s="26"/>
      <c r="AKF201" s="26"/>
      <c r="AKG201" s="26"/>
      <c r="AKH201" s="26"/>
      <c r="AKI201" s="26"/>
      <c r="AKJ201" s="26"/>
      <c r="AKK201" s="26"/>
      <c r="AKL201" s="26"/>
      <c r="AKM201" s="26"/>
      <c r="AKN201" s="26"/>
      <c r="AKO201" s="26"/>
      <c r="AKP201" s="26"/>
      <c r="AKQ201" s="26"/>
      <c r="AKR201" s="26"/>
      <c r="AKS201" s="26"/>
      <c r="AKT201" s="26"/>
      <c r="AKU201" s="26"/>
      <c r="AKV201" s="26"/>
      <c r="AKW201" s="26"/>
      <c r="AKX201" s="26"/>
      <c r="AKY201" s="26"/>
      <c r="AKZ201" s="26"/>
      <c r="ALA201" s="26"/>
      <c r="ALB201" s="26"/>
      <c r="ALC201" s="26"/>
      <c r="ALD201" s="26"/>
      <c r="ALE201" s="26"/>
      <c r="ALF201" s="26"/>
      <c r="ALG201" s="26"/>
      <c r="ALH201" s="26"/>
      <c r="ALI201" s="26"/>
      <c r="ALJ201" s="26"/>
      <c r="ALK201" s="26"/>
      <c r="ALL201" s="26"/>
      <c r="ALM201" s="26"/>
      <c r="ALN201" s="26"/>
      <c r="ALO201" s="26"/>
      <c r="ALP201" s="26"/>
      <c r="ALQ201" s="26"/>
      <c r="ALR201" s="26"/>
      <c r="ALS201" s="26"/>
      <c r="ALT201" s="26"/>
      <c r="ALU201" s="26"/>
      <c r="ALV201" s="26"/>
      <c r="ALW201" s="26"/>
      <c r="ALX201" s="26"/>
      <c r="ALY201" s="26"/>
      <c r="ALZ201" s="26"/>
      <c r="AMA201" s="26"/>
      <c r="AMB201" s="26"/>
      <c r="AMC201" s="26"/>
      <c r="AMD201" s="26"/>
      <c r="AME201" s="26"/>
      <c r="AMF201" s="26"/>
      <c r="AMG201" s="26"/>
      <c r="AMH201" s="26"/>
      <c r="AMI201" s="26"/>
      <c r="AMJ201" s="26"/>
      <c r="AMK201" s="26"/>
      <c r="AML201" s="26"/>
      <c r="AMM201" s="26"/>
      <c r="AMN201" s="26"/>
      <c r="AMO201" s="26"/>
      <c r="AMP201" s="26"/>
      <c r="AMQ201" s="26"/>
      <c r="AMR201" s="26"/>
      <c r="AMS201" s="26"/>
      <c r="AMT201" s="26"/>
      <c r="AMU201" s="26"/>
      <c r="AMV201" s="26"/>
      <c r="AMW201" s="26"/>
      <c r="AMX201" s="26"/>
      <c r="AMY201" s="26"/>
      <c r="AMZ201" s="26"/>
      <c r="ANA201" s="26"/>
      <c r="ANB201" s="26"/>
      <c r="ANC201" s="26"/>
      <c r="AND201" s="26"/>
      <c r="ANE201" s="26"/>
      <c r="ANF201" s="26"/>
      <c r="ANG201" s="26"/>
      <c r="ANH201" s="26"/>
      <c r="ANI201" s="26"/>
      <c r="ANJ201" s="26"/>
      <c r="ANK201" s="26"/>
      <c r="ANL201" s="26"/>
      <c r="ANM201" s="26"/>
      <c r="ANN201" s="26"/>
      <c r="ANO201" s="26"/>
      <c r="ANP201" s="26"/>
      <c r="ANQ201" s="26"/>
      <c r="ANR201" s="26"/>
      <c r="ANS201" s="26"/>
      <c r="ANT201" s="26"/>
      <c r="ANU201" s="26"/>
      <c r="ANV201" s="26"/>
      <c r="ANW201" s="26"/>
      <c r="ANX201" s="26"/>
      <c r="ANY201" s="26"/>
      <c r="ANZ201" s="26"/>
      <c r="AOA201" s="26"/>
      <c r="AOB201" s="26"/>
      <c r="AOC201" s="26"/>
      <c r="AOD201" s="26"/>
      <c r="AOE201" s="26"/>
      <c r="AOF201" s="26"/>
      <c r="AOG201" s="26"/>
      <c r="AOH201" s="26"/>
      <c r="AOI201" s="26"/>
      <c r="AOJ201" s="26"/>
      <c r="AOK201" s="26"/>
      <c r="AOL201" s="26"/>
      <c r="AOM201" s="26"/>
      <c r="AON201" s="26"/>
      <c r="AOO201" s="26"/>
      <c r="AOP201" s="26"/>
      <c r="AOQ201" s="26"/>
      <c r="AOR201" s="26"/>
      <c r="AOS201" s="26"/>
      <c r="AOT201" s="26"/>
      <c r="AOU201" s="26"/>
      <c r="AOV201" s="26"/>
      <c r="AOW201" s="26"/>
      <c r="AOX201" s="26"/>
      <c r="AOY201" s="26"/>
      <c r="AOZ201" s="26"/>
      <c r="APA201" s="26"/>
      <c r="APB201" s="26"/>
      <c r="APC201" s="26"/>
      <c r="APD201" s="26"/>
      <c r="APE201" s="26"/>
      <c r="APF201" s="26"/>
      <c r="APG201" s="26"/>
      <c r="APH201" s="26"/>
      <c r="API201" s="26"/>
      <c r="APJ201" s="26"/>
      <c r="APK201" s="26"/>
      <c r="APL201" s="26"/>
      <c r="APM201" s="26"/>
      <c r="APN201" s="26"/>
      <c r="APO201" s="26"/>
      <c r="APP201" s="26"/>
      <c r="APQ201" s="26"/>
      <c r="APR201" s="26"/>
      <c r="APS201" s="26"/>
      <c r="APT201" s="26"/>
      <c r="APU201" s="26"/>
      <c r="APV201" s="26"/>
      <c r="APW201" s="26"/>
      <c r="APX201" s="26"/>
      <c r="APY201" s="26"/>
      <c r="APZ201" s="26"/>
      <c r="AQA201" s="26"/>
      <c r="AQB201" s="26"/>
      <c r="AQC201" s="26"/>
      <c r="AQD201" s="26"/>
      <c r="AQE201" s="26"/>
      <c r="AQF201" s="26"/>
      <c r="AQG201" s="26"/>
      <c r="AQH201" s="26"/>
      <c r="AQI201" s="26"/>
      <c r="AQJ201" s="26"/>
      <c r="AQK201" s="26"/>
      <c r="AQL201" s="26"/>
      <c r="AQM201" s="26"/>
      <c r="AQN201" s="26"/>
      <c r="AQO201" s="26"/>
      <c r="AQP201" s="26"/>
      <c r="AQQ201" s="26"/>
      <c r="AQR201" s="26"/>
      <c r="AQS201" s="26"/>
      <c r="AQT201" s="26"/>
      <c r="AQU201" s="26"/>
      <c r="AQV201" s="26"/>
      <c r="AQW201" s="26"/>
      <c r="AQX201" s="26"/>
      <c r="AQY201" s="26"/>
      <c r="AQZ201" s="26"/>
      <c r="ARA201" s="26"/>
      <c r="ARB201" s="26"/>
      <c r="ARC201" s="26"/>
      <c r="ARD201" s="26"/>
      <c r="ARE201" s="26"/>
      <c r="ARF201" s="26"/>
      <c r="ARG201" s="26"/>
      <c r="ARH201" s="26"/>
      <c r="ARI201" s="26"/>
      <c r="ARJ201" s="26"/>
      <c r="ARK201" s="26"/>
      <c r="ARL201" s="26"/>
      <c r="ARM201" s="26"/>
      <c r="ARN201" s="26"/>
      <c r="ARO201" s="26"/>
      <c r="ARP201" s="26"/>
      <c r="ARQ201" s="26"/>
      <c r="ARR201" s="26"/>
      <c r="ARS201" s="26"/>
      <c r="ART201" s="26"/>
      <c r="ARU201" s="26"/>
      <c r="ARV201" s="26"/>
      <c r="ARW201" s="26"/>
      <c r="ARX201" s="26"/>
      <c r="ARY201" s="26"/>
      <c r="ARZ201" s="26"/>
      <c r="ASA201" s="26"/>
      <c r="ASB201" s="26"/>
      <c r="ASC201" s="26"/>
      <c r="ASD201" s="26"/>
      <c r="ASE201" s="26"/>
      <c r="ASF201" s="26"/>
      <c r="ASG201" s="26"/>
      <c r="ASH201" s="26"/>
      <c r="ASI201" s="26"/>
      <c r="ASJ201" s="26"/>
      <c r="ASK201" s="26"/>
      <c r="ASL201" s="26"/>
      <c r="ASM201" s="26"/>
      <c r="ASN201" s="26"/>
      <c r="ASO201" s="26"/>
      <c r="ASP201" s="26"/>
      <c r="ASQ201" s="26"/>
      <c r="ASR201" s="26"/>
      <c r="ASS201" s="26"/>
      <c r="AST201" s="26"/>
      <c r="ASU201" s="26"/>
      <c r="ASV201" s="26"/>
      <c r="ASW201" s="26"/>
      <c r="ASX201" s="26"/>
      <c r="ASY201" s="26"/>
      <c r="ASZ201" s="26"/>
      <c r="ATA201" s="26"/>
      <c r="ATB201" s="26"/>
      <c r="ATC201" s="26"/>
      <c r="ATD201" s="26"/>
      <c r="ATE201" s="26"/>
      <c r="ATF201" s="26"/>
      <c r="ATG201" s="26"/>
      <c r="ATH201" s="26"/>
      <c r="ATI201" s="26"/>
      <c r="ATJ201" s="26"/>
      <c r="ATK201" s="26"/>
      <c r="ATL201" s="26"/>
      <c r="ATM201" s="26"/>
      <c r="ATN201" s="26"/>
      <c r="ATO201" s="26"/>
      <c r="ATP201" s="26"/>
      <c r="ATQ201" s="26"/>
      <c r="ATR201" s="26"/>
      <c r="ATS201" s="26"/>
      <c r="ATT201" s="26"/>
      <c r="ATU201" s="26"/>
      <c r="ATV201" s="26"/>
      <c r="ATW201" s="26"/>
      <c r="ATX201" s="26"/>
      <c r="ATY201" s="26"/>
      <c r="ATZ201" s="26"/>
      <c r="AUA201" s="26"/>
      <c r="AUB201" s="26"/>
      <c r="AUC201" s="26"/>
      <c r="AUD201" s="26"/>
      <c r="AUE201" s="26"/>
      <c r="AUF201" s="26"/>
      <c r="AUG201" s="26"/>
      <c r="AUH201" s="26"/>
      <c r="AUI201" s="26"/>
      <c r="AUJ201" s="26"/>
      <c r="AUK201" s="26"/>
      <c r="AUL201" s="26"/>
      <c r="AUM201" s="26"/>
      <c r="AUN201" s="26"/>
      <c r="AUO201" s="26"/>
      <c r="AUP201" s="26"/>
      <c r="AUQ201" s="26"/>
      <c r="AUR201" s="26"/>
      <c r="AUS201" s="26"/>
      <c r="AUT201" s="26"/>
      <c r="AUU201" s="26"/>
      <c r="AUV201" s="26"/>
      <c r="AUW201" s="26"/>
      <c r="AUX201" s="26"/>
      <c r="AUY201" s="26"/>
      <c r="AUZ201" s="26"/>
      <c r="AVA201" s="26"/>
      <c r="AVB201" s="26"/>
      <c r="AVC201" s="26"/>
      <c r="AVD201" s="26"/>
      <c r="AVE201" s="26"/>
      <c r="AVF201" s="26"/>
      <c r="AVG201" s="26"/>
      <c r="AVH201" s="26"/>
      <c r="AVI201" s="26"/>
      <c r="AVJ201" s="26"/>
      <c r="AVK201" s="26"/>
      <c r="AVL201" s="26"/>
      <c r="AVM201" s="26"/>
      <c r="AVN201" s="26"/>
      <c r="AVO201" s="26"/>
      <c r="AVP201" s="26"/>
      <c r="AVQ201" s="26"/>
      <c r="AVR201" s="26"/>
      <c r="AVS201" s="26"/>
      <c r="AVT201" s="26"/>
      <c r="AVU201" s="26"/>
      <c r="AVV201" s="26"/>
      <c r="AVW201" s="26"/>
      <c r="AVX201" s="26"/>
      <c r="AVY201" s="26"/>
      <c r="AVZ201" s="26"/>
      <c r="AWA201" s="26"/>
      <c r="AWB201" s="26"/>
      <c r="AWC201" s="26"/>
      <c r="AWD201" s="26"/>
      <c r="AWE201" s="26"/>
      <c r="AWF201" s="26"/>
      <c r="AWG201" s="26"/>
      <c r="AWH201" s="26"/>
      <c r="AWI201" s="26"/>
      <c r="AWJ201" s="26"/>
      <c r="AWK201" s="26"/>
      <c r="AWL201" s="26"/>
      <c r="AWM201" s="26"/>
      <c r="AWN201" s="26"/>
      <c r="AWO201" s="26"/>
      <c r="AWP201" s="26"/>
      <c r="AWQ201" s="26"/>
      <c r="AWR201" s="26"/>
      <c r="AWS201" s="26"/>
      <c r="AWT201" s="26"/>
      <c r="AWU201" s="26"/>
      <c r="AWV201" s="26"/>
      <c r="AWW201" s="26"/>
      <c r="AWX201" s="26"/>
      <c r="AWY201" s="26"/>
      <c r="AWZ201" s="26"/>
      <c r="AXA201" s="26"/>
      <c r="AXB201" s="26"/>
      <c r="AXC201" s="26"/>
      <c r="AXD201" s="26"/>
      <c r="AXE201" s="26"/>
      <c r="AXF201" s="26"/>
      <c r="AXG201" s="26"/>
      <c r="AXH201" s="26"/>
      <c r="AXI201" s="26"/>
      <c r="AXJ201" s="26"/>
      <c r="AXK201" s="26"/>
      <c r="AXL201" s="26"/>
      <c r="AXM201" s="26"/>
      <c r="AXN201" s="26"/>
      <c r="AXO201" s="26"/>
      <c r="AXP201" s="26"/>
      <c r="AXQ201" s="26"/>
      <c r="AXR201" s="26"/>
      <c r="AXS201" s="26"/>
      <c r="AXT201" s="26"/>
      <c r="AXU201" s="26"/>
      <c r="AXV201" s="26"/>
      <c r="AXW201" s="26"/>
      <c r="AXX201" s="26"/>
      <c r="AXY201" s="26"/>
      <c r="AXZ201" s="26"/>
      <c r="AYA201" s="26"/>
      <c r="AYB201" s="26"/>
      <c r="AYC201" s="26"/>
      <c r="AYD201" s="26"/>
      <c r="AYE201" s="26"/>
      <c r="AYF201" s="26"/>
      <c r="AYG201" s="26"/>
      <c r="AYH201" s="26"/>
      <c r="AYI201" s="26"/>
      <c r="AYJ201" s="26"/>
      <c r="AYK201" s="26"/>
      <c r="AYL201" s="26"/>
      <c r="AYM201" s="26"/>
      <c r="AYN201" s="26"/>
      <c r="AYO201" s="26"/>
      <c r="AYP201" s="26"/>
      <c r="AYQ201" s="26"/>
      <c r="AYR201" s="26"/>
      <c r="AYS201" s="26"/>
      <c r="AYT201" s="26"/>
      <c r="AYU201" s="26"/>
      <c r="AYV201" s="26"/>
      <c r="AYW201" s="26"/>
      <c r="AYX201" s="26"/>
      <c r="AYY201" s="26"/>
      <c r="AYZ201" s="26"/>
      <c r="AZA201" s="26"/>
      <c r="AZB201" s="26"/>
      <c r="AZC201" s="26"/>
      <c r="AZD201" s="26"/>
      <c r="AZE201" s="26"/>
      <c r="AZF201" s="26"/>
      <c r="AZG201" s="26"/>
      <c r="AZH201" s="26"/>
      <c r="AZI201" s="26"/>
      <c r="AZJ201" s="26"/>
      <c r="AZK201" s="26"/>
      <c r="AZL201" s="26"/>
      <c r="AZM201" s="26"/>
      <c r="AZN201" s="26"/>
      <c r="AZO201" s="26"/>
      <c r="AZP201" s="26"/>
      <c r="AZQ201" s="26"/>
      <c r="AZR201" s="26"/>
      <c r="AZS201" s="26"/>
      <c r="AZT201" s="26"/>
      <c r="AZU201" s="26"/>
      <c r="AZV201" s="26"/>
      <c r="AZW201" s="26"/>
      <c r="AZX201" s="26"/>
      <c r="AZY201" s="26"/>
      <c r="AZZ201" s="26"/>
      <c r="BAA201" s="26"/>
      <c r="BAB201" s="26"/>
      <c r="BAC201" s="26"/>
      <c r="BAD201" s="26"/>
      <c r="BAE201" s="26"/>
      <c r="BAF201" s="26"/>
      <c r="BAG201" s="26"/>
      <c r="BAH201" s="26"/>
      <c r="BAI201" s="26"/>
      <c r="BAJ201" s="26"/>
      <c r="BAK201" s="26"/>
      <c r="BAL201" s="26"/>
      <c r="BAM201" s="26"/>
      <c r="BAN201" s="26"/>
      <c r="BAO201" s="26"/>
      <c r="BAP201" s="26"/>
      <c r="BAQ201" s="26"/>
      <c r="BAR201" s="26"/>
      <c r="BAS201" s="26"/>
      <c r="BAT201" s="26"/>
      <c r="BAU201" s="26"/>
      <c r="BAV201" s="26"/>
      <c r="BAW201" s="26"/>
      <c r="BAX201" s="26"/>
      <c r="BAY201" s="26"/>
      <c r="BAZ201" s="26"/>
      <c r="BBA201" s="26"/>
      <c r="BBB201" s="26"/>
      <c r="BBC201" s="26"/>
      <c r="BBD201" s="26"/>
      <c r="BBE201" s="26"/>
      <c r="BBF201" s="26"/>
      <c r="BBG201" s="26"/>
      <c r="BBH201" s="26"/>
      <c r="BBI201" s="26"/>
      <c r="BBJ201" s="26"/>
      <c r="BBK201" s="26"/>
      <c r="BBL201" s="26"/>
      <c r="BBM201" s="26"/>
      <c r="BBN201" s="26"/>
      <c r="BBO201" s="26"/>
      <c r="BBP201" s="26"/>
      <c r="BBQ201" s="26"/>
      <c r="BBR201" s="26"/>
      <c r="BBS201" s="26"/>
      <c r="BBT201" s="26"/>
      <c r="BBU201" s="26"/>
      <c r="BBV201" s="26"/>
      <c r="BBW201" s="26"/>
      <c r="BBX201" s="26"/>
      <c r="BBY201" s="26"/>
      <c r="BBZ201" s="26"/>
      <c r="BCA201" s="26"/>
      <c r="BCB201" s="26"/>
      <c r="BCC201" s="26"/>
      <c r="BCD201" s="26"/>
      <c r="BCE201" s="26"/>
      <c r="BCF201" s="26"/>
      <c r="BCG201" s="26"/>
      <c r="BCH201" s="26"/>
      <c r="BCI201" s="26"/>
      <c r="BCJ201" s="26"/>
      <c r="BCK201" s="26"/>
      <c r="BCL201" s="26"/>
      <c r="BCM201" s="26"/>
      <c r="BCN201" s="26"/>
      <c r="BCO201" s="26"/>
      <c r="BCP201" s="26"/>
      <c r="BCQ201" s="26"/>
      <c r="BCR201" s="26"/>
      <c r="BCS201" s="26"/>
      <c r="BCT201" s="26"/>
      <c r="BCU201" s="26"/>
      <c r="BCV201" s="26"/>
      <c r="BCW201" s="26"/>
      <c r="BCX201" s="26"/>
      <c r="BCY201" s="26"/>
      <c r="BCZ201" s="26"/>
      <c r="BDA201" s="26"/>
      <c r="BDB201" s="26"/>
      <c r="BDC201" s="26"/>
      <c r="BDD201" s="26"/>
      <c r="BDE201" s="26"/>
      <c r="BDF201" s="26"/>
      <c r="BDG201" s="26"/>
      <c r="BDH201" s="26"/>
      <c r="BDI201" s="26"/>
      <c r="BDJ201" s="26"/>
      <c r="BDK201" s="26"/>
      <c r="BDL201" s="26"/>
      <c r="BDM201" s="26"/>
      <c r="BDN201" s="26"/>
      <c r="BDO201" s="26"/>
      <c r="BDP201" s="26"/>
      <c r="BDQ201" s="26"/>
      <c r="BDR201" s="26"/>
      <c r="BDS201" s="26"/>
      <c r="BDT201" s="26"/>
      <c r="BDU201" s="26"/>
      <c r="BDV201" s="26"/>
      <c r="BDW201" s="26"/>
      <c r="BDX201" s="26"/>
      <c r="BDY201" s="26"/>
      <c r="BDZ201" s="26"/>
      <c r="BEA201" s="26"/>
      <c r="BEB201" s="26"/>
      <c r="BEC201" s="26"/>
      <c r="BED201" s="26"/>
      <c r="BEE201" s="26"/>
      <c r="BEF201" s="26"/>
      <c r="BEG201" s="26"/>
      <c r="BEH201" s="26"/>
      <c r="BEI201" s="26"/>
      <c r="BEJ201" s="26"/>
      <c r="BEK201" s="26"/>
      <c r="BEL201" s="26"/>
      <c r="BEM201" s="26"/>
      <c r="BEN201" s="26"/>
      <c r="BEO201" s="26"/>
      <c r="BEP201" s="26"/>
      <c r="BEQ201" s="26"/>
      <c r="BER201" s="26"/>
      <c r="BES201" s="26"/>
      <c r="BET201" s="26"/>
      <c r="BEU201" s="26"/>
      <c r="BEV201" s="26"/>
      <c r="BEW201" s="26"/>
      <c r="BEX201" s="26"/>
      <c r="BEY201" s="26"/>
      <c r="BEZ201" s="26"/>
      <c r="BFA201" s="26"/>
      <c r="BFB201" s="26"/>
      <c r="BFC201" s="26"/>
      <c r="BFD201" s="26"/>
      <c r="BFE201" s="26"/>
      <c r="BFF201" s="26"/>
      <c r="BFG201" s="26"/>
      <c r="BFH201" s="26"/>
      <c r="BFI201" s="26"/>
      <c r="BFJ201" s="26"/>
      <c r="BFK201" s="26"/>
      <c r="BFL201" s="26"/>
      <c r="BFM201" s="26"/>
      <c r="BFN201" s="26"/>
      <c r="BFO201" s="26"/>
      <c r="BFP201" s="26"/>
      <c r="BFQ201" s="26"/>
      <c r="BFR201" s="26"/>
      <c r="BFS201" s="26"/>
      <c r="BFT201" s="26"/>
      <c r="BFU201" s="26"/>
      <c r="BFV201" s="26"/>
      <c r="BFW201" s="26"/>
      <c r="BFX201" s="26"/>
      <c r="BFY201" s="26"/>
      <c r="BFZ201" s="26"/>
      <c r="BGA201" s="26"/>
      <c r="BGB201" s="26"/>
      <c r="BGC201" s="26"/>
      <c r="BGD201" s="26"/>
      <c r="BGE201" s="26"/>
      <c r="BGF201" s="26"/>
      <c r="BGG201" s="26"/>
      <c r="BGH201" s="26"/>
      <c r="BGI201" s="26"/>
      <c r="BGJ201" s="26"/>
      <c r="BGK201" s="26"/>
      <c r="BGL201" s="26"/>
      <c r="BGM201" s="26"/>
      <c r="BGN201" s="26"/>
      <c r="BGO201" s="26"/>
      <c r="BGP201" s="26"/>
      <c r="BGQ201" s="26"/>
      <c r="BGR201" s="26"/>
      <c r="BGS201" s="26"/>
      <c r="BGT201" s="26"/>
      <c r="BGU201" s="26"/>
      <c r="BGV201" s="26"/>
      <c r="BGW201" s="26"/>
      <c r="BGX201" s="26"/>
      <c r="BGY201" s="26"/>
      <c r="BGZ201" s="26"/>
      <c r="BHA201" s="26"/>
      <c r="BHB201" s="26"/>
      <c r="BHC201" s="26"/>
      <c r="BHD201" s="26"/>
      <c r="BHE201" s="26"/>
      <c r="BHF201" s="26"/>
      <c r="BHG201" s="26"/>
      <c r="BHH201" s="26"/>
      <c r="BHI201" s="26"/>
      <c r="BHJ201" s="26"/>
      <c r="BHK201" s="26"/>
      <c r="BHL201" s="26"/>
      <c r="BHM201" s="26"/>
      <c r="BHN201" s="26"/>
      <c r="BHO201" s="26"/>
      <c r="BHP201" s="26"/>
      <c r="BHQ201" s="26"/>
      <c r="BHR201" s="26"/>
      <c r="BHS201" s="26"/>
      <c r="BHT201" s="26"/>
      <c r="BHU201" s="26"/>
      <c r="BHV201" s="26"/>
      <c r="BHW201" s="26"/>
      <c r="BHX201" s="26"/>
      <c r="BHY201" s="26"/>
      <c r="BHZ201" s="26"/>
      <c r="BIA201" s="26"/>
      <c r="BIB201" s="26"/>
      <c r="BIC201" s="26"/>
      <c r="BID201" s="26"/>
      <c r="BIE201" s="26"/>
      <c r="BIF201" s="26"/>
      <c r="BIG201" s="26"/>
      <c r="BIH201" s="26"/>
      <c r="BII201" s="26"/>
      <c r="BIJ201" s="26"/>
      <c r="BIK201" s="26"/>
      <c r="BIL201" s="26"/>
      <c r="BIM201" s="26"/>
      <c r="BIN201" s="26"/>
      <c r="BIO201" s="26"/>
      <c r="BIP201" s="26"/>
      <c r="BIQ201" s="26"/>
      <c r="BIR201" s="26"/>
      <c r="BIS201" s="26"/>
      <c r="BIT201" s="26"/>
      <c r="BIU201" s="26"/>
      <c r="BIV201" s="26"/>
      <c r="BIW201" s="26"/>
      <c r="BIX201" s="26"/>
      <c r="BIY201" s="26"/>
      <c r="BIZ201" s="26"/>
      <c r="BJA201" s="26"/>
      <c r="BJB201" s="26"/>
      <c r="BJC201" s="26"/>
      <c r="BJD201" s="26"/>
      <c r="BJE201" s="26"/>
      <c r="BJF201" s="26"/>
      <c r="BJG201" s="26"/>
      <c r="BJH201" s="26"/>
      <c r="BJI201" s="26"/>
      <c r="BJJ201" s="26"/>
      <c r="BJK201" s="26"/>
      <c r="BJL201" s="26"/>
      <c r="BJM201" s="26"/>
      <c r="BJN201" s="26"/>
      <c r="BJO201" s="26"/>
      <c r="BJP201" s="26"/>
      <c r="BJQ201" s="26"/>
      <c r="BJR201" s="26"/>
      <c r="BJS201" s="26"/>
      <c r="BJT201" s="26"/>
      <c r="BJU201" s="26"/>
      <c r="BJV201" s="26"/>
      <c r="BJW201" s="26"/>
      <c r="BJX201" s="26"/>
      <c r="BJY201" s="26"/>
      <c r="BJZ201" s="26"/>
      <c r="BKA201" s="26"/>
      <c r="BKB201" s="26"/>
      <c r="BKC201" s="26"/>
      <c r="BKD201" s="26"/>
      <c r="BKE201" s="26"/>
      <c r="BKF201" s="26"/>
      <c r="BKG201" s="26"/>
      <c r="BKH201" s="26"/>
      <c r="BKI201" s="26"/>
      <c r="BKJ201" s="26"/>
      <c r="BKK201" s="26"/>
      <c r="BKL201" s="26"/>
      <c r="BKM201" s="26"/>
      <c r="BKN201" s="26"/>
      <c r="BKO201" s="26"/>
      <c r="BKP201" s="26"/>
      <c r="BKQ201" s="26"/>
      <c r="BKR201" s="26"/>
      <c r="BKS201" s="26"/>
      <c r="BKT201" s="26"/>
      <c r="BKU201" s="26"/>
      <c r="BKV201" s="26"/>
      <c r="BKW201" s="26"/>
      <c r="BKX201" s="26"/>
      <c r="BKY201" s="26"/>
      <c r="BKZ201" s="26"/>
      <c r="BLA201" s="26"/>
      <c r="BLB201" s="26"/>
      <c r="BLC201" s="26"/>
      <c r="BLD201" s="26"/>
      <c r="BLE201" s="26"/>
      <c r="BLF201" s="26"/>
      <c r="BLG201" s="26"/>
      <c r="BLH201" s="26"/>
      <c r="BLI201" s="26"/>
      <c r="BLJ201" s="26"/>
      <c r="BLK201" s="26"/>
      <c r="BLL201" s="26"/>
      <c r="BLM201" s="26"/>
      <c r="BLN201" s="26"/>
      <c r="BLO201" s="26"/>
      <c r="BLP201" s="26"/>
      <c r="BLQ201" s="26"/>
      <c r="BLR201" s="26"/>
      <c r="BLS201" s="26"/>
      <c r="BLT201" s="26"/>
      <c r="BLU201" s="26"/>
      <c r="BLV201" s="26"/>
      <c r="BLW201" s="26"/>
      <c r="BLX201" s="26"/>
      <c r="BLY201" s="26"/>
      <c r="BLZ201" s="26"/>
      <c r="BMA201" s="26"/>
      <c r="BMB201" s="26"/>
      <c r="BMC201" s="26"/>
      <c r="BMD201" s="26"/>
      <c r="BME201" s="26"/>
      <c r="BMF201" s="26"/>
      <c r="BMG201" s="26"/>
      <c r="BMH201" s="26"/>
      <c r="BMI201" s="26"/>
      <c r="BMJ201" s="26"/>
      <c r="BMK201" s="26"/>
      <c r="BML201" s="26"/>
      <c r="BMM201" s="26"/>
      <c r="BMN201" s="26"/>
      <c r="BMO201" s="26"/>
      <c r="BMP201" s="26"/>
      <c r="BMQ201" s="26"/>
      <c r="BMR201" s="26"/>
      <c r="BMS201" s="26"/>
      <c r="BMT201" s="26"/>
      <c r="BMU201" s="26"/>
      <c r="BMV201" s="26"/>
      <c r="BMW201" s="26"/>
      <c r="BMX201" s="26"/>
      <c r="BMY201" s="26"/>
      <c r="BMZ201" s="26"/>
      <c r="BNA201" s="26"/>
      <c r="BNB201" s="26"/>
      <c r="BNC201" s="26"/>
      <c r="BND201" s="26"/>
      <c r="BNE201" s="26"/>
      <c r="BNF201" s="26"/>
      <c r="BNG201" s="26"/>
      <c r="BNH201" s="26"/>
      <c r="BNI201" s="26"/>
      <c r="BNJ201" s="26"/>
      <c r="BNK201" s="26"/>
      <c r="BNL201" s="26"/>
      <c r="BNM201" s="26"/>
      <c r="BNN201" s="26"/>
      <c r="BNO201" s="26"/>
      <c r="BNP201" s="26"/>
      <c r="BNQ201" s="26"/>
      <c r="BNR201" s="26"/>
      <c r="BNS201" s="26"/>
      <c r="BNT201" s="26"/>
      <c r="BNU201" s="26"/>
      <c r="BNV201" s="26"/>
      <c r="BNW201" s="26"/>
      <c r="BNX201" s="26"/>
      <c r="BNY201" s="26"/>
      <c r="BNZ201" s="26"/>
      <c r="BOA201" s="26"/>
      <c r="BOB201" s="26"/>
      <c r="BOC201" s="26"/>
      <c r="BOD201" s="26"/>
      <c r="BOE201" s="26"/>
      <c r="BOF201" s="26"/>
      <c r="BOG201" s="26"/>
      <c r="BOH201" s="26"/>
      <c r="BOI201" s="26"/>
      <c r="BOJ201" s="26"/>
      <c r="BOK201" s="26"/>
      <c r="BOL201" s="26"/>
      <c r="BOM201" s="26"/>
      <c r="BON201" s="26"/>
      <c r="BOO201" s="26"/>
      <c r="BOP201" s="26"/>
      <c r="BOQ201" s="26"/>
      <c r="BOR201" s="26"/>
      <c r="BOS201" s="26"/>
      <c r="BOT201" s="26"/>
      <c r="BOU201" s="26"/>
      <c r="BOV201" s="26"/>
      <c r="BOW201" s="26"/>
      <c r="BOX201" s="26"/>
      <c r="BOY201" s="26"/>
      <c r="BOZ201" s="26"/>
      <c r="BPA201" s="26"/>
      <c r="BPB201" s="26"/>
      <c r="BPC201" s="26"/>
      <c r="BPD201" s="26"/>
      <c r="BPE201" s="26"/>
      <c r="BPF201" s="26"/>
      <c r="BPG201" s="26"/>
      <c r="BPH201" s="26"/>
      <c r="BPI201" s="26"/>
      <c r="BPJ201" s="26"/>
      <c r="BPK201" s="26"/>
      <c r="BPL201" s="26"/>
      <c r="BPM201" s="26"/>
      <c r="BPN201" s="26"/>
      <c r="BPO201" s="26"/>
      <c r="BPP201" s="26"/>
      <c r="BPQ201" s="26"/>
      <c r="BPR201" s="26"/>
      <c r="BPS201" s="26"/>
      <c r="BPT201" s="26"/>
      <c r="BPU201" s="26"/>
      <c r="BPV201" s="26"/>
      <c r="BPW201" s="26"/>
      <c r="BPX201" s="26"/>
      <c r="BPY201" s="26"/>
      <c r="BPZ201" s="26"/>
      <c r="BQA201" s="26"/>
      <c r="BQB201" s="26"/>
      <c r="BQC201" s="26"/>
      <c r="BQD201" s="26"/>
      <c r="BQE201" s="26"/>
      <c r="BQF201" s="26"/>
      <c r="BQG201" s="26"/>
      <c r="BQH201" s="26"/>
      <c r="BQI201" s="26"/>
      <c r="BQJ201" s="26"/>
      <c r="BQK201" s="26"/>
      <c r="BQL201" s="26"/>
      <c r="BQM201" s="26"/>
      <c r="BQN201" s="26"/>
      <c r="BQO201" s="26"/>
      <c r="BQP201" s="26"/>
      <c r="BQQ201" s="26"/>
      <c r="BQR201" s="26"/>
      <c r="BQS201" s="26"/>
      <c r="BQT201" s="26"/>
      <c r="BQU201" s="26"/>
      <c r="BQV201" s="26"/>
      <c r="BQW201" s="26"/>
      <c r="BQX201" s="26"/>
      <c r="BQY201" s="26"/>
      <c r="BQZ201" s="26"/>
      <c r="BRA201" s="26"/>
      <c r="BRB201" s="26"/>
      <c r="BRC201" s="26"/>
      <c r="BRD201" s="26"/>
      <c r="BRE201" s="26"/>
      <c r="BRF201" s="26"/>
      <c r="BRG201" s="26"/>
      <c r="BRH201" s="26"/>
      <c r="BRI201" s="26"/>
      <c r="BRJ201" s="26"/>
      <c r="BRK201" s="26"/>
      <c r="BRL201" s="26"/>
      <c r="BRM201" s="26"/>
      <c r="BRN201" s="26"/>
      <c r="BRO201" s="26"/>
      <c r="BRP201" s="26"/>
      <c r="BRQ201" s="26"/>
      <c r="BRR201" s="26"/>
      <c r="BRS201" s="26"/>
      <c r="BRT201" s="26"/>
      <c r="BRU201" s="26"/>
      <c r="BRV201" s="26"/>
      <c r="BRW201" s="26"/>
      <c r="BRX201" s="26"/>
      <c r="BRY201" s="26"/>
      <c r="BRZ201" s="26"/>
      <c r="BSA201" s="26"/>
      <c r="BSB201" s="26"/>
      <c r="BSC201" s="26"/>
      <c r="BSD201" s="26"/>
      <c r="BSE201" s="26"/>
      <c r="BSF201" s="26"/>
      <c r="BSG201" s="26"/>
      <c r="BSH201" s="26"/>
      <c r="BSI201" s="26"/>
      <c r="BSJ201" s="26"/>
      <c r="BSK201" s="26"/>
      <c r="BSL201" s="26"/>
      <c r="BSM201" s="26"/>
      <c r="BSN201" s="26"/>
      <c r="BSO201" s="26"/>
      <c r="BSP201" s="26"/>
      <c r="BSQ201" s="26"/>
      <c r="BSR201" s="26"/>
      <c r="BSS201" s="26"/>
      <c r="BST201" s="26"/>
      <c r="BSU201" s="26"/>
      <c r="BSV201" s="26"/>
      <c r="BSW201" s="26"/>
      <c r="BSX201" s="26"/>
      <c r="BSY201" s="26"/>
      <c r="BSZ201" s="26"/>
      <c r="BTA201" s="26"/>
      <c r="BTB201" s="26"/>
      <c r="BTC201" s="26"/>
      <c r="BTD201" s="26"/>
      <c r="BTE201" s="26"/>
      <c r="BTF201" s="26"/>
      <c r="BTG201" s="26"/>
      <c r="BTH201" s="26"/>
      <c r="BTI201" s="26"/>
      <c r="BTJ201" s="26"/>
      <c r="BTK201" s="26"/>
      <c r="BTL201" s="26"/>
      <c r="BTM201" s="26"/>
      <c r="BTN201" s="26"/>
      <c r="BTO201" s="26"/>
      <c r="BTP201" s="26"/>
      <c r="BTQ201" s="26"/>
      <c r="BTR201" s="26"/>
      <c r="BTS201" s="26"/>
      <c r="BTT201" s="26"/>
      <c r="BTU201" s="26"/>
      <c r="BTV201" s="26"/>
      <c r="BTW201" s="26"/>
      <c r="BTX201" s="26"/>
      <c r="BTY201" s="26"/>
      <c r="BTZ201" s="26"/>
      <c r="BUA201" s="26"/>
      <c r="BUB201" s="26"/>
      <c r="BUC201" s="26"/>
      <c r="BUD201" s="26"/>
      <c r="BUE201" s="26"/>
      <c r="BUF201" s="26"/>
      <c r="BUG201" s="26"/>
      <c r="BUH201" s="26"/>
      <c r="BUI201" s="26"/>
      <c r="BUJ201" s="26"/>
      <c r="BUK201" s="26"/>
      <c r="BUL201" s="26"/>
      <c r="BUM201" s="26"/>
      <c r="BUN201" s="26"/>
      <c r="BUO201" s="26"/>
      <c r="BUP201" s="26"/>
      <c r="BUQ201" s="26"/>
      <c r="BUR201" s="26"/>
      <c r="BUS201" s="26"/>
      <c r="BUT201" s="26"/>
      <c r="BUU201" s="26"/>
      <c r="BUV201" s="26"/>
      <c r="BUW201" s="26"/>
      <c r="BUX201" s="26"/>
      <c r="BUY201" s="26"/>
      <c r="BUZ201" s="26"/>
      <c r="BVA201" s="26"/>
      <c r="BVB201" s="26"/>
      <c r="BVC201" s="26"/>
      <c r="BVD201" s="26"/>
      <c r="BVE201" s="26"/>
      <c r="BVF201" s="26"/>
      <c r="BVG201" s="26"/>
      <c r="BVH201" s="26"/>
      <c r="BVI201" s="26"/>
      <c r="BVJ201" s="26"/>
      <c r="BVK201" s="26"/>
      <c r="BVL201" s="26"/>
      <c r="BVM201" s="26"/>
      <c r="BVN201" s="26"/>
      <c r="BVO201" s="26"/>
      <c r="BVP201" s="26"/>
      <c r="BVQ201" s="26"/>
      <c r="BVR201" s="26"/>
      <c r="BVS201" s="26"/>
      <c r="BVT201" s="26"/>
      <c r="BVU201" s="26"/>
      <c r="BVV201" s="26"/>
      <c r="BVW201" s="26"/>
      <c r="BVX201" s="26"/>
      <c r="BVY201" s="26"/>
      <c r="BVZ201" s="26"/>
      <c r="BWA201" s="26"/>
      <c r="BWB201" s="26"/>
      <c r="BWC201" s="26"/>
      <c r="BWD201" s="26"/>
      <c r="BWE201" s="26"/>
      <c r="BWF201" s="26"/>
      <c r="BWG201" s="26"/>
      <c r="BWH201" s="26"/>
      <c r="BWI201" s="26"/>
      <c r="BWJ201" s="26"/>
      <c r="BWK201" s="26"/>
      <c r="BWL201" s="26"/>
      <c r="BWM201" s="26"/>
      <c r="BWN201" s="26"/>
      <c r="BWO201" s="26"/>
      <c r="BWP201" s="26"/>
      <c r="BWQ201" s="26"/>
      <c r="BWR201" s="26"/>
      <c r="BWS201" s="26"/>
      <c r="BWT201" s="26"/>
      <c r="BWU201" s="26"/>
      <c r="BWV201" s="26"/>
      <c r="BWW201" s="26"/>
      <c r="BWX201" s="26"/>
      <c r="BWY201" s="26"/>
      <c r="BWZ201" s="26"/>
      <c r="BXA201" s="26"/>
      <c r="BXB201" s="26"/>
      <c r="BXC201" s="26"/>
      <c r="BXD201" s="26"/>
      <c r="BXE201" s="26"/>
      <c r="BXF201" s="26"/>
      <c r="BXG201" s="26"/>
      <c r="BXH201" s="26"/>
      <c r="BXI201" s="26"/>
      <c r="BXJ201" s="26"/>
      <c r="BXK201" s="26"/>
      <c r="BXL201" s="26"/>
      <c r="BXM201" s="26"/>
      <c r="BXN201" s="26"/>
      <c r="BXO201" s="26"/>
      <c r="BXP201" s="26"/>
      <c r="BXQ201" s="26"/>
      <c r="BXR201" s="26"/>
      <c r="BXS201" s="26"/>
      <c r="BXT201" s="26"/>
      <c r="BXU201" s="26"/>
      <c r="BXV201" s="26"/>
      <c r="BXW201" s="26"/>
      <c r="BXX201" s="26"/>
      <c r="BXY201" s="26"/>
      <c r="BXZ201" s="26"/>
      <c r="BYA201" s="26"/>
      <c r="BYB201" s="26"/>
      <c r="BYC201" s="26"/>
      <c r="BYD201" s="26"/>
      <c r="BYE201" s="26"/>
      <c r="BYF201" s="26"/>
      <c r="BYG201" s="26"/>
      <c r="BYH201" s="26"/>
      <c r="BYI201" s="26"/>
      <c r="BYJ201" s="26"/>
      <c r="BYK201" s="26"/>
      <c r="BYL201" s="26"/>
      <c r="BYM201" s="26"/>
      <c r="BYN201" s="26"/>
      <c r="BYO201" s="26"/>
      <c r="BYP201" s="26"/>
      <c r="BYQ201" s="26"/>
      <c r="BYR201" s="26"/>
      <c r="BYS201" s="26"/>
      <c r="BYT201" s="26"/>
      <c r="BYU201" s="26"/>
      <c r="BYV201" s="26"/>
      <c r="BYW201" s="26"/>
      <c r="BYX201" s="26"/>
      <c r="BYY201" s="26"/>
      <c r="BYZ201" s="26"/>
      <c r="BZA201" s="26"/>
      <c r="BZB201" s="26"/>
      <c r="BZC201" s="26"/>
      <c r="BZD201" s="26"/>
      <c r="BZE201" s="26"/>
      <c r="BZF201" s="26"/>
      <c r="BZG201" s="26"/>
      <c r="BZH201" s="26"/>
      <c r="BZI201" s="26"/>
      <c r="BZJ201" s="26"/>
      <c r="BZK201" s="26"/>
      <c r="BZL201" s="26"/>
      <c r="BZM201" s="26"/>
      <c r="BZN201" s="26"/>
      <c r="BZO201" s="26"/>
      <c r="BZP201" s="26"/>
      <c r="BZQ201" s="26"/>
      <c r="BZR201" s="26"/>
      <c r="BZS201" s="26"/>
      <c r="BZT201" s="26"/>
      <c r="BZU201" s="26"/>
      <c r="BZV201" s="26"/>
      <c r="BZW201" s="26"/>
      <c r="BZX201" s="26"/>
      <c r="BZY201" s="26"/>
      <c r="BZZ201" s="26"/>
      <c r="CAA201" s="26"/>
      <c r="CAB201" s="26"/>
      <c r="CAC201" s="26"/>
      <c r="CAD201" s="26"/>
      <c r="CAE201" s="26"/>
      <c r="CAF201" s="26"/>
      <c r="CAG201" s="26"/>
      <c r="CAH201" s="26"/>
      <c r="CAI201" s="26"/>
      <c r="CAJ201" s="26"/>
      <c r="CAK201" s="26"/>
      <c r="CAL201" s="26"/>
      <c r="CAM201" s="26"/>
      <c r="CAN201" s="26"/>
      <c r="CAO201" s="26"/>
      <c r="CAP201" s="26"/>
      <c r="CAQ201" s="26"/>
      <c r="CAR201" s="26"/>
      <c r="CAS201" s="26"/>
      <c r="CAT201" s="26"/>
      <c r="CAU201" s="26"/>
      <c r="CAV201" s="26"/>
      <c r="CAW201" s="26"/>
      <c r="CAX201" s="26"/>
      <c r="CAY201" s="26"/>
      <c r="CAZ201" s="26"/>
      <c r="CBA201" s="26"/>
      <c r="CBB201" s="26"/>
      <c r="CBC201" s="26"/>
      <c r="CBD201" s="26"/>
      <c r="CBE201" s="26"/>
      <c r="CBF201" s="26"/>
      <c r="CBG201" s="26"/>
      <c r="CBH201" s="26"/>
      <c r="CBI201" s="26"/>
    </row>
    <row r="202" spans="1:2089" s="53" customFormat="1" ht="14" customHeight="1">
      <c r="A202" s="27">
        <v>201</v>
      </c>
      <c r="B202" s="27" t="s">
        <v>374</v>
      </c>
      <c r="C202" s="26">
        <v>2011</v>
      </c>
      <c r="D202" s="26" t="s">
        <v>27</v>
      </c>
      <c r="E202" s="26" t="s">
        <v>563</v>
      </c>
      <c r="F202" s="2" t="s">
        <v>175</v>
      </c>
      <c r="G202" s="2" t="s">
        <v>84</v>
      </c>
      <c r="H202" s="2" t="s">
        <v>24</v>
      </c>
      <c r="I202" s="2" t="s">
        <v>548</v>
      </c>
      <c r="J202" s="2" t="s">
        <v>604</v>
      </c>
      <c r="K202" s="2" t="s">
        <v>548</v>
      </c>
      <c r="L202" s="2" t="s">
        <v>548</v>
      </c>
      <c r="M202" s="2" t="s">
        <v>548</v>
      </c>
      <c r="N202" s="2" t="s">
        <v>608</v>
      </c>
      <c r="O202" s="2" t="s">
        <v>43</v>
      </c>
      <c r="P202" s="2" t="s">
        <v>608</v>
      </c>
      <c r="Q202" s="2" t="s">
        <v>42</v>
      </c>
      <c r="R202" s="102" t="s">
        <v>614</v>
      </c>
      <c r="S202" s="88">
        <v>0.71399999999999997</v>
      </c>
      <c r="T202" s="61">
        <v>14</v>
      </c>
      <c r="U202" s="2">
        <v>1</v>
      </c>
      <c r="V202" s="26">
        <v>0</v>
      </c>
      <c r="W202" s="26">
        <v>1</v>
      </c>
      <c r="X202" s="26">
        <v>1</v>
      </c>
      <c r="Y202" s="26">
        <v>1</v>
      </c>
      <c r="Z202" s="26">
        <v>1</v>
      </c>
      <c r="AA202" s="26">
        <v>0</v>
      </c>
      <c r="AB202" s="26">
        <v>0</v>
      </c>
      <c r="AC202" s="26" t="s">
        <v>70</v>
      </c>
      <c r="AD202" s="26" t="s">
        <v>70</v>
      </c>
      <c r="AE202" s="26" t="s">
        <v>70</v>
      </c>
      <c r="AF202" s="26" t="s">
        <v>70</v>
      </c>
      <c r="AG202" s="33">
        <v>233.64</v>
      </c>
      <c r="AH202" s="26" t="s">
        <v>70</v>
      </c>
      <c r="AI202" s="33" t="s">
        <v>79</v>
      </c>
      <c r="AJ202" s="26" t="s">
        <v>158</v>
      </c>
      <c r="AK202" s="33" t="s">
        <v>70</v>
      </c>
      <c r="AL202" s="33" t="s">
        <v>70</v>
      </c>
      <c r="AM202" s="61" t="s">
        <v>175</v>
      </c>
      <c r="AN202" s="32" t="s">
        <v>9</v>
      </c>
      <c r="AO202" s="26" t="s">
        <v>175</v>
      </c>
      <c r="AP202" s="26" t="s">
        <v>175</v>
      </c>
      <c r="AQ202" s="26" t="s">
        <v>548</v>
      </c>
      <c r="AR202" s="26" t="s">
        <v>548</v>
      </c>
      <c r="AS202" s="26" t="s">
        <v>175</v>
      </c>
      <c r="AT202" s="26" t="s">
        <v>548</v>
      </c>
      <c r="AU202" s="40" t="s">
        <v>175</v>
      </c>
      <c r="AV202" s="26">
        <v>7</v>
      </c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  <c r="GR202" s="26"/>
      <c r="GS202" s="26"/>
      <c r="GT202" s="26"/>
      <c r="GU202" s="26"/>
      <c r="GV202" s="26"/>
      <c r="GW202" s="26"/>
      <c r="GX202" s="26"/>
      <c r="GY202" s="26"/>
      <c r="GZ202" s="26"/>
      <c r="HA202" s="26"/>
      <c r="HB202" s="26"/>
      <c r="HC202" s="26"/>
      <c r="HD202" s="26"/>
      <c r="HE202" s="26"/>
      <c r="HF202" s="26"/>
      <c r="HG202" s="26"/>
      <c r="HH202" s="26"/>
      <c r="HI202" s="26"/>
      <c r="HJ202" s="26"/>
      <c r="HK202" s="26"/>
      <c r="HL202" s="26"/>
      <c r="HM202" s="26"/>
      <c r="HN202" s="26"/>
      <c r="HO202" s="26"/>
      <c r="HP202" s="26"/>
      <c r="HQ202" s="26"/>
      <c r="HR202" s="26"/>
      <c r="HS202" s="26"/>
      <c r="HT202" s="26"/>
      <c r="HU202" s="26"/>
      <c r="HV202" s="26"/>
      <c r="HW202" s="26"/>
      <c r="HX202" s="26"/>
      <c r="HY202" s="26"/>
      <c r="HZ202" s="26"/>
      <c r="IA202" s="26"/>
      <c r="IB202" s="26"/>
      <c r="IC202" s="26"/>
      <c r="ID202" s="26"/>
      <c r="IE202" s="26"/>
      <c r="IF202" s="26"/>
      <c r="IG202" s="26"/>
      <c r="IH202" s="26"/>
      <c r="II202" s="26"/>
      <c r="IJ202" s="26"/>
      <c r="IK202" s="26"/>
      <c r="IL202" s="26"/>
      <c r="IM202" s="26"/>
      <c r="IN202" s="26"/>
      <c r="IO202" s="26"/>
      <c r="IP202" s="26"/>
      <c r="IQ202" s="26"/>
      <c r="IR202" s="26"/>
      <c r="IS202" s="26"/>
      <c r="IT202" s="26"/>
      <c r="IU202" s="26"/>
      <c r="IV202" s="26"/>
      <c r="IW202" s="26"/>
      <c r="IX202" s="26"/>
      <c r="IY202" s="26"/>
      <c r="IZ202" s="26"/>
      <c r="JA202" s="26"/>
      <c r="JB202" s="26"/>
      <c r="JC202" s="26"/>
      <c r="JD202" s="26"/>
      <c r="JE202" s="26"/>
      <c r="JF202" s="26"/>
      <c r="JG202" s="26"/>
      <c r="JH202" s="26"/>
      <c r="JI202" s="26"/>
      <c r="JJ202" s="26"/>
      <c r="JK202" s="26"/>
      <c r="JL202" s="26"/>
      <c r="JM202" s="26"/>
      <c r="JN202" s="26"/>
      <c r="JO202" s="26"/>
      <c r="JP202" s="26"/>
      <c r="JQ202" s="26"/>
      <c r="JR202" s="26"/>
      <c r="JS202" s="26"/>
      <c r="JT202" s="26"/>
      <c r="JU202" s="26"/>
      <c r="JV202" s="26"/>
      <c r="JW202" s="26"/>
      <c r="JX202" s="26"/>
      <c r="JY202" s="26"/>
      <c r="JZ202" s="26"/>
      <c r="KA202" s="26"/>
      <c r="KB202" s="26"/>
      <c r="KC202" s="26"/>
      <c r="KD202" s="26"/>
      <c r="KE202" s="26"/>
      <c r="KF202" s="26"/>
      <c r="KG202" s="26"/>
      <c r="KH202" s="26"/>
      <c r="KI202" s="26"/>
      <c r="KJ202" s="26"/>
      <c r="KK202" s="26"/>
      <c r="KL202" s="26"/>
      <c r="KM202" s="26"/>
      <c r="KN202" s="26"/>
      <c r="KO202" s="26"/>
      <c r="KP202" s="26"/>
      <c r="KQ202" s="26"/>
      <c r="KR202" s="26"/>
      <c r="KS202" s="26"/>
      <c r="KT202" s="26"/>
      <c r="KU202" s="26"/>
      <c r="KV202" s="26"/>
      <c r="KW202" s="26"/>
      <c r="KX202" s="26"/>
      <c r="KY202" s="26"/>
      <c r="KZ202" s="26"/>
      <c r="LA202" s="26"/>
      <c r="LB202" s="26"/>
      <c r="LC202" s="26"/>
      <c r="LD202" s="26"/>
      <c r="LE202" s="26"/>
      <c r="LF202" s="26"/>
      <c r="LG202" s="26"/>
      <c r="LH202" s="26"/>
      <c r="LI202" s="26"/>
      <c r="LJ202" s="26"/>
      <c r="LK202" s="26"/>
      <c r="LL202" s="26"/>
      <c r="LM202" s="26"/>
      <c r="LN202" s="26"/>
      <c r="LO202" s="26"/>
      <c r="LP202" s="26"/>
      <c r="LQ202" s="26"/>
      <c r="LR202" s="26"/>
      <c r="LS202" s="26"/>
      <c r="LT202" s="26"/>
      <c r="LU202" s="26"/>
      <c r="LV202" s="26"/>
      <c r="LW202" s="26"/>
      <c r="LX202" s="26"/>
      <c r="LY202" s="26"/>
      <c r="LZ202" s="26"/>
      <c r="MA202" s="26"/>
      <c r="MB202" s="26"/>
      <c r="MC202" s="26"/>
      <c r="MD202" s="26"/>
      <c r="ME202" s="26"/>
      <c r="MF202" s="26"/>
      <c r="MG202" s="26"/>
      <c r="MH202" s="26"/>
      <c r="MI202" s="26"/>
      <c r="MJ202" s="26"/>
      <c r="MK202" s="26"/>
      <c r="ML202" s="26"/>
      <c r="MM202" s="26"/>
      <c r="MN202" s="26"/>
      <c r="MO202" s="26"/>
      <c r="MP202" s="26"/>
      <c r="MQ202" s="26"/>
      <c r="MR202" s="26"/>
      <c r="MS202" s="26"/>
      <c r="MT202" s="26"/>
      <c r="MU202" s="26"/>
      <c r="MV202" s="26"/>
      <c r="MW202" s="26"/>
      <c r="MX202" s="26"/>
      <c r="MY202" s="26"/>
      <c r="MZ202" s="26"/>
      <c r="NA202" s="26"/>
      <c r="NB202" s="26"/>
      <c r="NC202" s="26"/>
      <c r="ND202" s="26"/>
      <c r="NE202" s="26"/>
      <c r="NF202" s="26"/>
      <c r="NG202" s="26"/>
      <c r="NH202" s="26"/>
      <c r="NI202" s="26"/>
      <c r="NJ202" s="26"/>
      <c r="NK202" s="26"/>
      <c r="NL202" s="26"/>
      <c r="NM202" s="26"/>
      <c r="NN202" s="26"/>
      <c r="NO202" s="26"/>
      <c r="NP202" s="26"/>
      <c r="NQ202" s="26"/>
      <c r="NR202" s="26"/>
      <c r="NS202" s="26"/>
      <c r="NT202" s="26"/>
      <c r="NU202" s="26"/>
      <c r="NV202" s="26"/>
      <c r="NW202" s="26"/>
      <c r="NX202" s="26"/>
      <c r="NY202" s="26"/>
      <c r="NZ202" s="26"/>
      <c r="OA202" s="26"/>
      <c r="OB202" s="26"/>
      <c r="OC202" s="26"/>
      <c r="OD202" s="26"/>
      <c r="OE202" s="26"/>
      <c r="OF202" s="26"/>
      <c r="OG202" s="26"/>
      <c r="OH202" s="26"/>
      <c r="OI202" s="26"/>
      <c r="OJ202" s="26"/>
      <c r="OK202" s="26"/>
      <c r="OL202" s="26"/>
      <c r="OM202" s="26"/>
      <c r="ON202" s="26"/>
      <c r="OO202" s="26"/>
      <c r="OP202" s="26"/>
      <c r="OQ202" s="26"/>
      <c r="OR202" s="26"/>
      <c r="OS202" s="26"/>
      <c r="OT202" s="26"/>
      <c r="OU202" s="26"/>
      <c r="OV202" s="26"/>
      <c r="OW202" s="26"/>
      <c r="OX202" s="26"/>
      <c r="OY202" s="26"/>
      <c r="OZ202" s="26"/>
      <c r="PA202" s="26"/>
      <c r="PB202" s="26"/>
      <c r="PC202" s="26"/>
      <c r="PD202" s="26"/>
      <c r="PE202" s="26"/>
      <c r="PF202" s="26"/>
      <c r="PG202" s="26"/>
      <c r="PH202" s="26"/>
      <c r="PI202" s="26"/>
      <c r="PJ202" s="26"/>
      <c r="PK202" s="26"/>
      <c r="PL202" s="26"/>
      <c r="PM202" s="26"/>
      <c r="PN202" s="26"/>
      <c r="PO202" s="26"/>
      <c r="PP202" s="26"/>
      <c r="PQ202" s="26"/>
      <c r="PR202" s="26"/>
      <c r="PS202" s="26"/>
      <c r="PT202" s="26"/>
      <c r="PU202" s="26"/>
      <c r="PV202" s="26"/>
      <c r="PW202" s="26"/>
      <c r="PX202" s="26"/>
      <c r="PY202" s="26"/>
      <c r="PZ202" s="26"/>
      <c r="QA202" s="26"/>
      <c r="QB202" s="26"/>
      <c r="QC202" s="26"/>
      <c r="QD202" s="26"/>
      <c r="QE202" s="26"/>
      <c r="QF202" s="26"/>
      <c r="QG202" s="26"/>
      <c r="QH202" s="26"/>
      <c r="QI202" s="26"/>
      <c r="QJ202" s="26"/>
      <c r="QK202" s="26"/>
      <c r="QL202" s="26"/>
      <c r="QM202" s="26"/>
      <c r="QN202" s="26"/>
      <c r="QO202" s="26"/>
      <c r="QP202" s="26"/>
      <c r="QQ202" s="26"/>
      <c r="QR202" s="26"/>
      <c r="QS202" s="26"/>
      <c r="QT202" s="26"/>
      <c r="QU202" s="26"/>
      <c r="QV202" s="26"/>
      <c r="QW202" s="26"/>
      <c r="QX202" s="26"/>
      <c r="QY202" s="26"/>
      <c r="QZ202" s="26"/>
      <c r="RA202" s="26"/>
      <c r="RB202" s="26"/>
      <c r="RC202" s="26"/>
      <c r="RD202" s="26"/>
      <c r="RE202" s="26"/>
      <c r="RF202" s="26"/>
      <c r="RG202" s="26"/>
      <c r="RH202" s="26"/>
      <c r="RI202" s="26"/>
      <c r="RJ202" s="26"/>
      <c r="RK202" s="26"/>
      <c r="RL202" s="26"/>
      <c r="RM202" s="26"/>
      <c r="RN202" s="26"/>
      <c r="RO202" s="26"/>
      <c r="RP202" s="26"/>
      <c r="RQ202" s="26"/>
      <c r="RR202" s="26"/>
      <c r="RS202" s="26"/>
      <c r="RT202" s="26"/>
      <c r="RU202" s="26"/>
      <c r="RV202" s="26"/>
      <c r="RW202" s="26"/>
      <c r="RX202" s="26"/>
      <c r="RY202" s="26"/>
      <c r="RZ202" s="26"/>
      <c r="SA202" s="26"/>
      <c r="SB202" s="26"/>
      <c r="SC202" s="26"/>
      <c r="SD202" s="26"/>
      <c r="SE202" s="26"/>
      <c r="SF202" s="26"/>
      <c r="SG202" s="26"/>
      <c r="SH202" s="26"/>
      <c r="SI202" s="26"/>
      <c r="SJ202" s="26"/>
      <c r="SK202" s="26"/>
      <c r="SL202" s="26"/>
      <c r="SM202" s="26"/>
      <c r="SN202" s="26"/>
      <c r="SO202" s="26"/>
      <c r="SP202" s="26"/>
      <c r="SQ202" s="26"/>
      <c r="SR202" s="26"/>
      <c r="SS202" s="26"/>
      <c r="ST202" s="26"/>
      <c r="SU202" s="26"/>
      <c r="SV202" s="26"/>
      <c r="SW202" s="26"/>
      <c r="SX202" s="26"/>
      <c r="SY202" s="26"/>
      <c r="SZ202" s="26"/>
      <c r="TA202" s="26"/>
      <c r="TB202" s="26"/>
      <c r="TC202" s="26"/>
      <c r="TD202" s="26"/>
      <c r="TE202" s="26"/>
      <c r="TF202" s="26"/>
      <c r="TG202" s="26"/>
      <c r="TH202" s="26"/>
      <c r="TI202" s="26"/>
      <c r="TJ202" s="26"/>
      <c r="TK202" s="26"/>
      <c r="TL202" s="26"/>
      <c r="TM202" s="26"/>
      <c r="TN202" s="26"/>
      <c r="TO202" s="26"/>
      <c r="TP202" s="26"/>
      <c r="TQ202" s="26"/>
      <c r="TR202" s="26"/>
      <c r="TS202" s="26"/>
      <c r="TT202" s="26"/>
      <c r="TU202" s="26"/>
      <c r="TV202" s="26"/>
      <c r="TW202" s="26"/>
      <c r="TX202" s="26"/>
      <c r="TY202" s="26"/>
      <c r="TZ202" s="26"/>
      <c r="UA202" s="26"/>
      <c r="UB202" s="26"/>
      <c r="UC202" s="26"/>
      <c r="UD202" s="26"/>
      <c r="UE202" s="26"/>
      <c r="UF202" s="26"/>
      <c r="UG202" s="26"/>
      <c r="UH202" s="26"/>
      <c r="UI202" s="26"/>
      <c r="UJ202" s="26"/>
      <c r="UK202" s="26"/>
      <c r="UL202" s="26"/>
      <c r="UM202" s="26"/>
      <c r="UN202" s="26"/>
      <c r="UO202" s="26"/>
      <c r="UP202" s="26"/>
      <c r="UQ202" s="26"/>
      <c r="UR202" s="26"/>
      <c r="US202" s="26"/>
      <c r="UT202" s="26"/>
      <c r="UU202" s="26"/>
      <c r="UV202" s="26"/>
      <c r="UW202" s="26"/>
      <c r="UX202" s="26"/>
      <c r="UY202" s="26"/>
      <c r="UZ202" s="26"/>
      <c r="VA202" s="26"/>
      <c r="VB202" s="26"/>
      <c r="VC202" s="26"/>
      <c r="VD202" s="26"/>
      <c r="VE202" s="26"/>
      <c r="VF202" s="26"/>
      <c r="VG202" s="26"/>
      <c r="VH202" s="26"/>
      <c r="VI202" s="26"/>
      <c r="VJ202" s="26"/>
      <c r="VK202" s="26"/>
      <c r="VL202" s="26"/>
      <c r="VM202" s="26"/>
      <c r="VN202" s="26"/>
      <c r="VO202" s="26"/>
      <c r="VP202" s="26"/>
      <c r="VQ202" s="26"/>
      <c r="VR202" s="26"/>
      <c r="VS202" s="26"/>
      <c r="VT202" s="26"/>
      <c r="VU202" s="26"/>
      <c r="VV202" s="26"/>
      <c r="VW202" s="26"/>
      <c r="VX202" s="26"/>
      <c r="VY202" s="26"/>
      <c r="VZ202" s="26"/>
      <c r="WA202" s="26"/>
      <c r="WB202" s="26"/>
      <c r="WC202" s="26"/>
      <c r="WD202" s="26"/>
      <c r="WE202" s="26"/>
      <c r="WF202" s="26"/>
      <c r="WG202" s="26"/>
      <c r="WH202" s="26"/>
      <c r="WI202" s="26"/>
      <c r="WJ202" s="26"/>
      <c r="WK202" s="26"/>
      <c r="WL202" s="26"/>
      <c r="WM202" s="26"/>
      <c r="WN202" s="26"/>
      <c r="WO202" s="26"/>
      <c r="WP202" s="26"/>
      <c r="WQ202" s="26"/>
      <c r="WR202" s="26"/>
      <c r="WS202" s="26"/>
      <c r="WT202" s="26"/>
      <c r="WU202" s="26"/>
      <c r="WV202" s="26"/>
      <c r="WW202" s="26"/>
      <c r="WX202" s="26"/>
      <c r="WY202" s="26"/>
      <c r="WZ202" s="26"/>
      <c r="XA202" s="26"/>
      <c r="XB202" s="26"/>
      <c r="XC202" s="26"/>
      <c r="XD202" s="26"/>
      <c r="XE202" s="26"/>
      <c r="XF202" s="26"/>
      <c r="XG202" s="26"/>
      <c r="XH202" s="26"/>
      <c r="XI202" s="26"/>
      <c r="XJ202" s="26"/>
      <c r="XK202" s="26"/>
      <c r="XL202" s="26"/>
      <c r="XM202" s="26"/>
      <c r="XN202" s="26"/>
      <c r="XO202" s="26"/>
      <c r="XP202" s="26"/>
      <c r="XQ202" s="26"/>
      <c r="XR202" s="26"/>
      <c r="XS202" s="26"/>
      <c r="XT202" s="26"/>
      <c r="XU202" s="26"/>
      <c r="XV202" s="26"/>
      <c r="XW202" s="26"/>
      <c r="XX202" s="26"/>
      <c r="XY202" s="26"/>
      <c r="XZ202" s="26"/>
      <c r="YA202" s="26"/>
      <c r="YB202" s="26"/>
      <c r="YC202" s="26"/>
      <c r="YD202" s="26"/>
      <c r="YE202" s="26"/>
      <c r="YF202" s="26"/>
      <c r="YG202" s="26"/>
      <c r="YH202" s="26"/>
      <c r="YI202" s="26"/>
      <c r="YJ202" s="26"/>
      <c r="YK202" s="26"/>
      <c r="YL202" s="26"/>
      <c r="YM202" s="26"/>
      <c r="YN202" s="26"/>
      <c r="YO202" s="26"/>
      <c r="YP202" s="26"/>
      <c r="YQ202" s="26"/>
      <c r="YR202" s="26"/>
      <c r="YS202" s="26"/>
      <c r="YT202" s="26"/>
      <c r="YU202" s="26"/>
      <c r="YV202" s="26"/>
      <c r="YW202" s="26"/>
      <c r="YX202" s="26"/>
      <c r="YY202" s="26"/>
      <c r="YZ202" s="26"/>
      <c r="ZA202" s="26"/>
      <c r="ZB202" s="26"/>
      <c r="ZC202" s="26"/>
      <c r="ZD202" s="26"/>
      <c r="ZE202" s="26"/>
      <c r="ZF202" s="26"/>
      <c r="ZG202" s="26"/>
      <c r="ZH202" s="26"/>
      <c r="ZI202" s="26"/>
      <c r="ZJ202" s="26"/>
      <c r="ZK202" s="26"/>
      <c r="ZL202" s="26"/>
      <c r="ZM202" s="26"/>
      <c r="ZN202" s="26"/>
      <c r="ZO202" s="26"/>
      <c r="ZP202" s="26"/>
      <c r="ZQ202" s="26"/>
      <c r="ZR202" s="26"/>
      <c r="ZS202" s="26"/>
      <c r="ZT202" s="26"/>
      <c r="ZU202" s="26"/>
      <c r="ZV202" s="26"/>
      <c r="ZW202" s="26"/>
      <c r="ZX202" s="26"/>
      <c r="ZY202" s="26"/>
      <c r="ZZ202" s="26"/>
      <c r="AAA202" s="26"/>
      <c r="AAB202" s="26"/>
      <c r="AAC202" s="26"/>
      <c r="AAD202" s="26"/>
      <c r="AAE202" s="26"/>
      <c r="AAF202" s="26"/>
      <c r="AAG202" s="26"/>
      <c r="AAH202" s="26"/>
      <c r="AAI202" s="26"/>
      <c r="AAJ202" s="26"/>
      <c r="AAK202" s="26"/>
      <c r="AAL202" s="26"/>
      <c r="AAM202" s="26"/>
      <c r="AAN202" s="26"/>
      <c r="AAO202" s="26"/>
      <c r="AAP202" s="26"/>
      <c r="AAQ202" s="26"/>
      <c r="AAR202" s="26"/>
      <c r="AAS202" s="26"/>
      <c r="AAT202" s="26"/>
      <c r="AAU202" s="26"/>
      <c r="AAV202" s="26"/>
      <c r="AAW202" s="26"/>
      <c r="AAX202" s="26"/>
      <c r="AAY202" s="26"/>
      <c r="AAZ202" s="26"/>
      <c r="ABA202" s="26"/>
      <c r="ABB202" s="26"/>
      <c r="ABC202" s="26"/>
      <c r="ABD202" s="26"/>
      <c r="ABE202" s="26"/>
      <c r="ABF202" s="26"/>
      <c r="ABG202" s="26"/>
      <c r="ABH202" s="26"/>
      <c r="ABI202" s="26"/>
      <c r="ABJ202" s="26"/>
      <c r="ABK202" s="26"/>
      <c r="ABL202" s="26"/>
      <c r="ABM202" s="26"/>
      <c r="ABN202" s="26"/>
      <c r="ABO202" s="26"/>
      <c r="ABP202" s="26"/>
      <c r="ABQ202" s="26"/>
      <c r="ABR202" s="26"/>
      <c r="ABS202" s="26"/>
      <c r="ABT202" s="26"/>
      <c r="ABU202" s="26"/>
      <c r="ABV202" s="26"/>
      <c r="ABW202" s="26"/>
      <c r="ABX202" s="26"/>
      <c r="ABY202" s="26"/>
      <c r="ABZ202" s="26"/>
      <c r="ACA202" s="26"/>
      <c r="ACB202" s="26"/>
      <c r="ACC202" s="26"/>
      <c r="ACD202" s="26"/>
      <c r="ACE202" s="26"/>
      <c r="ACF202" s="26"/>
      <c r="ACG202" s="26"/>
      <c r="ACH202" s="26"/>
      <c r="ACI202" s="26"/>
      <c r="ACJ202" s="26"/>
      <c r="ACK202" s="26"/>
      <c r="ACL202" s="26"/>
      <c r="ACM202" s="26"/>
      <c r="ACN202" s="26"/>
      <c r="ACO202" s="26"/>
      <c r="ACP202" s="26"/>
      <c r="ACQ202" s="26"/>
      <c r="ACR202" s="26"/>
      <c r="ACS202" s="26"/>
      <c r="ACT202" s="26"/>
      <c r="ACU202" s="26"/>
      <c r="ACV202" s="26"/>
      <c r="ACW202" s="26"/>
      <c r="ACX202" s="26"/>
      <c r="ACY202" s="26"/>
      <c r="ACZ202" s="26"/>
      <c r="ADA202" s="26"/>
      <c r="ADB202" s="26"/>
      <c r="ADC202" s="26"/>
      <c r="ADD202" s="26"/>
      <c r="ADE202" s="26"/>
      <c r="ADF202" s="26"/>
      <c r="ADG202" s="26"/>
      <c r="ADH202" s="26"/>
      <c r="ADI202" s="26"/>
      <c r="ADJ202" s="26"/>
      <c r="ADK202" s="26"/>
      <c r="ADL202" s="26"/>
      <c r="ADM202" s="26"/>
      <c r="ADN202" s="26"/>
      <c r="ADO202" s="26"/>
      <c r="ADP202" s="26"/>
      <c r="ADQ202" s="26"/>
      <c r="ADR202" s="26"/>
      <c r="ADS202" s="26"/>
      <c r="ADT202" s="26"/>
      <c r="ADU202" s="26"/>
      <c r="ADV202" s="26"/>
      <c r="ADW202" s="26"/>
      <c r="ADX202" s="26"/>
      <c r="ADY202" s="26"/>
      <c r="ADZ202" s="26"/>
      <c r="AEA202" s="26"/>
      <c r="AEB202" s="26"/>
      <c r="AEC202" s="26"/>
      <c r="AED202" s="26"/>
      <c r="AEE202" s="26"/>
      <c r="AEF202" s="26"/>
      <c r="AEG202" s="26"/>
      <c r="AEH202" s="26"/>
      <c r="AEI202" s="26"/>
      <c r="AEJ202" s="26"/>
      <c r="AEK202" s="26"/>
      <c r="AEL202" s="26"/>
      <c r="AEM202" s="26"/>
      <c r="AEN202" s="26"/>
      <c r="AEO202" s="26"/>
      <c r="AEP202" s="26"/>
      <c r="AEQ202" s="26"/>
      <c r="AER202" s="26"/>
      <c r="AES202" s="26"/>
      <c r="AET202" s="26"/>
      <c r="AEU202" s="26"/>
      <c r="AEV202" s="26"/>
      <c r="AEW202" s="26"/>
      <c r="AEX202" s="26"/>
      <c r="AEY202" s="26"/>
      <c r="AEZ202" s="26"/>
      <c r="AFA202" s="26"/>
      <c r="AFB202" s="26"/>
      <c r="AFC202" s="26"/>
      <c r="AFD202" s="26"/>
      <c r="AFE202" s="26"/>
      <c r="AFF202" s="26"/>
      <c r="AFG202" s="26"/>
      <c r="AFH202" s="26"/>
      <c r="AFI202" s="26"/>
      <c r="AFJ202" s="26"/>
      <c r="AFK202" s="26"/>
      <c r="AFL202" s="26"/>
      <c r="AFM202" s="26"/>
      <c r="AFN202" s="26"/>
      <c r="AFO202" s="26"/>
      <c r="AFP202" s="26"/>
      <c r="AFQ202" s="26"/>
      <c r="AFR202" s="26"/>
      <c r="AFS202" s="26"/>
      <c r="AFT202" s="26"/>
      <c r="AFU202" s="26"/>
      <c r="AFV202" s="26"/>
      <c r="AFW202" s="26"/>
      <c r="AFX202" s="26"/>
      <c r="AFY202" s="26"/>
      <c r="AFZ202" s="26"/>
      <c r="AGA202" s="26"/>
      <c r="AGB202" s="26"/>
      <c r="AGC202" s="26"/>
      <c r="AGD202" s="26"/>
      <c r="AGE202" s="26"/>
      <c r="AGF202" s="26"/>
      <c r="AGG202" s="26"/>
      <c r="AGH202" s="26"/>
      <c r="AGI202" s="26"/>
      <c r="AGJ202" s="26"/>
      <c r="AGK202" s="26"/>
      <c r="AGL202" s="26"/>
      <c r="AGM202" s="26"/>
      <c r="AGN202" s="26"/>
      <c r="AGO202" s="26"/>
      <c r="AGP202" s="26"/>
      <c r="AGQ202" s="26"/>
      <c r="AGR202" s="26"/>
      <c r="AGS202" s="26"/>
      <c r="AGT202" s="26"/>
      <c r="AGU202" s="26"/>
      <c r="AGV202" s="26"/>
      <c r="AGW202" s="26"/>
      <c r="AGX202" s="26"/>
      <c r="AGY202" s="26"/>
      <c r="AGZ202" s="26"/>
      <c r="AHA202" s="26"/>
      <c r="AHB202" s="26"/>
      <c r="AHC202" s="26"/>
      <c r="AHD202" s="26"/>
      <c r="AHE202" s="26"/>
      <c r="AHF202" s="26"/>
      <c r="AHG202" s="26"/>
      <c r="AHH202" s="26"/>
      <c r="AHI202" s="26"/>
      <c r="AHJ202" s="26"/>
      <c r="AHK202" s="26"/>
      <c r="AHL202" s="26"/>
      <c r="AHM202" s="26"/>
      <c r="AHN202" s="26"/>
      <c r="AHO202" s="26"/>
      <c r="AHP202" s="26"/>
      <c r="AHQ202" s="26"/>
      <c r="AHR202" s="26"/>
      <c r="AHS202" s="26"/>
      <c r="AHT202" s="26"/>
      <c r="AHU202" s="26"/>
      <c r="AHV202" s="26"/>
      <c r="AHW202" s="26"/>
      <c r="AHX202" s="26"/>
      <c r="AHY202" s="26"/>
      <c r="AHZ202" s="26"/>
      <c r="AIA202" s="26"/>
      <c r="AIB202" s="26"/>
      <c r="AIC202" s="26"/>
      <c r="AID202" s="26"/>
      <c r="AIE202" s="26"/>
      <c r="AIF202" s="26"/>
      <c r="AIG202" s="26"/>
      <c r="AIH202" s="26"/>
      <c r="AII202" s="26"/>
      <c r="AIJ202" s="26"/>
      <c r="AIK202" s="26"/>
      <c r="AIL202" s="26"/>
      <c r="AIM202" s="26"/>
      <c r="AIN202" s="26"/>
      <c r="AIO202" s="26"/>
      <c r="AIP202" s="26"/>
      <c r="AIQ202" s="26"/>
      <c r="AIR202" s="26"/>
      <c r="AIS202" s="26"/>
      <c r="AIT202" s="26"/>
      <c r="AIU202" s="26"/>
      <c r="AIV202" s="26"/>
      <c r="AIW202" s="26"/>
      <c r="AIX202" s="26"/>
      <c r="AIY202" s="26"/>
      <c r="AIZ202" s="26"/>
      <c r="AJA202" s="26"/>
      <c r="AJB202" s="26"/>
      <c r="AJC202" s="26"/>
      <c r="AJD202" s="26"/>
      <c r="AJE202" s="26"/>
      <c r="AJF202" s="26"/>
      <c r="AJG202" s="26"/>
      <c r="AJH202" s="26"/>
      <c r="AJI202" s="26"/>
      <c r="AJJ202" s="26"/>
      <c r="AJK202" s="26"/>
      <c r="AJL202" s="26"/>
      <c r="AJM202" s="26"/>
      <c r="AJN202" s="26"/>
      <c r="AJO202" s="26"/>
      <c r="AJP202" s="26"/>
      <c r="AJQ202" s="26"/>
      <c r="AJR202" s="26"/>
      <c r="AJS202" s="26"/>
      <c r="AJT202" s="26"/>
      <c r="AJU202" s="26"/>
      <c r="AJV202" s="26"/>
      <c r="AJW202" s="26"/>
      <c r="AJX202" s="26"/>
      <c r="AJY202" s="26"/>
      <c r="AJZ202" s="26"/>
      <c r="AKA202" s="26"/>
      <c r="AKB202" s="26"/>
      <c r="AKC202" s="26"/>
      <c r="AKD202" s="26"/>
      <c r="AKE202" s="26"/>
      <c r="AKF202" s="26"/>
      <c r="AKG202" s="26"/>
      <c r="AKH202" s="26"/>
      <c r="AKI202" s="26"/>
      <c r="AKJ202" s="26"/>
      <c r="AKK202" s="26"/>
      <c r="AKL202" s="26"/>
      <c r="AKM202" s="26"/>
      <c r="AKN202" s="26"/>
      <c r="AKO202" s="26"/>
      <c r="AKP202" s="26"/>
      <c r="AKQ202" s="26"/>
      <c r="AKR202" s="26"/>
      <c r="AKS202" s="26"/>
      <c r="AKT202" s="26"/>
      <c r="AKU202" s="26"/>
      <c r="AKV202" s="26"/>
      <c r="AKW202" s="26"/>
      <c r="AKX202" s="26"/>
      <c r="AKY202" s="26"/>
      <c r="AKZ202" s="26"/>
      <c r="ALA202" s="26"/>
      <c r="ALB202" s="26"/>
      <c r="ALC202" s="26"/>
      <c r="ALD202" s="26"/>
      <c r="ALE202" s="26"/>
      <c r="ALF202" s="26"/>
      <c r="ALG202" s="26"/>
      <c r="ALH202" s="26"/>
      <c r="ALI202" s="26"/>
      <c r="ALJ202" s="26"/>
      <c r="ALK202" s="26"/>
      <c r="ALL202" s="26"/>
      <c r="ALM202" s="26"/>
      <c r="ALN202" s="26"/>
      <c r="ALO202" s="26"/>
      <c r="ALP202" s="26"/>
      <c r="ALQ202" s="26"/>
      <c r="ALR202" s="26"/>
      <c r="ALS202" s="26"/>
      <c r="ALT202" s="26"/>
      <c r="ALU202" s="26"/>
      <c r="ALV202" s="26"/>
      <c r="ALW202" s="26"/>
      <c r="ALX202" s="26"/>
      <c r="ALY202" s="26"/>
      <c r="ALZ202" s="26"/>
      <c r="AMA202" s="26"/>
      <c r="AMB202" s="26"/>
      <c r="AMC202" s="26"/>
      <c r="AMD202" s="26"/>
      <c r="AME202" s="26"/>
      <c r="AMF202" s="26"/>
      <c r="AMG202" s="26"/>
      <c r="AMH202" s="26"/>
      <c r="AMI202" s="26"/>
      <c r="AMJ202" s="26"/>
      <c r="AMK202" s="26"/>
      <c r="AML202" s="26"/>
      <c r="AMM202" s="26"/>
      <c r="AMN202" s="26"/>
      <c r="AMO202" s="26"/>
      <c r="AMP202" s="26"/>
      <c r="AMQ202" s="26"/>
      <c r="AMR202" s="26"/>
      <c r="AMS202" s="26"/>
      <c r="AMT202" s="26"/>
      <c r="AMU202" s="26"/>
      <c r="AMV202" s="26"/>
      <c r="AMW202" s="26"/>
      <c r="AMX202" s="26"/>
      <c r="AMY202" s="26"/>
      <c r="AMZ202" s="26"/>
      <c r="ANA202" s="26"/>
      <c r="ANB202" s="26"/>
      <c r="ANC202" s="26"/>
      <c r="AND202" s="26"/>
      <c r="ANE202" s="26"/>
      <c r="ANF202" s="26"/>
      <c r="ANG202" s="26"/>
      <c r="ANH202" s="26"/>
      <c r="ANI202" s="26"/>
      <c r="ANJ202" s="26"/>
      <c r="ANK202" s="26"/>
      <c r="ANL202" s="26"/>
      <c r="ANM202" s="26"/>
      <c r="ANN202" s="26"/>
      <c r="ANO202" s="26"/>
      <c r="ANP202" s="26"/>
      <c r="ANQ202" s="26"/>
      <c r="ANR202" s="26"/>
      <c r="ANS202" s="26"/>
      <c r="ANT202" s="26"/>
      <c r="ANU202" s="26"/>
      <c r="ANV202" s="26"/>
      <c r="ANW202" s="26"/>
      <c r="ANX202" s="26"/>
      <c r="ANY202" s="26"/>
      <c r="ANZ202" s="26"/>
      <c r="AOA202" s="26"/>
      <c r="AOB202" s="26"/>
      <c r="AOC202" s="26"/>
      <c r="AOD202" s="26"/>
      <c r="AOE202" s="26"/>
      <c r="AOF202" s="26"/>
      <c r="AOG202" s="26"/>
      <c r="AOH202" s="26"/>
      <c r="AOI202" s="26"/>
      <c r="AOJ202" s="26"/>
      <c r="AOK202" s="26"/>
      <c r="AOL202" s="26"/>
      <c r="AOM202" s="26"/>
      <c r="AON202" s="26"/>
      <c r="AOO202" s="26"/>
      <c r="AOP202" s="26"/>
      <c r="AOQ202" s="26"/>
      <c r="AOR202" s="26"/>
      <c r="AOS202" s="26"/>
      <c r="AOT202" s="26"/>
      <c r="AOU202" s="26"/>
      <c r="AOV202" s="26"/>
      <c r="AOW202" s="26"/>
      <c r="AOX202" s="26"/>
      <c r="AOY202" s="26"/>
      <c r="AOZ202" s="26"/>
      <c r="APA202" s="26"/>
      <c r="APB202" s="26"/>
      <c r="APC202" s="26"/>
      <c r="APD202" s="26"/>
      <c r="APE202" s="26"/>
      <c r="APF202" s="26"/>
      <c r="APG202" s="26"/>
      <c r="APH202" s="26"/>
      <c r="API202" s="26"/>
      <c r="APJ202" s="26"/>
      <c r="APK202" s="26"/>
      <c r="APL202" s="26"/>
      <c r="APM202" s="26"/>
      <c r="APN202" s="26"/>
      <c r="APO202" s="26"/>
      <c r="APP202" s="26"/>
      <c r="APQ202" s="26"/>
      <c r="APR202" s="26"/>
      <c r="APS202" s="26"/>
      <c r="APT202" s="26"/>
      <c r="APU202" s="26"/>
      <c r="APV202" s="26"/>
      <c r="APW202" s="26"/>
      <c r="APX202" s="26"/>
      <c r="APY202" s="26"/>
      <c r="APZ202" s="26"/>
      <c r="AQA202" s="26"/>
      <c r="AQB202" s="26"/>
      <c r="AQC202" s="26"/>
      <c r="AQD202" s="26"/>
      <c r="AQE202" s="26"/>
      <c r="AQF202" s="26"/>
      <c r="AQG202" s="26"/>
      <c r="AQH202" s="26"/>
      <c r="AQI202" s="26"/>
      <c r="AQJ202" s="26"/>
      <c r="AQK202" s="26"/>
      <c r="AQL202" s="26"/>
      <c r="AQM202" s="26"/>
      <c r="AQN202" s="26"/>
      <c r="AQO202" s="26"/>
      <c r="AQP202" s="26"/>
      <c r="AQQ202" s="26"/>
      <c r="AQR202" s="26"/>
      <c r="AQS202" s="26"/>
      <c r="AQT202" s="26"/>
      <c r="AQU202" s="26"/>
      <c r="AQV202" s="26"/>
      <c r="AQW202" s="26"/>
      <c r="AQX202" s="26"/>
      <c r="AQY202" s="26"/>
      <c r="AQZ202" s="26"/>
      <c r="ARA202" s="26"/>
      <c r="ARB202" s="26"/>
      <c r="ARC202" s="26"/>
      <c r="ARD202" s="26"/>
      <c r="ARE202" s="26"/>
      <c r="ARF202" s="26"/>
      <c r="ARG202" s="26"/>
      <c r="ARH202" s="26"/>
      <c r="ARI202" s="26"/>
      <c r="ARJ202" s="26"/>
      <c r="ARK202" s="26"/>
      <c r="ARL202" s="26"/>
      <c r="ARM202" s="26"/>
      <c r="ARN202" s="26"/>
      <c r="ARO202" s="26"/>
      <c r="ARP202" s="26"/>
      <c r="ARQ202" s="26"/>
      <c r="ARR202" s="26"/>
      <c r="ARS202" s="26"/>
      <c r="ART202" s="26"/>
      <c r="ARU202" s="26"/>
      <c r="ARV202" s="26"/>
      <c r="ARW202" s="26"/>
      <c r="ARX202" s="26"/>
      <c r="ARY202" s="26"/>
      <c r="ARZ202" s="26"/>
      <c r="ASA202" s="26"/>
      <c r="ASB202" s="26"/>
      <c r="ASC202" s="26"/>
      <c r="ASD202" s="26"/>
      <c r="ASE202" s="26"/>
      <c r="ASF202" s="26"/>
      <c r="ASG202" s="26"/>
      <c r="ASH202" s="26"/>
      <c r="ASI202" s="26"/>
      <c r="ASJ202" s="26"/>
      <c r="ASK202" s="26"/>
      <c r="ASL202" s="26"/>
      <c r="ASM202" s="26"/>
      <c r="ASN202" s="26"/>
      <c r="ASO202" s="26"/>
      <c r="ASP202" s="26"/>
      <c r="ASQ202" s="26"/>
      <c r="ASR202" s="26"/>
      <c r="ASS202" s="26"/>
      <c r="AST202" s="26"/>
      <c r="ASU202" s="26"/>
      <c r="ASV202" s="26"/>
      <c r="ASW202" s="26"/>
      <c r="ASX202" s="26"/>
      <c r="ASY202" s="26"/>
      <c r="ASZ202" s="26"/>
      <c r="ATA202" s="26"/>
      <c r="ATB202" s="26"/>
      <c r="ATC202" s="26"/>
      <c r="ATD202" s="26"/>
      <c r="ATE202" s="26"/>
      <c r="ATF202" s="26"/>
      <c r="ATG202" s="26"/>
      <c r="ATH202" s="26"/>
      <c r="ATI202" s="26"/>
      <c r="ATJ202" s="26"/>
      <c r="ATK202" s="26"/>
      <c r="ATL202" s="26"/>
      <c r="ATM202" s="26"/>
      <c r="ATN202" s="26"/>
      <c r="ATO202" s="26"/>
      <c r="ATP202" s="26"/>
      <c r="ATQ202" s="26"/>
      <c r="ATR202" s="26"/>
      <c r="ATS202" s="26"/>
      <c r="ATT202" s="26"/>
      <c r="ATU202" s="26"/>
      <c r="ATV202" s="26"/>
      <c r="ATW202" s="26"/>
      <c r="ATX202" s="26"/>
      <c r="ATY202" s="26"/>
      <c r="ATZ202" s="26"/>
      <c r="AUA202" s="26"/>
      <c r="AUB202" s="26"/>
      <c r="AUC202" s="26"/>
      <c r="AUD202" s="26"/>
      <c r="AUE202" s="26"/>
      <c r="AUF202" s="26"/>
      <c r="AUG202" s="26"/>
      <c r="AUH202" s="26"/>
      <c r="AUI202" s="26"/>
      <c r="AUJ202" s="26"/>
      <c r="AUK202" s="26"/>
      <c r="AUL202" s="26"/>
      <c r="AUM202" s="26"/>
      <c r="AUN202" s="26"/>
      <c r="AUO202" s="26"/>
      <c r="AUP202" s="26"/>
      <c r="AUQ202" s="26"/>
      <c r="AUR202" s="26"/>
      <c r="AUS202" s="26"/>
      <c r="AUT202" s="26"/>
      <c r="AUU202" s="26"/>
      <c r="AUV202" s="26"/>
      <c r="AUW202" s="26"/>
      <c r="AUX202" s="26"/>
      <c r="AUY202" s="26"/>
      <c r="AUZ202" s="26"/>
      <c r="AVA202" s="26"/>
      <c r="AVB202" s="26"/>
      <c r="AVC202" s="26"/>
      <c r="AVD202" s="26"/>
      <c r="AVE202" s="26"/>
      <c r="AVF202" s="26"/>
      <c r="AVG202" s="26"/>
      <c r="AVH202" s="26"/>
      <c r="AVI202" s="26"/>
      <c r="AVJ202" s="26"/>
      <c r="AVK202" s="26"/>
      <c r="AVL202" s="26"/>
      <c r="AVM202" s="26"/>
      <c r="AVN202" s="26"/>
      <c r="AVO202" s="26"/>
      <c r="AVP202" s="26"/>
      <c r="AVQ202" s="26"/>
      <c r="AVR202" s="26"/>
      <c r="AVS202" s="26"/>
      <c r="AVT202" s="26"/>
      <c r="AVU202" s="26"/>
      <c r="AVV202" s="26"/>
      <c r="AVW202" s="26"/>
      <c r="AVX202" s="26"/>
      <c r="AVY202" s="26"/>
      <c r="AVZ202" s="26"/>
      <c r="AWA202" s="26"/>
      <c r="AWB202" s="26"/>
      <c r="AWC202" s="26"/>
      <c r="AWD202" s="26"/>
      <c r="AWE202" s="26"/>
      <c r="AWF202" s="26"/>
      <c r="AWG202" s="26"/>
      <c r="AWH202" s="26"/>
      <c r="AWI202" s="26"/>
      <c r="AWJ202" s="26"/>
      <c r="AWK202" s="26"/>
      <c r="AWL202" s="26"/>
      <c r="AWM202" s="26"/>
      <c r="AWN202" s="26"/>
      <c r="AWO202" s="26"/>
      <c r="AWP202" s="26"/>
      <c r="AWQ202" s="26"/>
      <c r="AWR202" s="26"/>
      <c r="AWS202" s="26"/>
      <c r="AWT202" s="26"/>
      <c r="AWU202" s="26"/>
      <c r="AWV202" s="26"/>
      <c r="AWW202" s="26"/>
      <c r="AWX202" s="26"/>
      <c r="AWY202" s="26"/>
      <c r="AWZ202" s="26"/>
      <c r="AXA202" s="26"/>
      <c r="AXB202" s="26"/>
      <c r="AXC202" s="26"/>
      <c r="AXD202" s="26"/>
      <c r="AXE202" s="26"/>
      <c r="AXF202" s="26"/>
      <c r="AXG202" s="26"/>
      <c r="AXH202" s="26"/>
      <c r="AXI202" s="26"/>
      <c r="AXJ202" s="26"/>
      <c r="AXK202" s="26"/>
      <c r="AXL202" s="26"/>
      <c r="AXM202" s="26"/>
      <c r="AXN202" s="26"/>
      <c r="AXO202" s="26"/>
      <c r="AXP202" s="26"/>
      <c r="AXQ202" s="26"/>
      <c r="AXR202" s="26"/>
      <c r="AXS202" s="26"/>
      <c r="AXT202" s="26"/>
      <c r="AXU202" s="26"/>
      <c r="AXV202" s="26"/>
      <c r="AXW202" s="26"/>
      <c r="AXX202" s="26"/>
      <c r="AXY202" s="26"/>
      <c r="AXZ202" s="26"/>
      <c r="AYA202" s="26"/>
      <c r="AYB202" s="26"/>
      <c r="AYC202" s="26"/>
      <c r="AYD202" s="26"/>
      <c r="AYE202" s="26"/>
      <c r="AYF202" s="26"/>
      <c r="AYG202" s="26"/>
      <c r="AYH202" s="26"/>
      <c r="AYI202" s="26"/>
      <c r="AYJ202" s="26"/>
      <c r="AYK202" s="26"/>
      <c r="AYL202" s="26"/>
      <c r="AYM202" s="26"/>
      <c r="AYN202" s="26"/>
      <c r="AYO202" s="26"/>
      <c r="AYP202" s="26"/>
      <c r="AYQ202" s="26"/>
      <c r="AYR202" s="26"/>
      <c r="AYS202" s="26"/>
      <c r="AYT202" s="26"/>
      <c r="AYU202" s="26"/>
      <c r="AYV202" s="26"/>
      <c r="AYW202" s="26"/>
      <c r="AYX202" s="26"/>
      <c r="AYY202" s="26"/>
      <c r="AYZ202" s="26"/>
      <c r="AZA202" s="26"/>
      <c r="AZB202" s="26"/>
      <c r="AZC202" s="26"/>
      <c r="AZD202" s="26"/>
      <c r="AZE202" s="26"/>
      <c r="AZF202" s="26"/>
      <c r="AZG202" s="26"/>
      <c r="AZH202" s="26"/>
      <c r="AZI202" s="26"/>
      <c r="AZJ202" s="26"/>
      <c r="AZK202" s="26"/>
      <c r="AZL202" s="26"/>
      <c r="AZM202" s="26"/>
      <c r="AZN202" s="26"/>
      <c r="AZO202" s="26"/>
      <c r="AZP202" s="26"/>
      <c r="AZQ202" s="26"/>
      <c r="AZR202" s="26"/>
      <c r="AZS202" s="26"/>
      <c r="AZT202" s="26"/>
      <c r="AZU202" s="26"/>
      <c r="AZV202" s="26"/>
      <c r="AZW202" s="26"/>
      <c r="AZX202" s="26"/>
      <c r="AZY202" s="26"/>
      <c r="AZZ202" s="26"/>
      <c r="BAA202" s="26"/>
      <c r="BAB202" s="26"/>
      <c r="BAC202" s="26"/>
      <c r="BAD202" s="26"/>
      <c r="BAE202" s="26"/>
      <c r="BAF202" s="26"/>
      <c r="BAG202" s="26"/>
      <c r="BAH202" s="26"/>
      <c r="BAI202" s="26"/>
      <c r="BAJ202" s="26"/>
      <c r="BAK202" s="26"/>
      <c r="BAL202" s="26"/>
      <c r="BAM202" s="26"/>
      <c r="BAN202" s="26"/>
      <c r="BAO202" s="26"/>
      <c r="BAP202" s="26"/>
      <c r="BAQ202" s="26"/>
      <c r="BAR202" s="26"/>
      <c r="BAS202" s="26"/>
      <c r="BAT202" s="26"/>
      <c r="BAU202" s="26"/>
      <c r="BAV202" s="26"/>
      <c r="BAW202" s="26"/>
      <c r="BAX202" s="26"/>
      <c r="BAY202" s="26"/>
      <c r="BAZ202" s="26"/>
      <c r="BBA202" s="26"/>
      <c r="BBB202" s="26"/>
      <c r="BBC202" s="26"/>
      <c r="BBD202" s="26"/>
      <c r="BBE202" s="26"/>
      <c r="BBF202" s="26"/>
      <c r="BBG202" s="26"/>
      <c r="BBH202" s="26"/>
      <c r="BBI202" s="26"/>
      <c r="BBJ202" s="26"/>
      <c r="BBK202" s="26"/>
      <c r="BBL202" s="26"/>
      <c r="BBM202" s="26"/>
      <c r="BBN202" s="26"/>
      <c r="BBO202" s="26"/>
      <c r="BBP202" s="26"/>
      <c r="BBQ202" s="26"/>
      <c r="BBR202" s="26"/>
      <c r="BBS202" s="26"/>
      <c r="BBT202" s="26"/>
      <c r="BBU202" s="26"/>
      <c r="BBV202" s="26"/>
      <c r="BBW202" s="26"/>
      <c r="BBX202" s="26"/>
      <c r="BBY202" s="26"/>
      <c r="BBZ202" s="26"/>
      <c r="BCA202" s="26"/>
      <c r="BCB202" s="26"/>
      <c r="BCC202" s="26"/>
      <c r="BCD202" s="26"/>
      <c r="BCE202" s="26"/>
      <c r="BCF202" s="26"/>
      <c r="BCG202" s="26"/>
      <c r="BCH202" s="26"/>
      <c r="BCI202" s="26"/>
      <c r="BCJ202" s="26"/>
      <c r="BCK202" s="26"/>
      <c r="BCL202" s="26"/>
      <c r="BCM202" s="26"/>
      <c r="BCN202" s="26"/>
      <c r="BCO202" s="26"/>
      <c r="BCP202" s="26"/>
      <c r="BCQ202" s="26"/>
      <c r="BCR202" s="26"/>
      <c r="BCS202" s="26"/>
      <c r="BCT202" s="26"/>
      <c r="BCU202" s="26"/>
      <c r="BCV202" s="26"/>
      <c r="BCW202" s="26"/>
      <c r="BCX202" s="26"/>
      <c r="BCY202" s="26"/>
      <c r="BCZ202" s="26"/>
      <c r="BDA202" s="26"/>
      <c r="BDB202" s="26"/>
      <c r="BDC202" s="26"/>
      <c r="BDD202" s="26"/>
      <c r="BDE202" s="26"/>
      <c r="BDF202" s="26"/>
      <c r="BDG202" s="26"/>
      <c r="BDH202" s="26"/>
      <c r="BDI202" s="26"/>
      <c r="BDJ202" s="26"/>
      <c r="BDK202" s="26"/>
      <c r="BDL202" s="26"/>
      <c r="BDM202" s="26"/>
      <c r="BDN202" s="26"/>
      <c r="BDO202" s="26"/>
      <c r="BDP202" s="26"/>
      <c r="BDQ202" s="26"/>
      <c r="BDR202" s="26"/>
      <c r="BDS202" s="26"/>
      <c r="BDT202" s="26"/>
      <c r="BDU202" s="26"/>
      <c r="BDV202" s="26"/>
      <c r="BDW202" s="26"/>
      <c r="BDX202" s="26"/>
      <c r="BDY202" s="26"/>
      <c r="BDZ202" s="26"/>
      <c r="BEA202" s="26"/>
      <c r="BEB202" s="26"/>
      <c r="BEC202" s="26"/>
      <c r="BED202" s="26"/>
      <c r="BEE202" s="26"/>
      <c r="BEF202" s="26"/>
      <c r="BEG202" s="26"/>
      <c r="BEH202" s="26"/>
      <c r="BEI202" s="26"/>
      <c r="BEJ202" s="26"/>
      <c r="BEK202" s="26"/>
      <c r="BEL202" s="26"/>
      <c r="BEM202" s="26"/>
      <c r="BEN202" s="26"/>
      <c r="BEO202" s="26"/>
      <c r="BEP202" s="26"/>
      <c r="BEQ202" s="26"/>
      <c r="BER202" s="26"/>
      <c r="BES202" s="26"/>
      <c r="BET202" s="26"/>
      <c r="BEU202" s="26"/>
      <c r="BEV202" s="26"/>
      <c r="BEW202" s="26"/>
      <c r="BEX202" s="26"/>
      <c r="BEY202" s="26"/>
      <c r="BEZ202" s="26"/>
      <c r="BFA202" s="26"/>
      <c r="BFB202" s="26"/>
      <c r="BFC202" s="26"/>
      <c r="BFD202" s="26"/>
      <c r="BFE202" s="26"/>
      <c r="BFF202" s="26"/>
      <c r="BFG202" s="26"/>
      <c r="BFH202" s="26"/>
      <c r="BFI202" s="26"/>
      <c r="BFJ202" s="26"/>
      <c r="BFK202" s="26"/>
      <c r="BFL202" s="26"/>
      <c r="BFM202" s="26"/>
      <c r="BFN202" s="26"/>
      <c r="BFO202" s="26"/>
      <c r="BFP202" s="26"/>
      <c r="BFQ202" s="26"/>
      <c r="BFR202" s="26"/>
      <c r="BFS202" s="26"/>
      <c r="BFT202" s="26"/>
      <c r="BFU202" s="26"/>
      <c r="BFV202" s="26"/>
      <c r="BFW202" s="26"/>
      <c r="BFX202" s="26"/>
      <c r="BFY202" s="26"/>
      <c r="BFZ202" s="26"/>
      <c r="BGA202" s="26"/>
      <c r="BGB202" s="26"/>
      <c r="BGC202" s="26"/>
      <c r="BGD202" s="26"/>
      <c r="BGE202" s="26"/>
      <c r="BGF202" s="26"/>
      <c r="BGG202" s="26"/>
      <c r="BGH202" s="26"/>
      <c r="BGI202" s="26"/>
      <c r="BGJ202" s="26"/>
      <c r="BGK202" s="26"/>
      <c r="BGL202" s="26"/>
      <c r="BGM202" s="26"/>
      <c r="BGN202" s="26"/>
      <c r="BGO202" s="26"/>
      <c r="BGP202" s="26"/>
      <c r="BGQ202" s="26"/>
      <c r="BGR202" s="26"/>
      <c r="BGS202" s="26"/>
      <c r="BGT202" s="26"/>
      <c r="BGU202" s="26"/>
      <c r="BGV202" s="26"/>
      <c r="BGW202" s="26"/>
      <c r="BGX202" s="26"/>
      <c r="BGY202" s="26"/>
      <c r="BGZ202" s="26"/>
      <c r="BHA202" s="26"/>
      <c r="BHB202" s="26"/>
      <c r="BHC202" s="26"/>
      <c r="BHD202" s="26"/>
      <c r="BHE202" s="26"/>
      <c r="BHF202" s="26"/>
      <c r="BHG202" s="26"/>
      <c r="BHH202" s="26"/>
      <c r="BHI202" s="26"/>
      <c r="BHJ202" s="26"/>
      <c r="BHK202" s="26"/>
      <c r="BHL202" s="26"/>
      <c r="BHM202" s="26"/>
      <c r="BHN202" s="26"/>
      <c r="BHO202" s="26"/>
      <c r="BHP202" s="26"/>
      <c r="BHQ202" s="26"/>
      <c r="BHR202" s="26"/>
      <c r="BHS202" s="26"/>
      <c r="BHT202" s="26"/>
      <c r="BHU202" s="26"/>
      <c r="BHV202" s="26"/>
      <c r="BHW202" s="26"/>
      <c r="BHX202" s="26"/>
      <c r="BHY202" s="26"/>
      <c r="BHZ202" s="26"/>
      <c r="BIA202" s="26"/>
      <c r="BIB202" s="26"/>
      <c r="BIC202" s="26"/>
      <c r="BID202" s="26"/>
      <c r="BIE202" s="26"/>
      <c r="BIF202" s="26"/>
      <c r="BIG202" s="26"/>
      <c r="BIH202" s="26"/>
      <c r="BII202" s="26"/>
      <c r="BIJ202" s="26"/>
      <c r="BIK202" s="26"/>
      <c r="BIL202" s="26"/>
      <c r="BIM202" s="26"/>
      <c r="BIN202" s="26"/>
      <c r="BIO202" s="26"/>
      <c r="BIP202" s="26"/>
      <c r="BIQ202" s="26"/>
      <c r="BIR202" s="26"/>
      <c r="BIS202" s="26"/>
      <c r="BIT202" s="26"/>
      <c r="BIU202" s="26"/>
      <c r="BIV202" s="26"/>
      <c r="BIW202" s="26"/>
      <c r="BIX202" s="26"/>
      <c r="BIY202" s="26"/>
      <c r="BIZ202" s="26"/>
      <c r="BJA202" s="26"/>
      <c r="BJB202" s="26"/>
      <c r="BJC202" s="26"/>
      <c r="BJD202" s="26"/>
      <c r="BJE202" s="26"/>
      <c r="BJF202" s="26"/>
      <c r="BJG202" s="26"/>
      <c r="BJH202" s="26"/>
      <c r="BJI202" s="26"/>
      <c r="BJJ202" s="26"/>
      <c r="BJK202" s="26"/>
      <c r="BJL202" s="26"/>
      <c r="BJM202" s="26"/>
      <c r="BJN202" s="26"/>
      <c r="BJO202" s="26"/>
      <c r="BJP202" s="26"/>
      <c r="BJQ202" s="26"/>
      <c r="BJR202" s="26"/>
      <c r="BJS202" s="26"/>
      <c r="BJT202" s="26"/>
      <c r="BJU202" s="26"/>
      <c r="BJV202" s="26"/>
      <c r="BJW202" s="26"/>
      <c r="BJX202" s="26"/>
      <c r="BJY202" s="26"/>
      <c r="BJZ202" s="26"/>
      <c r="BKA202" s="26"/>
      <c r="BKB202" s="26"/>
      <c r="BKC202" s="26"/>
      <c r="BKD202" s="26"/>
      <c r="BKE202" s="26"/>
      <c r="BKF202" s="26"/>
      <c r="BKG202" s="26"/>
      <c r="BKH202" s="26"/>
      <c r="BKI202" s="26"/>
      <c r="BKJ202" s="26"/>
      <c r="BKK202" s="26"/>
      <c r="BKL202" s="26"/>
      <c r="BKM202" s="26"/>
      <c r="BKN202" s="26"/>
      <c r="BKO202" s="26"/>
      <c r="BKP202" s="26"/>
      <c r="BKQ202" s="26"/>
      <c r="BKR202" s="26"/>
      <c r="BKS202" s="26"/>
      <c r="BKT202" s="26"/>
      <c r="BKU202" s="26"/>
      <c r="BKV202" s="26"/>
      <c r="BKW202" s="26"/>
      <c r="BKX202" s="26"/>
      <c r="BKY202" s="26"/>
      <c r="BKZ202" s="26"/>
      <c r="BLA202" s="26"/>
      <c r="BLB202" s="26"/>
      <c r="BLC202" s="26"/>
      <c r="BLD202" s="26"/>
      <c r="BLE202" s="26"/>
      <c r="BLF202" s="26"/>
      <c r="BLG202" s="26"/>
      <c r="BLH202" s="26"/>
      <c r="BLI202" s="26"/>
      <c r="BLJ202" s="26"/>
      <c r="BLK202" s="26"/>
      <c r="BLL202" s="26"/>
      <c r="BLM202" s="26"/>
      <c r="BLN202" s="26"/>
      <c r="BLO202" s="26"/>
      <c r="BLP202" s="26"/>
      <c r="BLQ202" s="26"/>
      <c r="BLR202" s="26"/>
      <c r="BLS202" s="26"/>
      <c r="BLT202" s="26"/>
      <c r="BLU202" s="26"/>
      <c r="BLV202" s="26"/>
      <c r="BLW202" s="26"/>
      <c r="BLX202" s="26"/>
      <c r="BLY202" s="26"/>
      <c r="BLZ202" s="26"/>
      <c r="BMA202" s="26"/>
      <c r="BMB202" s="26"/>
      <c r="BMC202" s="26"/>
      <c r="BMD202" s="26"/>
      <c r="BME202" s="26"/>
      <c r="BMF202" s="26"/>
      <c r="BMG202" s="26"/>
      <c r="BMH202" s="26"/>
      <c r="BMI202" s="26"/>
      <c r="BMJ202" s="26"/>
      <c r="BMK202" s="26"/>
      <c r="BML202" s="26"/>
      <c r="BMM202" s="26"/>
      <c r="BMN202" s="26"/>
      <c r="BMO202" s="26"/>
      <c r="BMP202" s="26"/>
      <c r="BMQ202" s="26"/>
      <c r="BMR202" s="26"/>
      <c r="BMS202" s="26"/>
      <c r="BMT202" s="26"/>
      <c r="BMU202" s="26"/>
      <c r="BMV202" s="26"/>
      <c r="BMW202" s="26"/>
      <c r="BMX202" s="26"/>
      <c r="BMY202" s="26"/>
      <c r="BMZ202" s="26"/>
      <c r="BNA202" s="26"/>
      <c r="BNB202" s="26"/>
      <c r="BNC202" s="26"/>
      <c r="BND202" s="26"/>
      <c r="BNE202" s="26"/>
      <c r="BNF202" s="26"/>
      <c r="BNG202" s="26"/>
      <c r="BNH202" s="26"/>
      <c r="BNI202" s="26"/>
      <c r="BNJ202" s="26"/>
      <c r="BNK202" s="26"/>
      <c r="BNL202" s="26"/>
      <c r="BNM202" s="26"/>
      <c r="BNN202" s="26"/>
      <c r="BNO202" s="26"/>
      <c r="BNP202" s="26"/>
      <c r="BNQ202" s="26"/>
      <c r="BNR202" s="26"/>
      <c r="BNS202" s="26"/>
      <c r="BNT202" s="26"/>
      <c r="BNU202" s="26"/>
      <c r="BNV202" s="26"/>
      <c r="BNW202" s="26"/>
      <c r="BNX202" s="26"/>
      <c r="BNY202" s="26"/>
      <c r="BNZ202" s="26"/>
      <c r="BOA202" s="26"/>
      <c r="BOB202" s="26"/>
      <c r="BOC202" s="26"/>
      <c r="BOD202" s="26"/>
      <c r="BOE202" s="26"/>
      <c r="BOF202" s="26"/>
      <c r="BOG202" s="26"/>
      <c r="BOH202" s="26"/>
      <c r="BOI202" s="26"/>
      <c r="BOJ202" s="26"/>
      <c r="BOK202" s="26"/>
      <c r="BOL202" s="26"/>
      <c r="BOM202" s="26"/>
      <c r="BON202" s="26"/>
      <c r="BOO202" s="26"/>
      <c r="BOP202" s="26"/>
      <c r="BOQ202" s="26"/>
      <c r="BOR202" s="26"/>
      <c r="BOS202" s="26"/>
      <c r="BOT202" s="26"/>
      <c r="BOU202" s="26"/>
      <c r="BOV202" s="26"/>
      <c r="BOW202" s="26"/>
      <c r="BOX202" s="26"/>
      <c r="BOY202" s="26"/>
      <c r="BOZ202" s="26"/>
      <c r="BPA202" s="26"/>
      <c r="BPB202" s="26"/>
      <c r="BPC202" s="26"/>
      <c r="BPD202" s="26"/>
      <c r="BPE202" s="26"/>
      <c r="BPF202" s="26"/>
      <c r="BPG202" s="26"/>
      <c r="BPH202" s="26"/>
      <c r="BPI202" s="26"/>
      <c r="BPJ202" s="26"/>
      <c r="BPK202" s="26"/>
      <c r="BPL202" s="26"/>
      <c r="BPM202" s="26"/>
      <c r="BPN202" s="26"/>
      <c r="BPO202" s="26"/>
      <c r="BPP202" s="26"/>
      <c r="BPQ202" s="26"/>
      <c r="BPR202" s="26"/>
      <c r="BPS202" s="26"/>
      <c r="BPT202" s="26"/>
      <c r="BPU202" s="26"/>
      <c r="BPV202" s="26"/>
      <c r="BPW202" s="26"/>
      <c r="BPX202" s="26"/>
      <c r="BPY202" s="26"/>
      <c r="BPZ202" s="26"/>
      <c r="BQA202" s="26"/>
      <c r="BQB202" s="26"/>
      <c r="BQC202" s="26"/>
      <c r="BQD202" s="26"/>
      <c r="BQE202" s="26"/>
      <c r="BQF202" s="26"/>
      <c r="BQG202" s="26"/>
      <c r="BQH202" s="26"/>
      <c r="BQI202" s="26"/>
      <c r="BQJ202" s="26"/>
      <c r="BQK202" s="26"/>
      <c r="BQL202" s="26"/>
      <c r="BQM202" s="26"/>
      <c r="BQN202" s="26"/>
      <c r="BQO202" s="26"/>
      <c r="BQP202" s="26"/>
      <c r="BQQ202" s="26"/>
      <c r="BQR202" s="26"/>
      <c r="BQS202" s="26"/>
      <c r="BQT202" s="26"/>
      <c r="BQU202" s="26"/>
      <c r="BQV202" s="26"/>
      <c r="BQW202" s="26"/>
      <c r="BQX202" s="26"/>
      <c r="BQY202" s="26"/>
      <c r="BQZ202" s="26"/>
      <c r="BRA202" s="26"/>
      <c r="BRB202" s="26"/>
      <c r="BRC202" s="26"/>
      <c r="BRD202" s="26"/>
      <c r="BRE202" s="26"/>
      <c r="BRF202" s="26"/>
      <c r="BRG202" s="26"/>
      <c r="BRH202" s="26"/>
      <c r="BRI202" s="26"/>
      <c r="BRJ202" s="26"/>
      <c r="BRK202" s="26"/>
      <c r="BRL202" s="26"/>
      <c r="BRM202" s="26"/>
      <c r="BRN202" s="26"/>
      <c r="BRO202" s="26"/>
      <c r="BRP202" s="26"/>
      <c r="BRQ202" s="26"/>
      <c r="BRR202" s="26"/>
      <c r="BRS202" s="26"/>
      <c r="BRT202" s="26"/>
      <c r="BRU202" s="26"/>
      <c r="BRV202" s="26"/>
      <c r="BRW202" s="26"/>
      <c r="BRX202" s="26"/>
      <c r="BRY202" s="26"/>
      <c r="BRZ202" s="26"/>
      <c r="BSA202" s="26"/>
      <c r="BSB202" s="26"/>
      <c r="BSC202" s="26"/>
      <c r="BSD202" s="26"/>
      <c r="BSE202" s="26"/>
      <c r="BSF202" s="26"/>
      <c r="BSG202" s="26"/>
      <c r="BSH202" s="26"/>
      <c r="BSI202" s="26"/>
      <c r="BSJ202" s="26"/>
      <c r="BSK202" s="26"/>
      <c r="BSL202" s="26"/>
      <c r="BSM202" s="26"/>
      <c r="BSN202" s="26"/>
      <c r="BSO202" s="26"/>
      <c r="BSP202" s="26"/>
      <c r="BSQ202" s="26"/>
      <c r="BSR202" s="26"/>
      <c r="BSS202" s="26"/>
      <c r="BST202" s="26"/>
      <c r="BSU202" s="26"/>
      <c r="BSV202" s="26"/>
      <c r="BSW202" s="26"/>
      <c r="BSX202" s="26"/>
      <c r="BSY202" s="26"/>
      <c r="BSZ202" s="26"/>
      <c r="BTA202" s="26"/>
      <c r="BTB202" s="26"/>
      <c r="BTC202" s="26"/>
      <c r="BTD202" s="26"/>
      <c r="BTE202" s="26"/>
      <c r="BTF202" s="26"/>
      <c r="BTG202" s="26"/>
      <c r="BTH202" s="26"/>
      <c r="BTI202" s="26"/>
      <c r="BTJ202" s="26"/>
      <c r="BTK202" s="26"/>
      <c r="BTL202" s="26"/>
      <c r="BTM202" s="26"/>
      <c r="BTN202" s="26"/>
      <c r="BTO202" s="26"/>
      <c r="BTP202" s="26"/>
      <c r="BTQ202" s="26"/>
      <c r="BTR202" s="26"/>
      <c r="BTS202" s="26"/>
      <c r="BTT202" s="26"/>
      <c r="BTU202" s="26"/>
      <c r="BTV202" s="26"/>
      <c r="BTW202" s="26"/>
      <c r="BTX202" s="26"/>
      <c r="BTY202" s="26"/>
      <c r="BTZ202" s="26"/>
      <c r="BUA202" s="26"/>
      <c r="BUB202" s="26"/>
      <c r="BUC202" s="26"/>
      <c r="BUD202" s="26"/>
      <c r="BUE202" s="26"/>
      <c r="BUF202" s="26"/>
      <c r="BUG202" s="26"/>
      <c r="BUH202" s="26"/>
      <c r="BUI202" s="26"/>
      <c r="BUJ202" s="26"/>
      <c r="BUK202" s="26"/>
      <c r="BUL202" s="26"/>
      <c r="BUM202" s="26"/>
      <c r="BUN202" s="26"/>
      <c r="BUO202" s="26"/>
      <c r="BUP202" s="26"/>
      <c r="BUQ202" s="26"/>
      <c r="BUR202" s="26"/>
      <c r="BUS202" s="26"/>
      <c r="BUT202" s="26"/>
      <c r="BUU202" s="26"/>
      <c r="BUV202" s="26"/>
      <c r="BUW202" s="26"/>
      <c r="BUX202" s="26"/>
      <c r="BUY202" s="26"/>
      <c r="BUZ202" s="26"/>
      <c r="BVA202" s="26"/>
      <c r="BVB202" s="26"/>
      <c r="BVC202" s="26"/>
      <c r="BVD202" s="26"/>
      <c r="BVE202" s="26"/>
      <c r="BVF202" s="26"/>
      <c r="BVG202" s="26"/>
      <c r="BVH202" s="26"/>
      <c r="BVI202" s="26"/>
      <c r="BVJ202" s="26"/>
      <c r="BVK202" s="26"/>
      <c r="BVL202" s="26"/>
      <c r="BVM202" s="26"/>
      <c r="BVN202" s="26"/>
      <c r="BVO202" s="26"/>
      <c r="BVP202" s="26"/>
      <c r="BVQ202" s="26"/>
      <c r="BVR202" s="26"/>
      <c r="BVS202" s="26"/>
      <c r="BVT202" s="26"/>
      <c r="BVU202" s="26"/>
      <c r="BVV202" s="26"/>
      <c r="BVW202" s="26"/>
      <c r="BVX202" s="26"/>
      <c r="BVY202" s="26"/>
      <c r="BVZ202" s="26"/>
      <c r="BWA202" s="26"/>
      <c r="BWB202" s="26"/>
      <c r="BWC202" s="26"/>
      <c r="BWD202" s="26"/>
      <c r="BWE202" s="26"/>
      <c r="BWF202" s="26"/>
      <c r="BWG202" s="26"/>
      <c r="BWH202" s="26"/>
      <c r="BWI202" s="26"/>
      <c r="BWJ202" s="26"/>
      <c r="BWK202" s="26"/>
      <c r="BWL202" s="26"/>
      <c r="BWM202" s="26"/>
      <c r="BWN202" s="26"/>
      <c r="BWO202" s="26"/>
      <c r="BWP202" s="26"/>
      <c r="BWQ202" s="26"/>
      <c r="BWR202" s="26"/>
      <c r="BWS202" s="26"/>
      <c r="BWT202" s="26"/>
      <c r="BWU202" s="26"/>
      <c r="BWV202" s="26"/>
      <c r="BWW202" s="26"/>
      <c r="BWX202" s="26"/>
      <c r="BWY202" s="26"/>
      <c r="BWZ202" s="26"/>
      <c r="BXA202" s="26"/>
      <c r="BXB202" s="26"/>
      <c r="BXC202" s="26"/>
      <c r="BXD202" s="26"/>
      <c r="BXE202" s="26"/>
      <c r="BXF202" s="26"/>
      <c r="BXG202" s="26"/>
      <c r="BXH202" s="26"/>
      <c r="BXI202" s="26"/>
      <c r="BXJ202" s="26"/>
      <c r="BXK202" s="26"/>
      <c r="BXL202" s="26"/>
      <c r="BXM202" s="26"/>
      <c r="BXN202" s="26"/>
      <c r="BXO202" s="26"/>
      <c r="BXP202" s="26"/>
      <c r="BXQ202" s="26"/>
      <c r="BXR202" s="26"/>
      <c r="BXS202" s="26"/>
      <c r="BXT202" s="26"/>
      <c r="BXU202" s="26"/>
      <c r="BXV202" s="26"/>
      <c r="BXW202" s="26"/>
      <c r="BXX202" s="26"/>
      <c r="BXY202" s="26"/>
      <c r="BXZ202" s="26"/>
      <c r="BYA202" s="26"/>
      <c r="BYB202" s="26"/>
      <c r="BYC202" s="26"/>
      <c r="BYD202" s="26"/>
      <c r="BYE202" s="26"/>
      <c r="BYF202" s="26"/>
      <c r="BYG202" s="26"/>
      <c r="BYH202" s="26"/>
      <c r="BYI202" s="26"/>
      <c r="BYJ202" s="26"/>
      <c r="BYK202" s="26"/>
      <c r="BYL202" s="26"/>
      <c r="BYM202" s="26"/>
      <c r="BYN202" s="26"/>
      <c r="BYO202" s="26"/>
      <c r="BYP202" s="26"/>
      <c r="BYQ202" s="26"/>
      <c r="BYR202" s="26"/>
      <c r="BYS202" s="26"/>
      <c r="BYT202" s="26"/>
      <c r="BYU202" s="26"/>
      <c r="BYV202" s="26"/>
      <c r="BYW202" s="26"/>
      <c r="BYX202" s="26"/>
      <c r="BYY202" s="26"/>
      <c r="BYZ202" s="26"/>
      <c r="BZA202" s="26"/>
      <c r="BZB202" s="26"/>
      <c r="BZC202" s="26"/>
      <c r="BZD202" s="26"/>
      <c r="BZE202" s="26"/>
      <c r="BZF202" s="26"/>
      <c r="BZG202" s="26"/>
      <c r="BZH202" s="26"/>
      <c r="BZI202" s="26"/>
      <c r="BZJ202" s="26"/>
      <c r="BZK202" s="26"/>
      <c r="BZL202" s="26"/>
      <c r="BZM202" s="26"/>
      <c r="BZN202" s="26"/>
      <c r="BZO202" s="26"/>
      <c r="BZP202" s="26"/>
      <c r="BZQ202" s="26"/>
      <c r="BZR202" s="26"/>
      <c r="BZS202" s="26"/>
      <c r="BZT202" s="26"/>
      <c r="BZU202" s="26"/>
      <c r="BZV202" s="26"/>
      <c r="BZW202" s="26"/>
      <c r="BZX202" s="26"/>
      <c r="BZY202" s="26"/>
      <c r="BZZ202" s="26"/>
      <c r="CAA202" s="26"/>
      <c r="CAB202" s="26"/>
      <c r="CAC202" s="26"/>
      <c r="CAD202" s="26"/>
      <c r="CAE202" s="26"/>
      <c r="CAF202" s="26"/>
      <c r="CAG202" s="26"/>
      <c r="CAH202" s="26"/>
      <c r="CAI202" s="26"/>
      <c r="CAJ202" s="26"/>
      <c r="CAK202" s="26"/>
      <c r="CAL202" s="26"/>
      <c r="CAM202" s="26"/>
      <c r="CAN202" s="26"/>
      <c r="CAO202" s="26"/>
      <c r="CAP202" s="26"/>
      <c r="CAQ202" s="26"/>
      <c r="CAR202" s="26"/>
      <c r="CAS202" s="26"/>
      <c r="CAT202" s="26"/>
      <c r="CAU202" s="26"/>
      <c r="CAV202" s="26"/>
      <c r="CAW202" s="26"/>
      <c r="CAX202" s="26"/>
      <c r="CAY202" s="26"/>
      <c r="CAZ202" s="26"/>
      <c r="CBA202" s="26"/>
      <c r="CBB202" s="26"/>
      <c r="CBC202" s="26"/>
      <c r="CBD202" s="26"/>
      <c r="CBE202" s="26"/>
      <c r="CBF202" s="26"/>
      <c r="CBG202" s="26"/>
      <c r="CBH202" s="26"/>
      <c r="CBI202" s="26"/>
    </row>
    <row r="203" spans="1:2089" s="53" customFormat="1" ht="14" customHeight="1">
      <c r="A203" s="27">
        <v>202</v>
      </c>
      <c r="B203" s="27" t="s">
        <v>574</v>
      </c>
      <c r="C203" s="27">
        <v>2007</v>
      </c>
      <c r="D203" s="26" t="s">
        <v>13</v>
      </c>
      <c r="E203" s="26" t="s">
        <v>566</v>
      </c>
      <c r="F203" s="77" t="s">
        <v>175</v>
      </c>
      <c r="G203" s="2" t="s">
        <v>105</v>
      </c>
      <c r="H203" s="2" t="s">
        <v>30</v>
      </c>
      <c r="I203" s="2" t="s">
        <v>548</v>
      </c>
      <c r="J203" s="2" t="s">
        <v>604</v>
      </c>
      <c r="K203" s="2" t="s">
        <v>548</v>
      </c>
      <c r="L203" s="2" t="s">
        <v>548</v>
      </c>
      <c r="M203" s="2" t="s">
        <v>175</v>
      </c>
      <c r="N203" s="2" t="s">
        <v>70</v>
      </c>
      <c r="O203" s="2" t="s">
        <v>209</v>
      </c>
      <c r="P203" s="2" t="s">
        <v>611</v>
      </c>
      <c r="Q203" s="2" t="s">
        <v>42</v>
      </c>
      <c r="R203" s="79" t="s">
        <v>613</v>
      </c>
      <c r="S203" s="88">
        <v>1</v>
      </c>
      <c r="T203" s="61">
        <v>12</v>
      </c>
      <c r="U203" s="77">
        <v>1</v>
      </c>
      <c r="V203" s="26">
        <v>1</v>
      </c>
      <c r="W203" s="26">
        <v>1</v>
      </c>
      <c r="X203" s="26">
        <v>1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f>3/12</f>
        <v>0.25</v>
      </c>
      <c r="AF203" s="26">
        <f>9/12</f>
        <v>0.75</v>
      </c>
      <c r="AG203" s="26">
        <v>116.5</v>
      </c>
      <c r="AH203" s="26">
        <v>112.1</v>
      </c>
      <c r="AI203" s="26">
        <v>122</v>
      </c>
      <c r="AJ203" s="26" t="s">
        <v>576</v>
      </c>
      <c r="AK203" s="26">
        <v>31.4</v>
      </c>
      <c r="AL203" s="26" t="s">
        <v>70</v>
      </c>
      <c r="AM203" s="61" t="s">
        <v>175</v>
      </c>
      <c r="AN203" s="32" t="s">
        <v>9</v>
      </c>
      <c r="AO203" s="35" t="s">
        <v>548</v>
      </c>
      <c r="AP203" s="35" t="s">
        <v>548</v>
      </c>
      <c r="AQ203" s="35" t="s">
        <v>548</v>
      </c>
      <c r="AR203" s="35" t="s">
        <v>548</v>
      </c>
      <c r="AS203" s="26" t="s">
        <v>175</v>
      </c>
      <c r="AT203" s="26" t="s">
        <v>70</v>
      </c>
      <c r="AU203" s="26" t="s">
        <v>70</v>
      </c>
      <c r="AV203" s="26">
        <v>7</v>
      </c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  <c r="GR203" s="26"/>
      <c r="GS203" s="26"/>
      <c r="GT203" s="26"/>
      <c r="GU203" s="26"/>
      <c r="GV203" s="26"/>
      <c r="GW203" s="26"/>
      <c r="GX203" s="26"/>
      <c r="GY203" s="26"/>
      <c r="GZ203" s="26"/>
      <c r="HA203" s="26"/>
      <c r="HB203" s="26"/>
      <c r="HC203" s="26"/>
      <c r="HD203" s="26"/>
      <c r="HE203" s="26"/>
      <c r="HF203" s="26"/>
      <c r="HG203" s="26"/>
      <c r="HH203" s="26"/>
      <c r="HI203" s="26"/>
      <c r="HJ203" s="26"/>
      <c r="HK203" s="26"/>
      <c r="HL203" s="26"/>
      <c r="HM203" s="26"/>
      <c r="HN203" s="26"/>
      <c r="HO203" s="26"/>
      <c r="HP203" s="26"/>
      <c r="HQ203" s="26"/>
      <c r="HR203" s="26"/>
      <c r="HS203" s="26"/>
      <c r="HT203" s="26"/>
      <c r="HU203" s="26"/>
      <c r="HV203" s="26"/>
      <c r="HW203" s="26"/>
      <c r="HX203" s="26"/>
      <c r="HY203" s="26"/>
      <c r="HZ203" s="26"/>
      <c r="IA203" s="26"/>
      <c r="IB203" s="26"/>
      <c r="IC203" s="26"/>
      <c r="ID203" s="26"/>
      <c r="IE203" s="26"/>
      <c r="IF203" s="26"/>
      <c r="IG203" s="26"/>
      <c r="IH203" s="26"/>
      <c r="II203" s="26"/>
      <c r="IJ203" s="26"/>
      <c r="IK203" s="26"/>
      <c r="IL203" s="26"/>
      <c r="IM203" s="26"/>
      <c r="IN203" s="26"/>
      <c r="IO203" s="26"/>
      <c r="IP203" s="26"/>
      <c r="IQ203" s="26"/>
      <c r="IR203" s="26"/>
      <c r="IS203" s="26"/>
      <c r="IT203" s="26"/>
      <c r="IU203" s="26"/>
      <c r="IV203" s="26"/>
      <c r="IW203" s="26"/>
      <c r="IX203" s="26"/>
      <c r="IY203" s="26"/>
      <c r="IZ203" s="26"/>
      <c r="JA203" s="26"/>
      <c r="JB203" s="26"/>
      <c r="JC203" s="26"/>
      <c r="JD203" s="26"/>
      <c r="JE203" s="26"/>
      <c r="JF203" s="26"/>
      <c r="JG203" s="26"/>
      <c r="JH203" s="26"/>
      <c r="JI203" s="26"/>
      <c r="JJ203" s="26"/>
      <c r="JK203" s="26"/>
      <c r="JL203" s="26"/>
      <c r="JM203" s="26"/>
      <c r="JN203" s="26"/>
      <c r="JO203" s="26"/>
      <c r="JP203" s="26"/>
      <c r="JQ203" s="26"/>
      <c r="JR203" s="26"/>
      <c r="JS203" s="26"/>
      <c r="JT203" s="26"/>
      <c r="JU203" s="26"/>
      <c r="JV203" s="26"/>
      <c r="JW203" s="26"/>
      <c r="JX203" s="26"/>
      <c r="JY203" s="26"/>
      <c r="JZ203" s="26"/>
      <c r="KA203" s="26"/>
      <c r="KB203" s="26"/>
      <c r="KC203" s="26"/>
      <c r="KD203" s="26"/>
      <c r="KE203" s="26"/>
      <c r="KF203" s="26"/>
      <c r="KG203" s="26"/>
      <c r="KH203" s="26"/>
      <c r="KI203" s="26"/>
      <c r="KJ203" s="26"/>
      <c r="KK203" s="26"/>
      <c r="KL203" s="26"/>
      <c r="KM203" s="26"/>
      <c r="KN203" s="26"/>
      <c r="KO203" s="26"/>
      <c r="KP203" s="26"/>
      <c r="KQ203" s="26"/>
      <c r="KR203" s="26"/>
      <c r="KS203" s="26"/>
      <c r="KT203" s="26"/>
      <c r="KU203" s="26"/>
      <c r="KV203" s="26"/>
      <c r="KW203" s="26"/>
      <c r="KX203" s="26"/>
      <c r="KY203" s="26"/>
      <c r="KZ203" s="26"/>
      <c r="LA203" s="26"/>
      <c r="LB203" s="26"/>
      <c r="LC203" s="26"/>
      <c r="LD203" s="26"/>
      <c r="LE203" s="26"/>
      <c r="LF203" s="26"/>
      <c r="LG203" s="26"/>
      <c r="LH203" s="26"/>
      <c r="LI203" s="26"/>
      <c r="LJ203" s="26"/>
      <c r="LK203" s="26"/>
      <c r="LL203" s="26"/>
      <c r="LM203" s="26"/>
      <c r="LN203" s="26"/>
      <c r="LO203" s="26"/>
      <c r="LP203" s="26"/>
      <c r="LQ203" s="26"/>
      <c r="LR203" s="26"/>
      <c r="LS203" s="26"/>
      <c r="LT203" s="26"/>
      <c r="LU203" s="26"/>
      <c r="LV203" s="26"/>
      <c r="LW203" s="26"/>
      <c r="LX203" s="26"/>
      <c r="LY203" s="26"/>
      <c r="LZ203" s="26"/>
      <c r="MA203" s="26"/>
      <c r="MB203" s="26"/>
      <c r="MC203" s="26"/>
      <c r="MD203" s="26"/>
      <c r="ME203" s="26"/>
      <c r="MF203" s="26"/>
      <c r="MG203" s="26"/>
      <c r="MH203" s="26"/>
      <c r="MI203" s="26"/>
      <c r="MJ203" s="26"/>
      <c r="MK203" s="26"/>
      <c r="ML203" s="26"/>
      <c r="MM203" s="26"/>
      <c r="MN203" s="26"/>
      <c r="MO203" s="26"/>
      <c r="MP203" s="26"/>
      <c r="MQ203" s="26"/>
      <c r="MR203" s="26"/>
      <c r="MS203" s="26"/>
      <c r="MT203" s="26"/>
      <c r="MU203" s="26"/>
      <c r="MV203" s="26"/>
      <c r="MW203" s="26"/>
      <c r="MX203" s="26"/>
      <c r="MY203" s="26"/>
      <c r="MZ203" s="26"/>
      <c r="NA203" s="26"/>
      <c r="NB203" s="26"/>
      <c r="NC203" s="26"/>
      <c r="ND203" s="26"/>
      <c r="NE203" s="26"/>
      <c r="NF203" s="26"/>
      <c r="NG203" s="26"/>
      <c r="NH203" s="26"/>
      <c r="NI203" s="26"/>
      <c r="NJ203" s="26"/>
      <c r="NK203" s="26"/>
      <c r="NL203" s="26"/>
      <c r="NM203" s="26"/>
      <c r="NN203" s="26"/>
      <c r="NO203" s="26"/>
      <c r="NP203" s="26"/>
      <c r="NQ203" s="26"/>
      <c r="NR203" s="26"/>
      <c r="NS203" s="26"/>
      <c r="NT203" s="26"/>
      <c r="NU203" s="26"/>
      <c r="NV203" s="26"/>
      <c r="NW203" s="26"/>
      <c r="NX203" s="26"/>
      <c r="NY203" s="26"/>
      <c r="NZ203" s="26"/>
      <c r="OA203" s="26"/>
      <c r="OB203" s="26"/>
      <c r="OC203" s="26"/>
      <c r="OD203" s="26"/>
      <c r="OE203" s="26"/>
      <c r="OF203" s="26"/>
      <c r="OG203" s="26"/>
      <c r="OH203" s="26"/>
      <c r="OI203" s="26"/>
      <c r="OJ203" s="26"/>
      <c r="OK203" s="26"/>
      <c r="OL203" s="26"/>
      <c r="OM203" s="26"/>
      <c r="ON203" s="26"/>
      <c r="OO203" s="26"/>
      <c r="OP203" s="26"/>
      <c r="OQ203" s="26"/>
      <c r="OR203" s="26"/>
      <c r="OS203" s="26"/>
      <c r="OT203" s="26"/>
      <c r="OU203" s="26"/>
      <c r="OV203" s="26"/>
      <c r="OW203" s="26"/>
      <c r="OX203" s="26"/>
      <c r="OY203" s="26"/>
      <c r="OZ203" s="26"/>
      <c r="PA203" s="26"/>
      <c r="PB203" s="26"/>
      <c r="PC203" s="26"/>
      <c r="PD203" s="26"/>
      <c r="PE203" s="26"/>
      <c r="PF203" s="26"/>
      <c r="PG203" s="26"/>
      <c r="PH203" s="26"/>
      <c r="PI203" s="26"/>
      <c r="PJ203" s="26"/>
      <c r="PK203" s="26"/>
      <c r="PL203" s="26"/>
      <c r="PM203" s="26"/>
      <c r="PN203" s="26"/>
      <c r="PO203" s="26"/>
      <c r="PP203" s="26"/>
      <c r="PQ203" s="26"/>
      <c r="PR203" s="26"/>
      <c r="PS203" s="26"/>
      <c r="PT203" s="26"/>
      <c r="PU203" s="26"/>
      <c r="PV203" s="26"/>
      <c r="PW203" s="26"/>
      <c r="PX203" s="26"/>
      <c r="PY203" s="26"/>
      <c r="PZ203" s="26"/>
      <c r="QA203" s="26"/>
      <c r="QB203" s="26"/>
      <c r="QC203" s="26"/>
      <c r="QD203" s="26"/>
      <c r="QE203" s="26"/>
      <c r="QF203" s="26"/>
      <c r="QG203" s="26"/>
      <c r="QH203" s="26"/>
      <c r="QI203" s="26"/>
      <c r="QJ203" s="26"/>
      <c r="QK203" s="26"/>
      <c r="QL203" s="26"/>
      <c r="QM203" s="26"/>
      <c r="QN203" s="26"/>
      <c r="QO203" s="26"/>
      <c r="QP203" s="26"/>
      <c r="QQ203" s="26"/>
      <c r="QR203" s="26"/>
      <c r="QS203" s="26"/>
      <c r="QT203" s="26"/>
      <c r="QU203" s="26"/>
      <c r="QV203" s="26"/>
      <c r="QW203" s="26"/>
      <c r="QX203" s="26"/>
      <c r="QY203" s="26"/>
      <c r="QZ203" s="26"/>
      <c r="RA203" s="26"/>
      <c r="RB203" s="26"/>
      <c r="RC203" s="26"/>
      <c r="RD203" s="26"/>
      <c r="RE203" s="26"/>
      <c r="RF203" s="26"/>
      <c r="RG203" s="26"/>
      <c r="RH203" s="26"/>
      <c r="RI203" s="26"/>
      <c r="RJ203" s="26"/>
      <c r="RK203" s="26"/>
      <c r="RL203" s="26"/>
      <c r="RM203" s="26"/>
      <c r="RN203" s="26"/>
      <c r="RO203" s="26"/>
      <c r="RP203" s="26"/>
      <c r="RQ203" s="26"/>
      <c r="RR203" s="26"/>
      <c r="RS203" s="26"/>
      <c r="RT203" s="26"/>
      <c r="RU203" s="26"/>
      <c r="RV203" s="26"/>
      <c r="RW203" s="26"/>
      <c r="RX203" s="26"/>
      <c r="RY203" s="26"/>
      <c r="RZ203" s="26"/>
      <c r="SA203" s="26"/>
      <c r="SB203" s="26"/>
      <c r="SC203" s="26"/>
      <c r="SD203" s="26"/>
      <c r="SE203" s="26"/>
      <c r="SF203" s="26"/>
      <c r="SG203" s="26"/>
      <c r="SH203" s="26"/>
      <c r="SI203" s="26"/>
      <c r="SJ203" s="26"/>
      <c r="SK203" s="26"/>
      <c r="SL203" s="26"/>
      <c r="SM203" s="26"/>
      <c r="SN203" s="26"/>
      <c r="SO203" s="26"/>
      <c r="SP203" s="26"/>
      <c r="SQ203" s="26"/>
      <c r="SR203" s="26"/>
      <c r="SS203" s="26"/>
      <c r="ST203" s="26"/>
      <c r="SU203" s="26"/>
      <c r="SV203" s="26"/>
      <c r="SW203" s="26"/>
      <c r="SX203" s="26"/>
      <c r="SY203" s="26"/>
      <c r="SZ203" s="26"/>
      <c r="TA203" s="26"/>
      <c r="TB203" s="26"/>
      <c r="TC203" s="26"/>
      <c r="TD203" s="26"/>
      <c r="TE203" s="26"/>
      <c r="TF203" s="26"/>
      <c r="TG203" s="26"/>
      <c r="TH203" s="26"/>
      <c r="TI203" s="26"/>
      <c r="TJ203" s="26"/>
      <c r="TK203" s="26"/>
      <c r="TL203" s="26"/>
      <c r="TM203" s="26"/>
      <c r="TN203" s="26"/>
      <c r="TO203" s="26"/>
      <c r="TP203" s="26"/>
      <c r="TQ203" s="26"/>
      <c r="TR203" s="26"/>
      <c r="TS203" s="26"/>
      <c r="TT203" s="26"/>
      <c r="TU203" s="26"/>
      <c r="TV203" s="26"/>
      <c r="TW203" s="26"/>
      <c r="TX203" s="26"/>
      <c r="TY203" s="26"/>
      <c r="TZ203" s="26"/>
      <c r="UA203" s="26"/>
      <c r="UB203" s="26"/>
      <c r="UC203" s="26"/>
      <c r="UD203" s="26"/>
      <c r="UE203" s="26"/>
      <c r="UF203" s="26"/>
      <c r="UG203" s="26"/>
      <c r="UH203" s="26"/>
      <c r="UI203" s="26"/>
      <c r="UJ203" s="26"/>
      <c r="UK203" s="26"/>
      <c r="UL203" s="26"/>
      <c r="UM203" s="26"/>
      <c r="UN203" s="26"/>
      <c r="UO203" s="26"/>
      <c r="UP203" s="26"/>
      <c r="UQ203" s="26"/>
      <c r="UR203" s="26"/>
      <c r="US203" s="26"/>
      <c r="UT203" s="26"/>
      <c r="UU203" s="26"/>
      <c r="UV203" s="26"/>
      <c r="UW203" s="26"/>
      <c r="UX203" s="26"/>
      <c r="UY203" s="26"/>
      <c r="UZ203" s="26"/>
      <c r="VA203" s="26"/>
      <c r="VB203" s="26"/>
      <c r="VC203" s="26"/>
      <c r="VD203" s="26"/>
      <c r="VE203" s="26"/>
      <c r="VF203" s="26"/>
      <c r="VG203" s="26"/>
      <c r="VH203" s="26"/>
      <c r="VI203" s="26"/>
      <c r="VJ203" s="26"/>
      <c r="VK203" s="26"/>
      <c r="VL203" s="26"/>
      <c r="VM203" s="26"/>
      <c r="VN203" s="26"/>
      <c r="VO203" s="26"/>
      <c r="VP203" s="26"/>
      <c r="VQ203" s="26"/>
      <c r="VR203" s="26"/>
      <c r="VS203" s="26"/>
      <c r="VT203" s="26"/>
      <c r="VU203" s="26"/>
      <c r="VV203" s="26"/>
      <c r="VW203" s="26"/>
      <c r="VX203" s="26"/>
      <c r="VY203" s="26"/>
      <c r="VZ203" s="26"/>
      <c r="WA203" s="26"/>
      <c r="WB203" s="26"/>
      <c r="WC203" s="26"/>
      <c r="WD203" s="26"/>
      <c r="WE203" s="26"/>
      <c r="WF203" s="26"/>
      <c r="WG203" s="26"/>
      <c r="WH203" s="26"/>
      <c r="WI203" s="26"/>
      <c r="WJ203" s="26"/>
      <c r="WK203" s="26"/>
      <c r="WL203" s="26"/>
      <c r="WM203" s="26"/>
      <c r="WN203" s="26"/>
      <c r="WO203" s="26"/>
      <c r="WP203" s="26"/>
      <c r="WQ203" s="26"/>
      <c r="WR203" s="26"/>
      <c r="WS203" s="26"/>
      <c r="WT203" s="26"/>
      <c r="WU203" s="26"/>
      <c r="WV203" s="26"/>
      <c r="WW203" s="26"/>
      <c r="WX203" s="26"/>
      <c r="WY203" s="26"/>
      <c r="WZ203" s="26"/>
      <c r="XA203" s="26"/>
      <c r="XB203" s="26"/>
      <c r="XC203" s="26"/>
      <c r="XD203" s="26"/>
      <c r="XE203" s="26"/>
      <c r="XF203" s="26"/>
      <c r="XG203" s="26"/>
      <c r="XH203" s="26"/>
      <c r="XI203" s="26"/>
      <c r="XJ203" s="26"/>
      <c r="XK203" s="26"/>
      <c r="XL203" s="26"/>
      <c r="XM203" s="26"/>
      <c r="XN203" s="26"/>
      <c r="XO203" s="26"/>
      <c r="XP203" s="26"/>
      <c r="XQ203" s="26"/>
      <c r="XR203" s="26"/>
      <c r="XS203" s="26"/>
      <c r="XT203" s="26"/>
      <c r="XU203" s="26"/>
      <c r="XV203" s="26"/>
      <c r="XW203" s="26"/>
      <c r="XX203" s="26"/>
      <c r="XY203" s="26"/>
      <c r="XZ203" s="26"/>
      <c r="YA203" s="26"/>
      <c r="YB203" s="26"/>
      <c r="YC203" s="26"/>
      <c r="YD203" s="26"/>
      <c r="YE203" s="26"/>
      <c r="YF203" s="26"/>
      <c r="YG203" s="26"/>
      <c r="YH203" s="26"/>
      <c r="YI203" s="26"/>
      <c r="YJ203" s="26"/>
      <c r="YK203" s="26"/>
      <c r="YL203" s="26"/>
      <c r="YM203" s="26"/>
      <c r="YN203" s="26"/>
      <c r="YO203" s="26"/>
      <c r="YP203" s="26"/>
      <c r="YQ203" s="26"/>
      <c r="YR203" s="26"/>
      <c r="YS203" s="26"/>
      <c r="YT203" s="26"/>
      <c r="YU203" s="26"/>
      <c r="YV203" s="26"/>
      <c r="YW203" s="26"/>
      <c r="YX203" s="26"/>
      <c r="YY203" s="26"/>
      <c r="YZ203" s="26"/>
      <c r="ZA203" s="26"/>
      <c r="ZB203" s="26"/>
      <c r="ZC203" s="26"/>
      <c r="ZD203" s="26"/>
      <c r="ZE203" s="26"/>
      <c r="ZF203" s="26"/>
      <c r="ZG203" s="26"/>
      <c r="ZH203" s="26"/>
      <c r="ZI203" s="26"/>
      <c r="ZJ203" s="26"/>
      <c r="ZK203" s="26"/>
      <c r="ZL203" s="26"/>
      <c r="ZM203" s="26"/>
      <c r="ZN203" s="26"/>
      <c r="ZO203" s="26"/>
      <c r="ZP203" s="26"/>
      <c r="ZQ203" s="26"/>
      <c r="ZR203" s="26"/>
      <c r="ZS203" s="26"/>
      <c r="ZT203" s="26"/>
      <c r="ZU203" s="26"/>
      <c r="ZV203" s="26"/>
      <c r="ZW203" s="26"/>
      <c r="ZX203" s="26"/>
      <c r="ZY203" s="26"/>
      <c r="ZZ203" s="26"/>
      <c r="AAA203" s="26"/>
      <c r="AAB203" s="26"/>
      <c r="AAC203" s="26"/>
      <c r="AAD203" s="26"/>
      <c r="AAE203" s="26"/>
      <c r="AAF203" s="26"/>
      <c r="AAG203" s="26"/>
      <c r="AAH203" s="26"/>
      <c r="AAI203" s="26"/>
      <c r="AAJ203" s="26"/>
      <c r="AAK203" s="26"/>
      <c r="AAL203" s="26"/>
      <c r="AAM203" s="26"/>
      <c r="AAN203" s="26"/>
      <c r="AAO203" s="26"/>
      <c r="AAP203" s="26"/>
      <c r="AAQ203" s="26"/>
      <c r="AAR203" s="26"/>
      <c r="AAS203" s="26"/>
      <c r="AAT203" s="26"/>
      <c r="AAU203" s="26"/>
      <c r="AAV203" s="26"/>
      <c r="AAW203" s="26"/>
      <c r="AAX203" s="26"/>
      <c r="AAY203" s="26"/>
      <c r="AAZ203" s="26"/>
      <c r="ABA203" s="26"/>
      <c r="ABB203" s="26"/>
      <c r="ABC203" s="26"/>
      <c r="ABD203" s="26"/>
      <c r="ABE203" s="26"/>
      <c r="ABF203" s="26"/>
      <c r="ABG203" s="26"/>
      <c r="ABH203" s="26"/>
      <c r="ABI203" s="26"/>
      <c r="ABJ203" s="26"/>
      <c r="ABK203" s="26"/>
      <c r="ABL203" s="26"/>
      <c r="ABM203" s="26"/>
      <c r="ABN203" s="26"/>
      <c r="ABO203" s="26"/>
      <c r="ABP203" s="26"/>
      <c r="ABQ203" s="26"/>
      <c r="ABR203" s="26"/>
      <c r="ABS203" s="26"/>
      <c r="ABT203" s="26"/>
      <c r="ABU203" s="26"/>
      <c r="ABV203" s="26"/>
      <c r="ABW203" s="26"/>
      <c r="ABX203" s="26"/>
      <c r="ABY203" s="26"/>
      <c r="ABZ203" s="26"/>
      <c r="ACA203" s="26"/>
      <c r="ACB203" s="26"/>
      <c r="ACC203" s="26"/>
      <c r="ACD203" s="26"/>
      <c r="ACE203" s="26"/>
      <c r="ACF203" s="26"/>
      <c r="ACG203" s="26"/>
      <c r="ACH203" s="26"/>
      <c r="ACI203" s="26"/>
      <c r="ACJ203" s="26"/>
      <c r="ACK203" s="26"/>
      <c r="ACL203" s="26"/>
      <c r="ACM203" s="26"/>
      <c r="ACN203" s="26"/>
      <c r="ACO203" s="26"/>
      <c r="ACP203" s="26"/>
      <c r="ACQ203" s="26"/>
      <c r="ACR203" s="26"/>
      <c r="ACS203" s="26"/>
      <c r="ACT203" s="26"/>
      <c r="ACU203" s="26"/>
      <c r="ACV203" s="26"/>
      <c r="ACW203" s="26"/>
      <c r="ACX203" s="26"/>
      <c r="ACY203" s="26"/>
      <c r="ACZ203" s="26"/>
      <c r="ADA203" s="26"/>
      <c r="ADB203" s="26"/>
      <c r="ADC203" s="26"/>
      <c r="ADD203" s="26"/>
      <c r="ADE203" s="26"/>
      <c r="ADF203" s="26"/>
      <c r="ADG203" s="26"/>
      <c r="ADH203" s="26"/>
      <c r="ADI203" s="26"/>
      <c r="ADJ203" s="26"/>
      <c r="ADK203" s="26"/>
      <c r="ADL203" s="26"/>
      <c r="ADM203" s="26"/>
      <c r="ADN203" s="26"/>
      <c r="ADO203" s="26"/>
      <c r="ADP203" s="26"/>
      <c r="ADQ203" s="26"/>
      <c r="ADR203" s="26"/>
      <c r="ADS203" s="26"/>
      <c r="ADT203" s="26"/>
      <c r="ADU203" s="26"/>
      <c r="ADV203" s="26"/>
      <c r="ADW203" s="26"/>
      <c r="ADX203" s="26"/>
      <c r="ADY203" s="26"/>
      <c r="ADZ203" s="26"/>
      <c r="AEA203" s="26"/>
      <c r="AEB203" s="26"/>
      <c r="AEC203" s="26"/>
      <c r="AED203" s="26"/>
      <c r="AEE203" s="26"/>
      <c r="AEF203" s="26"/>
      <c r="AEG203" s="26"/>
      <c r="AEH203" s="26"/>
      <c r="AEI203" s="26"/>
      <c r="AEJ203" s="26"/>
      <c r="AEK203" s="26"/>
      <c r="AEL203" s="26"/>
      <c r="AEM203" s="26"/>
      <c r="AEN203" s="26"/>
      <c r="AEO203" s="26"/>
      <c r="AEP203" s="26"/>
      <c r="AEQ203" s="26"/>
      <c r="AER203" s="26"/>
      <c r="AES203" s="26"/>
      <c r="AET203" s="26"/>
      <c r="AEU203" s="26"/>
      <c r="AEV203" s="26"/>
      <c r="AEW203" s="26"/>
      <c r="AEX203" s="26"/>
      <c r="AEY203" s="26"/>
      <c r="AEZ203" s="26"/>
      <c r="AFA203" s="26"/>
      <c r="AFB203" s="26"/>
      <c r="AFC203" s="26"/>
      <c r="AFD203" s="26"/>
      <c r="AFE203" s="26"/>
      <c r="AFF203" s="26"/>
      <c r="AFG203" s="26"/>
      <c r="AFH203" s="26"/>
      <c r="AFI203" s="26"/>
      <c r="AFJ203" s="26"/>
      <c r="AFK203" s="26"/>
      <c r="AFL203" s="26"/>
      <c r="AFM203" s="26"/>
      <c r="AFN203" s="26"/>
      <c r="AFO203" s="26"/>
      <c r="AFP203" s="26"/>
      <c r="AFQ203" s="26"/>
      <c r="AFR203" s="26"/>
      <c r="AFS203" s="26"/>
      <c r="AFT203" s="26"/>
      <c r="AFU203" s="26"/>
      <c r="AFV203" s="26"/>
      <c r="AFW203" s="26"/>
      <c r="AFX203" s="26"/>
      <c r="AFY203" s="26"/>
      <c r="AFZ203" s="26"/>
      <c r="AGA203" s="26"/>
      <c r="AGB203" s="26"/>
      <c r="AGC203" s="26"/>
      <c r="AGD203" s="26"/>
      <c r="AGE203" s="26"/>
      <c r="AGF203" s="26"/>
      <c r="AGG203" s="26"/>
      <c r="AGH203" s="26"/>
      <c r="AGI203" s="26"/>
      <c r="AGJ203" s="26"/>
      <c r="AGK203" s="26"/>
      <c r="AGL203" s="26"/>
      <c r="AGM203" s="26"/>
      <c r="AGN203" s="26"/>
      <c r="AGO203" s="26"/>
      <c r="AGP203" s="26"/>
      <c r="AGQ203" s="26"/>
      <c r="AGR203" s="26"/>
      <c r="AGS203" s="26"/>
      <c r="AGT203" s="26"/>
      <c r="AGU203" s="26"/>
      <c r="AGV203" s="26"/>
      <c r="AGW203" s="26"/>
      <c r="AGX203" s="26"/>
      <c r="AGY203" s="26"/>
      <c r="AGZ203" s="26"/>
      <c r="AHA203" s="26"/>
      <c r="AHB203" s="26"/>
      <c r="AHC203" s="26"/>
      <c r="AHD203" s="26"/>
      <c r="AHE203" s="26"/>
      <c r="AHF203" s="26"/>
      <c r="AHG203" s="26"/>
      <c r="AHH203" s="26"/>
      <c r="AHI203" s="26"/>
      <c r="AHJ203" s="26"/>
      <c r="AHK203" s="26"/>
      <c r="AHL203" s="26"/>
      <c r="AHM203" s="26"/>
      <c r="AHN203" s="26"/>
      <c r="AHO203" s="26"/>
      <c r="AHP203" s="26"/>
      <c r="AHQ203" s="26"/>
      <c r="AHR203" s="26"/>
      <c r="AHS203" s="26"/>
      <c r="AHT203" s="26"/>
      <c r="AHU203" s="26"/>
      <c r="AHV203" s="26"/>
      <c r="AHW203" s="26"/>
      <c r="AHX203" s="26"/>
      <c r="AHY203" s="26"/>
      <c r="AHZ203" s="26"/>
      <c r="AIA203" s="26"/>
      <c r="AIB203" s="26"/>
      <c r="AIC203" s="26"/>
      <c r="AID203" s="26"/>
      <c r="AIE203" s="26"/>
      <c r="AIF203" s="26"/>
      <c r="AIG203" s="26"/>
      <c r="AIH203" s="26"/>
      <c r="AII203" s="26"/>
      <c r="AIJ203" s="26"/>
      <c r="AIK203" s="26"/>
      <c r="AIL203" s="26"/>
      <c r="AIM203" s="26"/>
      <c r="AIN203" s="26"/>
      <c r="AIO203" s="26"/>
      <c r="AIP203" s="26"/>
      <c r="AIQ203" s="26"/>
      <c r="AIR203" s="26"/>
      <c r="AIS203" s="26"/>
      <c r="AIT203" s="26"/>
      <c r="AIU203" s="26"/>
      <c r="AIV203" s="26"/>
      <c r="AIW203" s="26"/>
      <c r="AIX203" s="26"/>
      <c r="AIY203" s="26"/>
      <c r="AIZ203" s="26"/>
      <c r="AJA203" s="26"/>
      <c r="AJB203" s="26"/>
      <c r="AJC203" s="26"/>
      <c r="AJD203" s="26"/>
      <c r="AJE203" s="26"/>
      <c r="AJF203" s="26"/>
      <c r="AJG203" s="26"/>
      <c r="AJH203" s="26"/>
      <c r="AJI203" s="26"/>
      <c r="AJJ203" s="26"/>
      <c r="AJK203" s="26"/>
      <c r="AJL203" s="26"/>
      <c r="AJM203" s="26"/>
      <c r="AJN203" s="26"/>
      <c r="AJO203" s="26"/>
      <c r="AJP203" s="26"/>
      <c r="AJQ203" s="26"/>
      <c r="AJR203" s="26"/>
      <c r="AJS203" s="26"/>
      <c r="AJT203" s="26"/>
      <c r="AJU203" s="26"/>
      <c r="AJV203" s="26"/>
      <c r="AJW203" s="26"/>
      <c r="AJX203" s="26"/>
      <c r="AJY203" s="26"/>
      <c r="AJZ203" s="26"/>
      <c r="AKA203" s="26"/>
      <c r="AKB203" s="26"/>
      <c r="AKC203" s="26"/>
      <c r="AKD203" s="26"/>
      <c r="AKE203" s="26"/>
      <c r="AKF203" s="26"/>
      <c r="AKG203" s="26"/>
      <c r="AKH203" s="26"/>
      <c r="AKI203" s="26"/>
      <c r="AKJ203" s="26"/>
      <c r="AKK203" s="26"/>
      <c r="AKL203" s="26"/>
      <c r="AKM203" s="26"/>
      <c r="AKN203" s="26"/>
      <c r="AKO203" s="26"/>
      <c r="AKP203" s="26"/>
      <c r="AKQ203" s="26"/>
      <c r="AKR203" s="26"/>
      <c r="AKS203" s="26"/>
      <c r="AKT203" s="26"/>
      <c r="AKU203" s="26"/>
      <c r="AKV203" s="26"/>
      <c r="AKW203" s="26"/>
      <c r="AKX203" s="26"/>
      <c r="AKY203" s="26"/>
      <c r="AKZ203" s="26"/>
      <c r="ALA203" s="26"/>
      <c r="ALB203" s="26"/>
      <c r="ALC203" s="26"/>
      <c r="ALD203" s="26"/>
      <c r="ALE203" s="26"/>
      <c r="ALF203" s="26"/>
      <c r="ALG203" s="26"/>
      <c r="ALH203" s="26"/>
      <c r="ALI203" s="26"/>
      <c r="ALJ203" s="26"/>
      <c r="ALK203" s="26"/>
      <c r="ALL203" s="26"/>
      <c r="ALM203" s="26"/>
      <c r="ALN203" s="26"/>
      <c r="ALO203" s="26"/>
      <c r="ALP203" s="26"/>
      <c r="ALQ203" s="26"/>
      <c r="ALR203" s="26"/>
      <c r="ALS203" s="26"/>
      <c r="ALT203" s="26"/>
      <c r="ALU203" s="26"/>
      <c r="ALV203" s="26"/>
      <c r="ALW203" s="26"/>
      <c r="ALX203" s="26"/>
      <c r="ALY203" s="26"/>
      <c r="ALZ203" s="26"/>
      <c r="AMA203" s="26"/>
      <c r="AMB203" s="26"/>
      <c r="AMC203" s="26"/>
      <c r="AMD203" s="26"/>
      <c r="AME203" s="26"/>
      <c r="AMF203" s="26"/>
      <c r="AMG203" s="26"/>
      <c r="AMH203" s="26"/>
      <c r="AMI203" s="26"/>
      <c r="AMJ203" s="26"/>
      <c r="AMK203" s="26"/>
      <c r="AML203" s="26"/>
      <c r="AMM203" s="26"/>
      <c r="AMN203" s="26"/>
      <c r="AMO203" s="26"/>
      <c r="AMP203" s="26"/>
      <c r="AMQ203" s="26"/>
      <c r="AMR203" s="26"/>
      <c r="AMS203" s="26"/>
      <c r="AMT203" s="26"/>
      <c r="AMU203" s="26"/>
      <c r="AMV203" s="26"/>
      <c r="AMW203" s="26"/>
      <c r="AMX203" s="26"/>
      <c r="AMY203" s="26"/>
      <c r="AMZ203" s="26"/>
      <c r="ANA203" s="26"/>
      <c r="ANB203" s="26"/>
      <c r="ANC203" s="26"/>
      <c r="AND203" s="26"/>
      <c r="ANE203" s="26"/>
      <c r="ANF203" s="26"/>
      <c r="ANG203" s="26"/>
      <c r="ANH203" s="26"/>
      <c r="ANI203" s="26"/>
      <c r="ANJ203" s="26"/>
      <c r="ANK203" s="26"/>
      <c r="ANL203" s="26"/>
      <c r="ANM203" s="26"/>
      <c r="ANN203" s="26"/>
      <c r="ANO203" s="26"/>
      <c r="ANP203" s="26"/>
      <c r="ANQ203" s="26"/>
      <c r="ANR203" s="26"/>
      <c r="ANS203" s="26"/>
      <c r="ANT203" s="26"/>
      <c r="ANU203" s="26"/>
      <c r="ANV203" s="26"/>
      <c r="ANW203" s="26"/>
      <c r="ANX203" s="26"/>
      <c r="ANY203" s="26"/>
      <c r="ANZ203" s="26"/>
      <c r="AOA203" s="26"/>
      <c r="AOB203" s="26"/>
      <c r="AOC203" s="26"/>
      <c r="AOD203" s="26"/>
      <c r="AOE203" s="26"/>
      <c r="AOF203" s="26"/>
      <c r="AOG203" s="26"/>
      <c r="AOH203" s="26"/>
      <c r="AOI203" s="26"/>
      <c r="AOJ203" s="26"/>
      <c r="AOK203" s="26"/>
      <c r="AOL203" s="26"/>
      <c r="AOM203" s="26"/>
      <c r="AON203" s="26"/>
      <c r="AOO203" s="26"/>
      <c r="AOP203" s="26"/>
      <c r="AOQ203" s="26"/>
      <c r="AOR203" s="26"/>
      <c r="AOS203" s="26"/>
      <c r="AOT203" s="26"/>
      <c r="AOU203" s="26"/>
      <c r="AOV203" s="26"/>
      <c r="AOW203" s="26"/>
      <c r="AOX203" s="26"/>
      <c r="AOY203" s="26"/>
      <c r="AOZ203" s="26"/>
      <c r="APA203" s="26"/>
      <c r="APB203" s="26"/>
      <c r="APC203" s="26"/>
      <c r="APD203" s="26"/>
      <c r="APE203" s="26"/>
      <c r="APF203" s="26"/>
      <c r="APG203" s="26"/>
      <c r="APH203" s="26"/>
      <c r="API203" s="26"/>
      <c r="APJ203" s="26"/>
      <c r="APK203" s="26"/>
      <c r="APL203" s="26"/>
      <c r="APM203" s="26"/>
      <c r="APN203" s="26"/>
      <c r="APO203" s="26"/>
      <c r="APP203" s="26"/>
      <c r="APQ203" s="26"/>
      <c r="APR203" s="26"/>
      <c r="APS203" s="26"/>
      <c r="APT203" s="26"/>
      <c r="APU203" s="26"/>
      <c r="APV203" s="26"/>
      <c r="APW203" s="26"/>
      <c r="APX203" s="26"/>
      <c r="APY203" s="26"/>
      <c r="APZ203" s="26"/>
      <c r="AQA203" s="26"/>
      <c r="AQB203" s="26"/>
      <c r="AQC203" s="26"/>
      <c r="AQD203" s="26"/>
      <c r="AQE203" s="26"/>
      <c r="AQF203" s="26"/>
      <c r="AQG203" s="26"/>
      <c r="AQH203" s="26"/>
      <c r="AQI203" s="26"/>
      <c r="AQJ203" s="26"/>
      <c r="AQK203" s="26"/>
      <c r="AQL203" s="26"/>
      <c r="AQM203" s="26"/>
      <c r="AQN203" s="26"/>
      <c r="AQO203" s="26"/>
      <c r="AQP203" s="26"/>
      <c r="AQQ203" s="26"/>
      <c r="AQR203" s="26"/>
      <c r="AQS203" s="26"/>
      <c r="AQT203" s="26"/>
      <c r="AQU203" s="26"/>
      <c r="AQV203" s="26"/>
      <c r="AQW203" s="26"/>
      <c r="AQX203" s="26"/>
      <c r="AQY203" s="26"/>
      <c r="AQZ203" s="26"/>
      <c r="ARA203" s="26"/>
      <c r="ARB203" s="26"/>
      <c r="ARC203" s="26"/>
      <c r="ARD203" s="26"/>
      <c r="ARE203" s="26"/>
      <c r="ARF203" s="26"/>
      <c r="ARG203" s="26"/>
      <c r="ARH203" s="26"/>
      <c r="ARI203" s="26"/>
      <c r="ARJ203" s="26"/>
      <c r="ARK203" s="26"/>
      <c r="ARL203" s="26"/>
      <c r="ARM203" s="26"/>
      <c r="ARN203" s="26"/>
      <c r="ARO203" s="26"/>
      <c r="ARP203" s="26"/>
      <c r="ARQ203" s="26"/>
      <c r="ARR203" s="26"/>
      <c r="ARS203" s="26"/>
      <c r="ART203" s="26"/>
      <c r="ARU203" s="26"/>
      <c r="ARV203" s="26"/>
      <c r="ARW203" s="26"/>
      <c r="ARX203" s="26"/>
      <c r="ARY203" s="26"/>
      <c r="ARZ203" s="26"/>
      <c r="ASA203" s="26"/>
      <c r="ASB203" s="26"/>
      <c r="ASC203" s="26"/>
      <c r="ASD203" s="26"/>
      <c r="ASE203" s="26"/>
      <c r="ASF203" s="26"/>
      <c r="ASG203" s="26"/>
      <c r="ASH203" s="26"/>
      <c r="ASI203" s="26"/>
      <c r="ASJ203" s="26"/>
      <c r="ASK203" s="26"/>
      <c r="ASL203" s="26"/>
      <c r="ASM203" s="26"/>
      <c r="ASN203" s="26"/>
      <c r="ASO203" s="26"/>
      <c r="ASP203" s="26"/>
      <c r="ASQ203" s="26"/>
      <c r="ASR203" s="26"/>
      <c r="ASS203" s="26"/>
      <c r="AST203" s="26"/>
      <c r="ASU203" s="26"/>
      <c r="ASV203" s="26"/>
      <c r="ASW203" s="26"/>
      <c r="ASX203" s="26"/>
      <c r="ASY203" s="26"/>
      <c r="ASZ203" s="26"/>
      <c r="ATA203" s="26"/>
      <c r="ATB203" s="26"/>
      <c r="ATC203" s="26"/>
      <c r="ATD203" s="26"/>
      <c r="ATE203" s="26"/>
      <c r="ATF203" s="26"/>
      <c r="ATG203" s="26"/>
      <c r="ATH203" s="26"/>
      <c r="ATI203" s="26"/>
      <c r="ATJ203" s="26"/>
      <c r="ATK203" s="26"/>
      <c r="ATL203" s="26"/>
      <c r="ATM203" s="26"/>
      <c r="ATN203" s="26"/>
      <c r="ATO203" s="26"/>
      <c r="ATP203" s="26"/>
      <c r="ATQ203" s="26"/>
      <c r="ATR203" s="26"/>
      <c r="ATS203" s="26"/>
      <c r="ATT203" s="26"/>
      <c r="ATU203" s="26"/>
      <c r="ATV203" s="26"/>
      <c r="ATW203" s="26"/>
      <c r="ATX203" s="26"/>
      <c r="ATY203" s="26"/>
      <c r="ATZ203" s="26"/>
      <c r="AUA203" s="26"/>
      <c r="AUB203" s="26"/>
      <c r="AUC203" s="26"/>
      <c r="AUD203" s="26"/>
      <c r="AUE203" s="26"/>
      <c r="AUF203" s="26"/>
      <c r="AUG203" s="26"/>
      <c r="AUH203" s="26"/>
      <c r="AUI203" s="26"/>
      <c r="AUJ203" s="26"/>
      <c r="AUK203" s="26"/>
      <c r="AUL203" s="26"/>
      <c r="AUM203" s="26"/>
      <c r="AUN203" s="26"/>
      <c r="AUO203" s="26"/>
      <c r="AUP203" s="26"/>
      <c r="AUQ203" s="26"/>
      <c r="AUR203" s="26"/>
      <c r="AUS203" s="26"/>
      <c r="AUT203" s="26"/>
      <c r="AUU203" s="26"/>
      <c r="AUV203" s="26"/>
      <c r="AUW203" s="26"/>
      <c r="AUX203" s="26"/>
      <c r="AUY203" s="26"/>
      <c r="AUZ203" s="26"/>
      <c r="AVA203" s="26"/>
      <c r="AVB203" s="26"/>
      <c r="AVC203" s="26"/>
      <c r="AVD203" s="26"/>
      <c r="AVE203" s="26"/>
      <c r="AVF203" s="26"/>
      <c r="AVG203" s="26"/>
      <c r="AVH203" s="26"/>
      <c r="AVI203" s="26"/>
      <c r="AVJ203" s="26"/>
      <c r="AVK203" s="26"/>
      <c r="AVL203" s="26"/>
      <c r="AVM203" s="26"/>
      <c r="AVN203" s="26"/>
      <c r="AVO203" s="26"/>
      <c r="AVP203" s="26"/>
      <c r="AVQ203" s="26"/>
      <c r="AVR203" s="26"/>
      <c r="AVS203" s="26"/>
      <c r="AVT203" s="26"/>
      <c r="AVU203" s="26"/>
      <c r="AVV203" s="26"/>
      <c r="AVW203" s="26"/>
      <c r="AVX203" s="26"/>
      <c r="AVY203" s="26"/>
      <c r="AVZ203" s="26"/>
      <c r="AWA203" s="26"/>
      <c r="AWB203" s="26"/>
      <c r="AWC203" s="26"/>
      <c r="AWD203" s="26"/>
      <c r="AWE203" s="26"/>
      <c r="AWF203" s="26"/>
      <c r="AWG203" s="26"/>
      <c r="AWH203" s="26"/>
      <c r="AWI203" s="26"/>
      <c r="AWJ203" s="26"/>
      <c r="AWK203" s="26"/>
      <c r="AWL203" s="26"/>
      <c r="AWM203" s="26"/>
      <c r="AWN203" s="26"/>
      <c r="AWO203" s="26"/>
      <c r="AWP203" s="26"/>
      <c r="AWQ203" s="26"/>
      <c r="AWR203" s="26"/>
      <c r="AWS203" s="26"/>
      <c r="AWT203" s="26"/>
      <c r="AWU203" s="26"/>
      <c r="AWV203" s="26"/>
      <c r="AWW203" s="26"/>
      <c r="AWX203" s="26"/>
      <c r="AWY203" s="26"/>
      <c r="AWZ203" s="26"/>
      <c r="AXA203" s="26"/>
      <c r="AXB203" s="26"/>
      <c r="AXC203" s="26"/>
      <c r="AXD203" s="26"/>
      <c r="AXE203" s="26"/>
      <c r="AXF203" s="26"/>
      <c r="AXG203" s="26"/>
      <c r="AXH203" s="26"/>
      <c r="AXI203" s="26"/>
      <c r="AXJ203" s="26"/>
      <c r="AXK203" s="26"/>
      <c r="AXL203" s="26"/>
      <c r="AXM203" s="26"/>
      <c r="AXN203" s="26"/>
      <c r="AXO203" s="26"/>
      <c r="AXP203" s="26"/>
      <c r="AXQ203" s="26"/>
      <c r="AXR203" s="26"/>
      <c r="AXS203" s="26"/>
      <c r="AXT203" s="26"/>
      <c r="AXU203" s="26"/>
      <c r="AXV203" s="26"/>
      <c r="AXW203" s="26"/>
      <c r="AXX203" s="26"/>
      <c r="AXY203" s="26"/>
      <c r="AXZ203" s="26"/>
      <c r="AYA203" s="26"/>
      <c r="AYB203" s="26"/>
      <c r="AYC203" s="26"/>
      <c r="AYD203" s="26"/>
      <c r="AYE203" s="26"/>
      <c r="AYF203" s="26"/>
      <c r="AYG203" s="26"/>
      <c r="AYH203" s="26"/>
      <c r="AYI203" s="26"/>
      <c r="AYJ203" s="26"/>
      <c r="AYK203" s="26"/>
      <c r="AYL203" s="26"/>
      <c r="AYM203" s="26"/>
      <c r="AYN203" s="26"/>
      <c r="AYO203" s="26"/>
      <c r="AYP203" s="26"/>
      <c r="AYQ203" s="26"/>
      <c r="AYR203" s="26"/>
      <c r="AYS203" s="26"/>
      <c r="AYT203" s="26"/>
      <c r="AYU203" s="26"/>
      <c r="AYV203" s="26"/>
      <c r="AYW203" s="26"/>
      <c r="AYX203" s="26"/>
      <c r="AYY203" s="26"/>
      <c r="AYZ203" s="26"/>
      <c r="AZA203" s="26"/>
      <c r="AZB203" s="26"/>
      <c r="AZC203" s="26"/>
      <c r="AZD203" s="26"/>
      <c r="AZE203" s="26"/>
      <c r="AZF203" s="26"/>
      <c r="AZG203" s="26"/>
      <c r="AZH203" s="26"/>
      <c r="AZI203" s="26"/>
      <c r="AZJ203" s="26"/>
      <c r="AZK203" s="26"/>
      <c r="AZL203" s="26"/>
      <c r="AZM203" s="26"/>
      <c r="AZN203" s="26"/>
      <c r="AZO203" s="26"/>
      <c r="AZP203" s="26"/>
      <c r="AZQ203" s="26"/>
      <c r="AZR203" s="26"/>
      <c r="AZS203" s="26"/>
      <c r="AZT203" s="26"/>
      <c r="AZU203" s="26"/>
      <c r="AZV203" s="26"/>
      <c r="AZW203" s="26"/>
      <c r="AZX203" s="26"/>
      <c r="AZY203" s="26"/>
      <c r="AZZ203" s="26"/>
      <c r="BAA203" s="26"/>
      <c r="BAB203" s="26"/>
      <c r="BAC203" s="26"/>
      <c r="BAD203" s="26"/>
      <c r="BAE203" s="26"/>
      <c r="BAF203" s="26"/>
      <c r="BAG203" s="26"/>
      <c r="BAH203" s="26"/>
      <c r="BAI203" s="26"/>
      <c r="BAJ203" s="26"/>
      <c r="BAK203" s="26"/>
      <c r="BAL203" s="26"/>
      <c r="BAM203" s="26"/>
      <c r="BAN203" s="26"/>
      <c r="BAO203" s="26"/>
      <c r="BAP203" s="26"/>
      <c r="BAQ203" s="26"/>
      <c r="BAR203" s="26"/>
      <c r="BAS203" s="26"/>
      <c r="BAT203" s="26"/>
      <c r="BAU203" s="26"/>
      <c r="BAV203" s="26"/>
      <c r="BAW203" s="26"/>
      <c r="BAX203" s="26"/>
      <c r="BAY203" s="26"/>
      <c r="BAZ203" s="26"/>
      <c r="BBA203" s="26"/>
      <c r="BBB203" s="26"/>
      <c r="BBC203" s="26"/>
      <c r="BBD203" s="26"/>
      <c r="BBE203" s="26"/>
      <c r="BBF203" s="26"/>
      <c r="BBG203" s="26"/>
      <c r="BBH203" s="26"/>
      <c r="BBI203" s="26"/>
      <c r="BBJ203" s="26"/>
      <c r="BBK203" s="26"/>
      <c r="BBL203" s="26"/>
      <c r="BBM203" s="26"/>
      <c r="BBN203" s="26"/>
      <c r="BBO203" s="26"/>
      <c r="BBP203" s="26"/>
      <c r="BBQ203" s="26"/>
      <c r="BBR203" s="26"/>
      <c r="BBS203" s="26"/>
      <c r="BBT203" s="26"/>
      <c r="BBU203" s="26"/>
      <c r="BBV203" s="26"/>
      <c r="BBW203" s="26"/>
      <c r="BBX203" s="26"/>
      <c r="BBY203" s="26"/>
      <c r="BBZ203" s="26"/>
      <c r="BCA203" s="26"/>
      <c r="BCB203" s="26"/>
      <c r="BCC203" s="26"/>
      <c r="BCD203" s="26"/>
      <c r="BCE203" s="26"/>
      <c r="BCF203" s="26"/>
      <c r="BCG203" s="26"/>
      <c r="BCH203" s="26"/>
      <c r="BCI203" s="26"/>
      <c r="BCJ203" s="26"/>
      <c r="BCK203" s="26"/>
      <c r="BCL203" s="26"/>
      <c r="BCM203" s="26"/>
      <c r="BCN203" s="26"/>
      <c r="BCO203" s="26"/>
      <c r="BCP203" s="26"/>
      <c r="BCQ203" s="26"/>
      <c r="BCR203" s="26"/>
      <c r="BCS203" s="26"/>
      <c r="BCT203" s="26"/>
      <c r="BCU203" s="26"/>
      <c r="BCV203" s="26"/>
      <c r="BCW203" s="26"/>
      <c r="BCX203" s="26"/>
      <c r="BCY203" s="26"/>
      <c r="BCZ203" s="26"/>
      <c r="BDA203" s="26"/>
      <c r="BDB203" s="26"/>
      <c r="BDC203" s="26"/>
      <c r="BDD203" s="26"/>
      <c r="BDE203" s="26"/>
      <c r="BDF203" s="26"/>
      <c r="BDG203" s="26"/>
      <c r="BDH203" s="26"/>
      <c r="BDI203" s="26"/>
      <c r="BDJ203" s="26"/>
      <c r="BDK203" s="26"/>
      <c r="BDL203" s="26"/>
      <c r="BDM203" s="26"/>
      <c r="BDN203" s="26"/>
      <c r="BDO203" s="26"/>
      <c r="BDP203" s="26"/>
      <c r="BDQ203" s="26"/>
      <c r="BDR203" s="26"/>
      <c r="BDS203" s="26"/>
      <c r="BDT203" s="26"/>
      <c r="BDU203" s="26"/>
      <c r="BDV203" s="26"/>
      <c r="BDW203" s="26"/>
      <c r="BDX203" s="26"/>
      <c r="BDY203" s="26"/>
      <c r="BDZ203" s="26"/>
      <c r="BEA203" s="26"/>
      <c r="BEB203" s="26"/>
      <c r="BEC203" s="26"/>
      <c r="BED203" s="26"/>
      <c r="BEE203" s="26"/>
      <c r="BEF203" s="26"/>
      <c r="BEG203" s="26"/>
      <c r="BEH203" s="26"/>
      <c r="BEI203" s="26"/>
      <c r="BEJ203" s="26"/>
      <c r="BEK203" s="26"/>
      <c r="BEL203" s="26"/>
      <c r="BEM203" s="26"/>
      <c r="BEN203" s="26"/>
      <c r="BEO203" s="26"/>
      <c r="BEP203" s="26"/>
      <c r="BEQ203" s="26"/>
      <c r="BER203" s="26"/>
      <c r="BES203" s="26"/>
      <c r="BET203" s="26"/>
      <c r="BEU203" s="26"/>
      <c r="BEV203" s="26"/>
      <c r="BEW203" s="26"/>
      <c r="BEX203" s="26"/>
      <c r="BEY203" s="26"/>
      <c r="BEZ203" s="26"/>
      <c r="BFA203" s="26"/>
      <c r="BFB203" s="26"/>
      <c r="BFC203" s="26"/>
      <c r="BFD203" s="26"/>
      <c r="BFE203" s="26"/>
      <c r="BFF203" s="26"/>
      <c r="BFG203" s="26"/>
      <c r="BFH203" s="26"/>
      <c r="BFI203" s="26"/>
      <c r="BFJ203" s="26"/>
      <c r="BFK203" s="26"/>
      <c r="BFL203" s="26"/>
      <c r="BFM203" s="26"/>
      <c r="BFN203" s="26"/>
      <c r="BFO203" s="26"/>
      <c r="BFP203" s="26"/>
      <c r="BFQ203" s="26"/>
      <c r="BFR203" s="26"/>
      <c r="BFS203" s="26"/>
      <c r="BFT203" s="26"/>
      <c r="BFU203" s="26"/>
      <c r="BFV203" s="26"/>
      <c r="BFW203" s="26"/>
      <c r="BFX203" s="26"/>
      <c r="BFY203" s="26"/>
      <c r="BFZ203" s="26"/>
      <c r="BGA203" s="26"/>
      <c r="BGB203" s="26"/>
      <c r="BGC203" s="26"/>
      <c r="BGD203" s="26"/>
      <c r="BGE203" s="26"/>
      <c r="BGF203" s="26"/>
      <c r="BGG203" s="26"/>
      <c r="BGH203" s="26"/>
      <c r="BGI203" s="26"/>
      <c r="BGJ203" s="26"/>
      <c r="BGK203" s="26"/>
      <c r="BGL203" s="26"/>
      <c r="BGM203" s="26"/>
      <c r="BGN203" s="26"/>
      <c r="BGO203" s="26"/>
      <c r="BGP203" s="26"/>
      <c r="BGQ203" s="26"/>
      <c r="BGR203" s="26"/>
      <c r="BGS203" s="26"/>
      <c r="BGT203" s="26"/>
      <c r="BGU203" s="26"/>
      <c r="BGV203" s="26"/>
      <c r="BGW203" s="26"/>
      <c r="BGX203" s="26"/>
      <c r="BGY203" s="26"/>
      <c r="BGZ203" s="26"/>
      <c r="BHA203" s="26"/>
      <c r="BHB203" s="26"/>
      <c r="BHC203" s="26"/>
      <c r="BHD203" s="26"/>
      <c r="BHE203" s="26"/>
      <c r="BHF203" s="26"/>
      <c r="BHG203" s="26"/>
      <c r="BHH203" s="26"/>
      <c r="BHI203" s="26"/>
      <c r="BHJ203" s="26"/>
      <c r="BHK203" s="26"/>
      <c r="BHL203" s="26"/>
      <c r="BHM203" s="26"/>
      <c r="BHN203" s="26"/>
      <c r="BHO203" s="26"/>
      <c r="BHP203" s="26"/>
      <c r="BHQ203" s="26"/>
      <c r="BHR203" s="26"/>
      <c r="BHS203" s="26"/>
      <c r="BHT203" s="26"/>
      <c r="BHU203" s="26"/>
      <c r="BHV203" s="26"/>
      <c r="BHW203" s="26"/>
      <c r="BHX203" s="26"/>
      <c r="BHY203" s="26"/>
      <c r="BHZ203" s="26"/>
      <c r="BIA203" s="26"/>
      <c r="BIB203" s="26"/>
      <c r="BIC203" s="26"/>
      <c r="BID203" s="26"/>
      <c r="BIE203" s="26"/>
      <c r="BIF203" s="26"/>
      <c r="BIG203" s="26"/>
      <c r="BIH203" s="26"/>
      <c r="BII203" s="26"/>
      <c r="BIJ203" s="26"/>
      <c r="BIK203" s="26"/>
      <c r="BIL203" s="26"/>
      <c r="BIM203" s="26"/>
      <c r="BIN203" s="26"/>
      <c r="BIO203" s="26"/>
      <c r="BIP203" s="26"/>
      <c r="BIQ203" s="26"/>
      <c r="BIR203" s="26"/>
      <c r="BIS203" s="26"/>
      <c r="BIT203" s="26"/>
      <c r="BIU203" s="26"/>
      <c r="BIV203" s="26"/>
      <c r="BIW203" s="26"/>
      <c r="BIX203" s="26"/>
      <c r="BIY203" s="26"/>
      <c r="BIZ203" s="26"/>
      <c r="BJA203" s="26"/>
      <c r="BJB203" s="26"/>
      <c r="BJC203" s="26"/>
      <c r="BJD203" s="26"/>
      <c r="BJE203" s="26"/>
      <c r="BJF203" s="26"/>
      <c r="BJG203" s="26"/>
      <c r="BJH203" s="26"/>
      <c r="BJI203" s="26"/>
      <c r="BJJ203" s="26"/>
      <c r="BJK203" s="26"/>
      <c r="BJL203" s="26"/>
      <c r="BJM203" s="26"/>
      <c r="BJN203" s="26"/>
      <c r="BJO203" s="26"/>
      <c r="BJP203" s="26"/>
      <c r="BJQ203" s="26"/>
      <c r="BJR203" s="26"/>
      <c r="BJS203" s="26"/>
      <c r="BJT203" s="26"/>
      <c r="BJU203" s="26"/>
      <c r="BJV203" s="26"/>
      <c r="BJW203" s="26"/>
      <c r="BJX203" s="26"/>
      <c r="BJY203" s="26"/>
      <c r="BJZ203" s="26"/>
      <c r="BKA203" s="26"/>
      <c r="BKB203" s="26"/>
      <c r="BKC203" s="26"/>
      <c r="BKD203" s="26"/>
      <c r="BKE203" s="26"/>
      <c r="BKF203" s="26"/>
      <c r="BKG203" s="26"/>
      <c r="BKH203" s="26"/>
      <c r="BKI203" s="26"/>
      <c r="BKJ203" s="26"/>
      <c r="BKK203" s="26"/>
      <c r="BKL203" s="26"/>
      <c r="BKM203" s="26"/>
      <c r="BKN203" s="26"/>
      <c r="BKO203" s="26"/>
      <c r="BKP203" s="26"/>
      <c r="BKQ203" s="26"/>
      <c r="BKR203" s="26"/>
      <c r="BKS203" s="26"/>
      <c r="BKT203" s="26"/>
      <c r="BKU203" s="26"/>
      <c r="BKV203" s="26"/>
      <c r="BKW203" s="26"/>
      <c r="BKX203" s="26"/>
      <c r="BKY203" s="26"/>
      <c r="BKZ203" s="26"/>
      <c r="BLA203" s="26"/>
      <c r="BLB203" s="26"/>
      <c r="BLC203" s="26"/>
      <c r="BLD203" s="26"/>
      <c r="BLE203" s="26"/>
      <c r="BLF203" s="26"/>
      <c r="BLG203" s="26"/>
      <c r="BLH203" s="26"/>
      <c r="BLI203" s="26"/>
      <c r="BLJ203" s="26"/>
      <c r="BLK203" s="26"/>
      <c r="BLL203" s="26"/>
      <c r="BLM203" s="26"/>
      <c r="BLN203" s="26"/>
      <c r="BLO203" s="26"/>
      <c r="BLP203" s="26"/>
      <c r="BLQ203" s="26"/>
      <c r="BLR203" s="26"/>
      <c r="BLS203" s="26"/>
      <c r="BLT203" s="26"/>
      <c r="BLU203" s="26"/>
      <c r="BLV203" s="26"/>
      <c r="BLW203" s="26"/>
      <c r="BLX203" s="26"/>
      <c r="BLY203" s="26"/>
      <c r="BLZ203" s="26"/>
      <c r="BMA203" s="26"/>
      <c r="BMB203" s="26"/>
      <c r="BMC203" s="26"/>
      <c r="BMD203" s="26"/>
      <c r="BME203" s="26"/>
      <c r="BMF203" s="26"/>
      <c r="BMG203" s="26"/>
      <c r="BMH203" s="26"/>
      <c r="BMI203" s="26"/>
      <c r="BMJ203" s="26"/>
      <c r="BMK203" s="26"/>
      <c r="BML203" s="26"/>
      <c r="BMM203" s="26"/>
      <c r="BMN203" s="26"/>
      <c r="BMO203" s="26"/>
      <c r="BMP203" s="26"/>
      <c r="BMQ203" s="26"/>
      <c r="BMR203" s="26"/>
      <c r="BMS203" s="26"/>
      <c r="BMT203" s="26"/>
      <c r="BMU203" s="26"/>
      <c r="BMV203" s="26"/>
      <c r="BMW203" s="26"/>
      <c r="BMX203" s="26"/>
      <c r="BMY203" s="26"/>
      <c r="BMZ203" s="26"/>
      <c r="BNA203" s="26"/>
      <c r="BNB203" s="26"/>
      <c r="BNC203" s="26"/>
      <c r="BND203" s="26"/>
      <c r="BNE203" s="26"/>
      <c r="BNF203" s="26"/>
      <c r="BNG203" s="26"/>
      <c r="BNH203" s="26"/>
      <c r="BNI203" s="26"/>
      <c r="BNJ203" s="26"/>
      <c r="BNK203" s="26"/>
      <c r="BNL203" s="26"/>
      <c r="BNM203" s="26"/>
      <c r="BNN203" s="26"/>
      <c r="BNO203" s="26"/>
      <c r="BNP203" s="26"/>
      <c r="BNQ203" s="26"/>
      <c r="BNR203" s="26"/>
      <c r="BNS203" s="26"/>
      <c r="BNT203" s="26"/>
      <c r="BNU203" s="26"/>
      <c r="BNV203" s="26"/>
      <c r="BNW203" s="26"/>
      <c r="BNX203" s="26"/>
      <c r="BNY203" s="26"/>
      <c r="BNZ203" s="26"/>
      <c r="BOA203" s="26"/>
      <c r="BOB203" s="26"/>
      <c r="BOC203" s="26"/>
      <c r="BOD203" s="26"/>
      <c r="BOE203" s="26"/>
      <c r="BOF203" s="26"/>
      <c r="BOG203" s="26"/>
      <c r="BOH203" s="26"/>
      <c r="BOI203" s="26"/>
      <c r="BOJ203" s="26"/>
      <c r="BOK203" s="26"/>
      <c r="BOL203" s="26"/>
      <c r="BOM203" s="26"/>
      <c r="BON203" s="26"/>
      <c r="BOO203" s="26"/>
      <c r="BOP203" s="26"/>
      <c r="BOQ203" s="26"/>
      <c r="BOR203" s="26"/>
      <c r="BOS203" s="26"/>
      <c r="BOT203" s="26"/>
      <c r="BOU203" s="26"/>
      <c r="BOV203" s="26"/>
      <c r="BOW203" s="26"/>
      <c r="BOX203" s="26"/>
      <c r="BOY203" s="26"/>
      <c r="BOZ203" s="26"/>
      <c r="BPA203" s="26"/>
      <c r="BPB203" s="26"/>
      <c r="BPC203" s="26"/>
      <c r="BPD203" s="26"/>
      <c r="BPE203" s="26"/>
      <c r="BPF203" s="26"/>
      <c r="BPG203" s="26"/>
      <c r="BPH203" s="26"/>
      <c r="BPI203" s="26"/>
      <c r="BPJ203" s="26"/>
      <c r="BPK203" s="26"/>
      <c r="BPL203" s="26"/>
      <c r="BPM203" s="26"/>
      <c r="BPN203" s="26"/>
      <c r="BPO203" s="26"/>
      <c r="BPP203" s="26"/>
      <c r="BPQ203" s="26"/>
      <c r="BPR203" s="26"/>
      <c r="BPS203" s="26"/>
      <c r="BPT203" s="26"/>
      <c r="BPU203" s="26"/>
      <c r="BPV203" s="26"/>
      <c r="BPW203" s="26"/>
      <c r="BPX203" s="26"/>
      <c r="BPY203" s="26"/>
      <c r="BPZ203" s="26"/>
      <c r="BQA203" s="26"/>
      <c r="BQB203" s="26"/>
      <c r="BQC203" s="26"/>
      <c r="BQD203" s="26"/>
      <c r="BQE203" s="26"/>
      <c r="BQF203" s="26"/>
      <c r="BQG203" s="26"/>
      <c r="BQH203" s="26"/>
      <c r="BQI203" s="26"/>
      <c r="BQJ203" s="26"/>
      <c r="BQK203" s="26"/>
      <c r="BQL203" s="26"/>
      <c r="BQM203" s="26"/>
      <c r="BQN203" s="26"/>
      <c r="BQO203" s="26"/>
      <c r="BQP203" s="26"/>
      <c r="BQQ203" s="26"/>
      <c r="BQR203" s="26"/>
      <c r="BQS203" s="26"/>
      <c r="BQT203" s="26"/>
      <c r="BQU203" s="26"/>
      <c r="BQV203" s="26"/>
      <c r="BQW203" s="26"/>
      <c r="BQX203" s="26"/>
      <c r="BQY203" s="26"/>
      <c r="BQZ203" s="26"/>
      <c r="BRA203" s="26"/>
      <c r="BRB203" s="26"/>
      <c r="BRC203" s="26"/>
      <c r="BRD203" s="26"/>
      <c r="BRE203" s="26"/>
      <c r="BRF203" s="26"/>
      <c r="BRG203" s="26"/>
      <c r="BRH203" s="26"/>
      <c r="BRI203" s="26"/>
      <c r="BRJ203" s="26"/>
      <c r="BRK203" s="26"/>
      <c r="BRL203" s="26"/>
      <c r="BRM203" s="26"/>
      <c r="BRN203" s="26"/>
      <c r="BRO203" s="26"/>
      <c r="BRP203" s="26"/>
      <c r="BRQ203" s="26"/>
      <c r="BRR203" s="26"/>
      <c r="BRS203" s="26"/>
      <c r="BRT203" s="26"/>
      <c r="BRU203" s="26"/>
      <c r="BRV203" s="26"/>
      <c r="BRW203" s="26"/>
      <c r="BRX203" s="26"/>
      <c r="BRY203" s="26"/>
      <c r="BRZ203" s="26"/>
      <c r="BSA203" s="26"/>
      <c r="BSB203" s="26"/>
      <c r="BSC203" s="26"/>
      <c r="BSD203" s="26"/>
      <c r="BSE203" s="26"/>
      <c r="BSF203" s="26"/>
      <c r="BSG203" s="26"/>
      <c r="BSH203" s="26"/>
      <c r="BSI203" s="26"/>
      <c r="BSJ203" s="26"/>
      <c r="BSK203" s="26"/>
      <c r="BSL203" s="26"/>
      <c r="BSM203" s="26"/>
      <c r="BSN203" s="26"/>
      <c r="BSO203" s="26"/>
      <c r="BSP203" s="26"/>
      <c r="BSQ203" s="26"/>
      <c r="BSR203" s="26"/>
      <c r="BSS203" s="26"/>
      <c r="BST203" s="26"/>
      <c r="BSU203" s="26"/>
      <c r="BSV203" s="26"/>
      <c r="BSW203" s="26"/>
      <c r="BSX203" s="26"/>
      <c r="BSY203" s="26"/>
      <c r="BSZ203" s="26"/>
      <c r="BTA203" s="26"/>
      <c r="BTB203" s="26"/>
      <c r="BTC203" s="26"/>
      <c r="BTD203" s="26"/>
      <c r="BTE203" s="26"/>
      <c r="BTF203" s="26"/>
      <c r="BTG203" s="26"/>
      <c r="BTH203" s="26"/>
      <c r="BTI203" s="26"/>
      <c r="BTJ203" s="26"/>
      <c r="BTK203" s="26"/>
      <c r="BTL203" s="26"/>
      <c r="BTM203" s="26"/>
      <c r="BTN203" s="26"/>
      <c r="BTO203" s="26"/>
      <c r="BTP203" s="26"/>
      <c r="BTQ203" s="26"/>
      <c r="BTR203" s="26"/>
      <c r="BTS203" s="26"/>
      <c r="BTT203" s="26"/>
      <c r="BTU203" s="26"/>
      <c r="BTV203" s="26"/>
      <c r="BTW203" s="26"/>
      <c r="BTX203" s="26"/>
      <c r="BTY203" s="26"/>
      <c r="BTZ203" s="26"/>
      <c r="BUA203" s="26"/>
      <c r="BUB203" s="26"/>
      <c r="BUC203" s="26"/>
      <c r="BUD203" s="26"/>
      <c r="BUE203" s="26"/>
      <c r="BUF203" s="26"/>
      <c r="BUG203" s="26"/>
      <c r="BUH203" s="26"/>
      <c r="BUI203" s="26"/>
      <c r="BUJ203" s="26"/>
      <c r="BUK203" s="26"/>
      <c r="BUL203" s="26"/>
      <c r="BUM203" s="26"/>
      <c r="BUN203" s="26"/>
      <c r="BUO203" s="26"/>
      <c r="BUP203" s="26"/>
      <c r="BUQ203" s="26"/>
      <c r="BUR203" s="26"/>
      <c r="BUS203" s="26"/>
      <c r="BUT203" s="26"/>
      <c r="BUU203" s="26"/>
      <c r="BUV203" s="26"/>
      <c r="BUW203" s="26"/>
      <c r="BUX203" s="26"/>
      <c r="BUY203" s="26"/>
      <c r="BUZ203" s="26"/>
      <c r="BVA203" s="26"/>
      <c r="BVB203" s="26"/>
      <c r="BVC203" s="26"/>
      <c r="BVD203" s="26"/>
      <c r="BVE203" s="26"/>
      <c r="BVF203" s="26"/>
      <c r="BVG203" s="26"/>
      <c r="BVH203" s="26"/>
      <c r="BVI203" s="26"/>
      <c r="BVJ203" s="26"/>
      <c r="BVK203" s="26"/>
      <c r="BVL203" s="26"/>
      <c r="BVM203" s="26"/>
      <c r="BVN203" s="26"/>
      <c r="BVO203" s="26"/>
      <c r="BVP203" s="26"/>
      <c r="BVQ203" s="26"/>
      <c r="BVR203" s="26"/>
      <c r="BVS203" s="26"/>
      <c r="BVT203" s="26"/>
      <c r="BVU203" s="26"/>
      <c r="BVV203" s="26"/>
      <c r="BVW203" s="26"/>
      <c r="BVX203" s="26"/>
      <c r="BVY203" s="26"/>
      <c r="BVZ203" s="26"/>
      <c r="BWA203" s="26"/>
      <c r="BWB203" s="26"/>
      <c r="BWC203" s="26"/>
      <c r="BWD203" s="26"/>
      <c r="BWE203" s="26"/>
      <c r="BWF203" s="26"/>
      <c r="BWG203" s="26"/>
      <c r="BWH203" s="26"/>
      <c r="BWI203" s="26"/>
      <c r="BWJ203" s="26"/>
      <c r="BWK203" s="26"/>
      <c r="BWL203" s="26"/>
      <c r="BWM203" s="26"/>
      <c r="BWN203" s="26"/>
      <c r="BWO203" s="26"/>
      <c r="BWP203" s="26"/>
      <c r="BWQ203" s="26"/>
      <c r="BWR203" s="26"/>
      <c r="BWS203" s="26"/>
      <c r="BWT203" s="26"/>
      <c r="BWU203" s="26"/>
      <c r="BWV203" s="26"/>
      <c r="BWW203" s="26"/>
      <c r="BWX203" s="26"/>
      <c r="BWY203" s="26"/>
      <c r="BWZ203" s="26"/>
      <c r="BXA203" s="26"/>
      <c r="BXB203" s="26"/>
      <c r="BXC203" s="26"/>
      <c r="BXD203" s="26"/>
      <c r="BXE203" s="26"/>
      <c r="BXF203" s="26"/>
      <c r="BXG203" s="26"/>
      <c r="BXH203" s="26"/>
      <c r="BXI203" s="26"/>
      <c r="BXJ203" s="26"/>
      <c r="BXK203" s="26"/>
      <c r="BXL203" s="26"/>
      <c r="BXM203" s="26"/>
      <c r="BXN203" s="26"/>
      <c r="BXO203" s="26"/>
      <c r="BXP203" s="26"/>
      <c r="BXQ203" s="26"/>
      <c r="BXR203" s="26"/>
      <c r="BXS203" s="26"/>
      <c r="BXT203" s="26"/>
      <c r="BXU203" s="26"/>
      <c r="BXV203" s="26"/>
      <c r="BXW203" s="26"/>
      <c r="BXX203" s="26"/>
      <c r="BXY203" s="26"/>
      <c r="BXZ203" s="26"/>
      <c r="BYA203" s="26"/>
      <c r="BYB203" s="26"/>
      <c r="BYC203" s="26"/>
      <c r="BYD203" s="26"/>
      <c r="BYE203" s="26"/>
      <c r="BYF203" s="26"/>
      <c r="BYG203" s="26"/>
      <c r="BYH203" s="26"/>
      <c r="BYI203" s="26"/>
      <c r="BYJ203" s="26"/>
      <c r="BYK203" s="26"/>
      <c r="BYL203" s="26"/>
      <c r="BYM203" s="26"/>
      <c r="BYN203" s="26"/>
      <c r="BYO203" s="26"/>
      <c r="BYP203" s="26"/>
      <c r="BYQ203" s="26"/>
      <c r="BYR203" s="26"/>
      <c r="BYS203" s="26"/>
      <c r="BYT203" s="26"/>
      <c r="BYU203" s="26"/>
      <c r="BYV203" s="26"/>
      <c r="BYW203" s="26"/>
      <c r="BYX203" s="26"/>
      <c r="BYY203" s="26"/>
      <c r="BYZ203" s="26"/>
      <c r="BZA203" s="26"/>
      <c r="BZB203" s="26"/>
      <c r="BZC203" s="26"/>
      <c r="BZD203" s="26"/>
      <c r="BZE203" s="26"/>
      <c r="BZF203" s="26"/>
      <c r="BZG203" s="26"/>
      <c r="BZH203" s="26"/>
      <c r="BZI203" s="26"/>
      <c r="BZJ203" s="26"/>
      <c r="BZK203" s="26"/>
      <c r="BZL203" s="26"/>
      <c r="BZM203" s="26"/>
      <c r="BZN203" s="26"/>
      <c r="BZO203" s="26"/>
      <c r="BZP203" s="26"/>
      <c r="BZQ203" s="26"/>
      <c r="BZR203" s="26"/>
      <c r="BZS203" s="26"/>
      <c r="BZT203" s="26"/>
      <c r="BZU203" s="26"/>
      <c r="BZV203" s="26"/>
      <c r="BZW203" s="26"/>
      <c r="BZX203" s="26"/>
      <c r="BZY203" s="26"/>
      <c r="BZZ203" s="26"/>
      <c r="CAA203" s="26"/>
      <c r="CAB203" s="26"/>
      <c r="CAC203" s="26"/>
      <c r="CAD203" s="26"/>
      <c r="CAE203" s="26"/>
      <c r="CAF203" s="26"/>
      <c r="CAG203" s="26"/>
      <c r="CAH203" s="26"/>
      <c r="CAI203" s="26"/>
      <c r="CAJ203" s="26"/>
      <c r="CAK203" s="26"/>
      <c r="CAL203" s="26"/>
      <c r="CAM203" s="26"/>
      <c r="CAN203" s="26"/>
      <c r="CAO203" s="26"/>
      <c r="CAP203" s="26"/>
      <c r="CAQ203" s="26"/>
      <c r="CAR203" s="26"/>
      <c r="CAS203" s="26"/>
      <c r="CAT203" s="26"/>
      <c r="CAU203" s="26"/>
      <c r="CAV203" s="26"/>
      <c r="CAW203" s="26"/>
      <c r="CAX203" s="26"/>
      <c r="CAY203" s="26"/>
      <c r="CAZ203" s="26"/>
      <c r="CBA203" s="26"/>
      <c r="CBB203" s="26"/>
      <c r="CBC203" s="26"/>
      <c r="CBD203" s="26"/>
      <c r="CBE203" s="26"/>
      <c r="CBF203" s="26"/>
      <c r="CBG203" s="26"/>
      <c r="CBH203" s="26"/>
      <c r="CBI203" s="26"/>
    </row>
    <row r="204" spans="1:2089" ht="14" customHeight="1">
      <c r="A204" s="27">
        <v>203</v>
      </c>
      <c r="B204" s="27" t="s">
        <v>375</v>
      </c>
      <c r="C204" s="37">
        <v>1997</v>
      </c>
      <c r="D204" s="26" t="s">
        <v>25</v>
      </c>
      <c r="E204" s="26" t="s">
        <v>565</v>
      </c>
      <c r="F204" s="77" t="s">
        <v>548</v>
      </c>
      <c r="G204" s="2" t="s">
        <v>105</v>
      </c>
      <c r="H204" s="2" t="s">
        <v>30</v>
      </c>
      <c r="I204" s="2" t="s">
        <v>548</v>
      </c>
      <c r="J204" s="2" t="s">
        <v>604</v>
      </c>
      <c r="K204" s="2" t="s">
        <v>175</v>
      </c>
      <c r="L204" s="2" t="s">
        <v>548</v>
      </c>
      <c r="M204" s="2" t="s">
        <v>175</v>
      </c>
      <c r="N204" s="2" t="s">
        <v>62</v>
      </c>
      <c r="O204" s="2" t="s">
        <v>43</v>
      </c>
      <c r="P204" s="2" t="s">
        <v>62</v>
      </c>
      <c r="Q204" s="26" t="s">
        <v>606</v>
      </c>
      <c r="R204" s="79" t="s">
        <v>613</v>
      </c>
      <c r="S204" s="2" t="s">
        <v>70</v>
      </c>
      <c r="T204" s="26">
        <v>29</v>
      </c>
      <c r="U204" s="77">
        <v>0</v>
      </c>
      <c r="V204" s="26">
        <v>0</v>
      </c>
      <c r="W204" s="26">
        <v>1</v>
      </c>
      <c r="X204" s="26">
        <v>1</v>
      </c>
      <c r="Y204" s="26">
        <v>1</v>
      </c>
      <c r="Z204" s="26">
        <v>1</v>
      </c>
      <c r="AA204" s="26">
        <v>0</v>
      </c>
      <c r="AB204" s="26">
        <v>0</v>
      </c>
      <c r="AC204" s="26" t="s">
        <v>70</v>
      </c>
      <c r="AD204" s="26" t="s">
        <v>70</v>
      </c>
      <c r="AE204" s="26" t="s">
        <v>70</v>
      </c>
      <c r="AF204" s="26" t="s">
        <v>70</v>
      </c>
      <c r="AG204" s="26" t="s">
        <v>70</v>
      </c>
      <c r="AH204" s="33" t="s">
        <v>79</v>
      </c>
      <c r="AI204" s="26" t="s">
        <v>70</v>
      </c>
      <c r="AJ204" s="26" t="s">
        <v>208</v>
      </c>
      <c r="AK204" s="26" t="s">
        <v>70</v>
      </c>
      <c r="AL204" s="26" t="s">
        <v>70</v>
      </c>
      <c r="AM204" s="35" t="s">
        <v>175</v>
      </c>
      <c r="AN204" s="32" t="s">
        <v>9</v>
      </c>
      <c r="AO204" s="35" t="s">
        <v>548</v>
      </c>
      <c r="AP204" s="35" t="s">
        <v>548</v>
      </c>
      <c r="AQ204" s="35" t="s">
        <v>548</v>
      </c>
      <c r="AR204" s="35" t="s">
        <v>548</v>
      </c>
      <c r="AS204" s="26" t="s">
        <v>175</v>
      </c>
      <c r="AT204" s="26" t="s">
        <v>70</v>
      </c>
      <c r="AU204" s="26" t="s">
        <v>70</v>
      </c>
      <c r="AV204" s="26">
        <v>8</v>
      </c>
    </row>
    <row r="205" spans="1:2089" ht="14" customHeight="1">
      <c r="A205" s="27">
        <v>204</v>
      </c>
      <c r="B205" s="27" t="s">
        <v>375</v>
      </c>
      <c r="C205" s="37">
        <v>1999</v>
      </c>
      <c r="D205" s="26" t="s">
        <v>25</v>
      </c>
      <c r="E205" s="26" t="s">
        <v>565</v>
      </c>
      <c r="F205" s="77" t="s">
        <v>175</v>
      </c>
      <c r="G205" s="2" t="s">
        <v>105</v>
      </c>
      <c r="H205" s="2" t="s">
        <v>30</v>
      </c>
      <c r="I205" s="2" t="s">
        <v>548</v>
      </c>
      <c r="J205" s="2" t="s">
        <v>189</v>
      </c>
      <c r="K205" s="2" t="s">
        <v>548</v>
      </c>
      <c r="L205" s="2" t="s">
        <v>548</v>
      </c>
      <c r="M205" s="2" t="s">
        <v>175</v>
      </c>
      <c r="N205" s="2" t="s">
        <v>62</v>
      </c>
      <c r="O205" s="2" t="s">
        <v>43</v>
      </c>
      <c r="P205" s="2" t="s">
        <v>62</v>
      </c>
      <c r="Q205" s="26" t="s">
        <v>606</v>
      </c>
      <c r="R205" s="79" t="s">
        <v>613</v>
      </c>
      <c r="S205" s="2" t="s">
        <v>70</v>
      </c>
      <c r="T205" s="26">
        <v>137</v>
      </c>
      <c r="U205" s="77">
        <v>1</v>
      </c>
      <c r="V205" s="26">
        <v>0</v>
      </c>
      <c r="W205" s="26">
        <v>1</v>
      </c>
      <c r="X205" s="26">
        <v>1</v>
      </c>
      <c r="Y205" s="26">
        <v>1</v>
      </c>
      <c r="Z205" s="26">
        <v>1</v>
      </c>
      <c r="AA205" s="26">
        <v>0</v>
      </c>
      <c r="AB205" s="26">
        <v>0</v>
      </c>
      <c r="AC205" s="26" t="s">
        <v>70</v>
      </c>
      <c r="AD205" s="26" t="s">
        <v>70</v>
      </c>
      <c r="AE205" s="26" t="s">
        <v>70</v>
      </c>
      <c r="AF205" s="26" t="s">
        <v>70</v>
      </c>
      <c r="AG205" s="33" t="s">
        <v>70</v>
      </c>
      <c r="AH205" s="33">
        <v>0</v>
      </c>
      <c r="AI205" s="26" t="s">
        <v>70</v>
      </c>
      <c r="AJ205" s="26" t="s">
        <v>200</v>
      </c>
      <c r="AK205" s="26" t="s">
        <v>70</v>
      </c>
      <c r="AL205" s="26" t="s">
        <v>70</v>
      </c>
      <c r="AM205" s="35" t="s">
        <v>548</v>
      </c>
      <c r="AN205" s="26" t="s">
        <v>274</v>
      </c>
      <c r="AO205" s="35" t="s">
        <v>548</v>
      </c>
      <c r="AP205" s="35" t="s">
        <v>548</v>
      </c>
      <c r="AQ205" s="35" t="s">
        <v>548</v>
      </c>
      <c r="AR205" s="35" t="s">
        <v>548</v>
      </c>
      <c r="AS205" s="26" t="s">
        <v>175</v>
      </c>
      <c r="AT205" s="26" t="s">
        <v>70</v>
      </c>
      <c r="AU205" s="26" t="s">
        <v>70</v>
      </c>
      <c r="AV205" s="26">
        <v>7</v>
      </c>
    </row>
    <row r="206" spans="1:2089" ht="14" customHeight="1">
      <c r="A206" s="27">
        <v>205</v>
      </c>
      <c r="B206" s="27" t="s">
        <v>375</v>
      </c>
      <c r="C206" s="27">
        <v>2013</v>
      </c>
      <c r="D206" s="26" t="s">
        <v>25</v>
      </c>
      <c r="E206" s="26" t="s">
        <v>565</v>
      </c>
      <c r="F206" s="77" t="s">
        <v>175</v>
      </c>
      <c r="G206" s="2" t="s">
        <v>105</v>
      </c>
      <c r="H206" s="2" t="s">
        <v>24</v>
      </c>
      <c r="I206" s="2" t="s">
        <v>548</v>
      </c>
      <c r="J206" s="2" t="s">
        <v>604</v>
      </c>
      <c r="K206" s="2" t="s">
        <v>548</v>
      </c>
      <c r="L206" s="2" t="s">
        <v>548</v>
      </c>
      <c r="M206" s="2" t="s">
        <v>548</v>
      </c>
      <c r="N206" s="2" t="s">
        <v>70</v>
      </c>
      <c r="O206" s="2" t="s">
        <v>209</v>
      </c>
      <c r="P206" s="2" t="s">
        <v>612</v>
      </c>
      <c r="Q206" s="2" t="s">
        <v>42</v>
      </c>
      <c r="R206" s="102" t="s">
        <v>614</v>
      </c>
      <c r="S206" s="2">
        <f>1-AC206</f>
        <v>0.19999999999999996</v>
      </c>
      <c r="T206" s="26">
        <v>15</v>
      </c>
      <c r="U206" s="77">
        <v>1</v>
      </c>
      <c r="V206" s="26">
        <v>0</v>
      </c>
      <c r="W206" s="26">
        <v>1</v>
      </c>
      <c r="X206" s="26">
        <v>0</v>
      </c>
      <c r="Y206" s="26">
        <v>0</v>
      </c>
      <c r="Z206" s="26">
        <v>0</v>
      </c>
      <c r="AA206" s="26">
        <v>0</v>
      </c>
      <c r="AB206" s="26">
        <v>0</v>
      </c>
      <c r="AC206" s="26">
        <v>0.8</v>
      </c>
      <c r="AD206" s="26">
        <v>0</v>
      </c>
      <c r="AE206" s="26">
        <v>7.0000000000000007E-2</v>
      </c>
      <c r="AF206" s="26">
        <f>1-AE206-AC206</f>
        <v>0.12999999999999989</v>
      </c>
      <c r="AG206" s="33" t="s">
        <v>70</v>
      </c>
      <c r="AH206" s="33" t="s">
        <v>70</v>
      </c>
      <c r="AI206" s="33" t="s">
        <v>70</v>
      </c>
      <c r="AJ206" s="33" t="s">
        <v>70</v>
      </c>
      <c r="AK206" s="33" t="s">
        <v>70</v>
      </c>
      <c r="AL206" s="33" t="s">
        <v>70</v>
      </c>
      <c r="AM206" s="35" t="s">
        <v>548</v>
      </c>
      <c r="AN206" s="32" t="s">
        <v>274</v>
      </c>
      <c r="AO206" s="35" t="s">
        <v>548</v>
      </c>
      <c r="AP206" s="26" t="s">
        <v>548</v>
      </c>
      <c r="AQ206" s="26" t="s">
        <v>548</v>
      </c>
      <c r="AR206" s="26" t="s">
        <v>548</v>
      </c>
      <c r="AS206" s="26" t="s">
        <v>175</v>
      </c>
      <c r="AT206" s="26" t="s">
        <v>70</v>
      </c>
      <c r="AU206" s="26" t="s">
        <v>70</v>
      </c>
      <c r="AV206" s="26">
        <v>3</v>
      </c>
    </row>
    <row r="207" spans="1:2089" ht="14" customHeight="1">
      <c r="A207" s="27">
        <v>206</v>
      </c>
      <c r="B207" s="27" t="s">
        <v>375</v>
      </c>
      <c r="C207" s="27">
        <v>2013</v>
      </c>
      <c r="D207" s="26" t="s">
        <v>25</v>
      </c>
      <c r="E207" s="26" t="s">
        <v>565</v>
      </c>
      <c r="F207" s="77" t="s">
        <v>175</v>
      </c>
      <c r="G207" s="2" t="s">
        <v>105</v>
      </c>
      <c r="H207" s="2" t="s">
        <v>24</v>
      </c>
      <c r="I207" s="2" t="s">
        <v>548</v>
      </c>
      <c r="J207" s="2" t="s">
        <v>604</v>
      </c>
      <c r="K207" s="2" t="s">
        <v>548</v>
      </c>
      <c r="L207" s="2" t="s">
        <v>548</v>
      </c>
      <c r="M207" s="2" t="s">
        <v>548</v>
      </c>
      <c r="N207" s="2" t="s">
        <v>62</v>
      </c>
      <c r="O207" s="2" t="s">
        <v>43</v>
      </c>
      <c r="P207" s="2" t="s">
        <v>62</v>
      </c>
      <c r="Q207" s="26" t="s">
        <v>606</v>
      </c>
      <c r="R207" s="102" t="s">
        <v>614</v>
      </c>
      <c r="S207" s="2">
        <v>0.14035087719298242</v>
      </c>
      <c r="T207" s="26">
        <v>57</v>
      </c>
      <c r="U207" s="77">
        <v>1</v>
      </c>
      <c r="V207" s="26">
        <v>0</v>
      </c>
      <c r="W207" s="26">
        <v>1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0.85964912280701755</v>
      </c>
      <c r="AD207" s="26">
        <v>0.10526315789473684</v>
      </c>
      <c r="AE207" s="26">
        <v>1.7543859649122806E-2</v>
      </c>
      <c r="AF207" s="26">
        <v>1.7543859649122806E-2</v>
      </c>
      <c r="AG207" s="33" t="s">
        <v>70</v>
      </c>
      <c r="AH207" s="33" t="s">
        <v>70</v>
      </c>
      <c r="AI207" s="33" t="s">
        <v>70</v>
      </c>
      <c r="AJ207" s="33" t="s">
        <v>70</v>
      </c>
      <c r="AK207" s="33" t="s">
        <v>70</v>
      </c>
      <c r="AL207" s="33" t="s">
        <v>70</v>
      </c>
      <c r="AM207" s="35" t="s">
        <v>548</v>
      </c>
      <c r="AN207" s="26" t="s">
        <v>274</v>
      </c>
      <c r="AO207" s="35" t="s">
        <v>548</v>
      </c>
      <c r="AP207" s="26" t="s">
        <v>548</v>
      </c>
      <c r="AQ207" s="26" t="s">
        <v>548</v>
      </c>
      <c r="AR207" s="26" t="s">
        <v>548</v>
      </c>
      <c r="AS207" s="26" t="s">
        <v>175</v>
      </c>
      <c r="AT207" s="26" t="s">
        <v>70</v>
      </c>
      <c r="AU207" s="26" t="s">
        <v>70</v>
      </c>
      <c r="AV207" s="26">
        <v>3</v>
      </c>
    </row>
    <row r="208" spans="1:2089" ht="14" customHeight="1">
      <c r="A208" s="27">
        <v>207</v>
      </c>
      <c r="B208" s="27" t="s">
        <v>375</v>
      </c>
      <c r="C208" s="27">
        <v>2013</v>
      </c>
      <c r="D208" s="26" t="s">
        <v>25</v>
      </c>
      <c r="E208" s="26" t="s">
        <v>565</v>
      </c>
      <c r="F208" s="77" t="s">
        <v>175</v>
      </c>
      <c r="G208" s="2" t="s">
        <v>105</v>
      </c>
      <c r="H208" s="2" t="s">
        <v>24</v>
      </c>
      <c r="I208" s="2" t="s">
        <v>548</v>
      </c>
      <c r="J208" s="2" t="s">
        <v>604</v>
      </c>
      <c r="K208" s="2" t="s">
        <v>548</v>
      </c>
      <c r="L208" s="2" t="s">
        <v>548</v>
      </c>
      <c r="M208" s="2" t="s">
        <v>548</v>
      </c>
      <c r="N208" s="2" t="s">
        <v>209</v>
      </c>
      <c r="O208" s="2" t="s">
        <v>209</v>
      </c>
      <c r="P208" s="2" t="s">
        <v>620</v>
      </c>
      <c r="Q208" s="2" t="s">
        <v>42</v>
      </c>
      <c r="R208" s="102" t="s">
        <v>614</v>
      </c>
      <c r="S208" s="2">
        <f>1-AC208</f>
        <v>0.7</v>
      </c>
      <c r="T208" s="26">
        <v>57</v>
      </c>
      <c r="U208" s="77">
        <v>1</v>
      </c>
      <c r="V208" s="26">
        <v>0</v>
      </c>
      <c r="W208" s="26">
        <v>1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v>0.3</v>
      </c>
      <c r="AD208" s="26">
        <v>0.5</v>
      </c>
      <c r="AE208" s="26">
        <v>0.1</v>
      </c>
      <c r="AF208" s="26">
        <v>0.1</v>
      </c>
      <c r="AG208" s="33" t="s">
        <v>70</v>
      </c>
      <c r="AH208" s="33" t="s">
        <v>70</v>
      </c>
      <c r="AI208" s="33" t="s">
        <v>70</v>
      </c>
      <c r="AJ208" s="33" t="s">
        <v>70</v>
      </c>
      <c r="AK208" s="33" t="s">
        <v>70</v>
      </c>
      <c r="AL208" s="33" t="s">
        <v>70</v>
      </c>
      <c r="AM208" s="35" t="s">
        <v>548</v>
      </c>
      <c r="AN208" s="26" t="s">
        <v>274</v>
      </c>
      <c r="AO208" s="35" t="s">
        <v>548</v>
      </c>
      <c r="AP208" s="26" t="s">
        <v>548</v>
      </c>
      <c r="AQ208" s="26" t="s">
        <v>548</v>
      </c>
      <c r="AR208" s="26" t="s">
        <v>548</v>
      </c>
      <c r="AS208" s="26" t="s">
        <v>175</v>
      </c>
      <c r="AT208" s="26" t="s">
        <v>70</v>
      </c>
      <c r="AU208" s="26" t="s">
        <v>70</v>
      </c>
      <c r="AV208" s="26">
        <v>3</v>
      </c>
    </row>
    <row r="209" spans="1:2089" ht="14" customHeight="1">
      <c r="A209" s="27">
        <v>208</v>
      </c>
      <c r="B209" s="27" t="s">
        <v>375</v>
      </c>
      <c r="C209" s="27">
        <v>2013</v>
      </c>
      <c r="D209" s="26" t="s">
        <v>25</v>
      </c>
      <c r="E209" s="26" t="s">
        <v>565</v>
      </c>
      <c r="F209" s="77" t="s">
        <v>175</v>
      </c>
      <c r="G209" s="2" t="s">
        <v>105</v>
      </c>
      <c r="H209" s="2" t="s">
        <v>24</v>
      </c>
      <c r="I209" s="2" t="s">
        <v>548</v>
      </c>
      <c r="J209" s="2" t="s">
        <v>604</v>
      </c>
      <c r="K209" s="2" t="s">
        <v>548</v>
      </c>
      <c r="L209" s="2" t="s">
        <v>548</v>
      </c>
      <c r="M209" s="2" t="s">
        <v>548</v>
      </c>
      <c r="N209" s="2" t="s">
        <v>62</v>
      </c>
      <c r="O209" s="2" t="s">
        <v>43</v>
      </c>
      <c r="P209" s="2" t="s">
        <v>621</v>
      </c>
      <c r="Q209" s="2" t="s">
        <v>42</v>
      </c>
      <c r="R209" s="102" t="s">
        <v>614</v>
      </c>
      <c r="S209" s="2">
        <f>1-AC209</f>
        <v>0.55000000000000004</v>
      </c>
      <c r="T209" s="26">
        <v>73</v>
      </c>
      <c r="U209" s="77">
        <v>1</v>
      </c>
      <c r="V209" s="26">
        <v>0</v>
      </c>
      <c r="W209" s="26">
        <v>1</v>
      </c>
      <c r="X209" s="26">
        <v>0</v>
      </c>
      <c r="Y209" s="26">
        <v>0</v>
      </c>
      <c r="Z209" s="26">
        <v>0</v>
      </c>
      <c r="AA209" s="26">
        <v>0</v>
      </c>
      <c r="AB209" s="26">
        <v>0</v>
      </c>
      <c r="AC209" s="26">
        <v>0.45</v>
      </c>
      <c r="AD209" s="26">
        <v>0.22500000000000001</v>
      </c>
      <c r="AE209" s="26">
        <v>0.25</v>
      </c>
      <c r="AF209" s="26">
        <v>7.4999999999999997E-2</v>
      </c>
      <c r="AG209" s="33" t="s">
        <v>70</v>
      </c>
      <c r="AH209" s="33" t="s">
        <v>70</v>
      </c>
      <c r="AI209" s="33" t="s">
        <v>70</v>
      </c>
      <c r="AJ209" s="33" t="s">
        <v>70</v>
      </c>
      <c r="AK209" s="33" t="s">
        <v>70</v>
      </c>
      <c r="AL209" s="33" t="s">
        <v>70</v>
      </c>
      <c r="AM209" s="35" t="s">
        <v>548</v>
      </c>
      <c r="AN209" s="26" t="s">
        <v>274</v>
      </c>
      <c r="AO209" s="35" t="s">
        <v>548</v>
      </c>
      <c r="AP209" s="26" t="s">
        <v>548</v>
      </c>
      <c r="AQ209" s="26" t="s">
        <v>548</v>
      </c>
      <c r="AR209" s="26" t="s">
        <v>548</v>
      </c>
      <c r="AS209" s="26" t="s">
        <v>175</v>
      </c>
      <c r="AT209" s="26" t="s">
        <v>70</v>
      </c>
      <c r="AU209" s="26" t="s">
        <v>70</v>
      </c>
      <c r="AV209" s="26">
        <v>3</v>
      </c>
    </row>
    <row r="210" spans="1:2089" s="52" customFormat="1" ht="14" customHeight="1">
      <c r="A210" s="27">
        <v>209</v>
      </c>
      <c r="B210" s="27" t="s">
        <v>375</v>
      </c>
      <c r="C210" s="27">
        <v>2013</v>
      </c>
      <c r="D210" s="26" t="s">
        <v>25</v>
      </c>
      <c r="E210" s="26" t="s">
        <v>565</v>
      </c>
      <c r="F210" s="77" t="s">
        <v>175</v>
      </c>
      <c r="G210" s="2" t="s">
        <v>105</v>
      </c>
      <c r="H210" s="2" t="s">
        <v>24</v>
      </c>
      <c r="I210" s="2" t="s">
        <v>548</v>
      </c>
      <c r="J210" s="2" t="s">
        <v>604</v>
      </c>
      <c r="K210" s="2" t="s">
        <v>548</v>
      </c>
      <c r="L210" s="2" t="s">
        <v>548</v>
      </c>
      <c r="M210" s="2" t="s">
        <v>548</v>
      </c>
      <c r="N210" s="2" t="s">
        <v>62</v>
      </c>
      <c r="O210" s="2" t="s">
        <v>43</v>
      </c>
      <c r="P210" s="2" t="s">
        <v>621</v>
      </c>
      <c r="Q210" s="2" t="s">
        <v>42</v>
      </c>
      <c r="R210" s="102" t="s">
        <v>614</v>
      </c>
      <c r="S210" s="2">
        <f>1-AC210</f>
        <v>0.4</v>
      </c>
      <c r="T210" s="26">
        <v>55</v>
      </c>
      <c r="U210" s="77">
        <v>1</v>
      </c>
      <c r="V210" s="26">
        <v>0</v>
      </c>
      <c r="W210" s="26">
        <v>1</v>
      </c>
      <c r="X210" s="26">
        <v>0</v>
      </c>
      <c r="Y210" s="26">
        <v>0</v>
      </c>
      <c r="Z210" s="26">
        <v>0</v>
      </c>
      <c r="AA210" s="26">
        <v>0</v>
      </c>
      <c r="AB210" s="26">
        <v>0</v>
      </c>
      <c r="AC210" s="26">
        <v>0.6</v>
      </c>
      <c r="AD210" s="26">
        <v>0.15</v>
      </c>
      <c r="AE210" s="26">
        <v>0.1</v>
      </c>
      <c r="AF210" s="26">
        <v>0.15</v>
      </c>
      <c r="AG210" s="33" t="s">
        <v>70</v>
      </c>
      <c r="AH210" s="33" t="s">
        <v>70</v>
      </c>
      <c r="AI210" s="33" t="s">
        <v>70</v>
      </c>
      <c r="AJ210" s="33" t="s">
        <v>70</v>
      </c>
      <c r="AK210" s="33" t="s">
        <v>70</v>
      </c>
      <c r="AL210" s="33" t="s">
        <v>70</v>
      </c>
      <c r="AM210" s="35" t="s">
        <v>548</v>
      </c>
      <c r="AN210" s="26" t="s">
        <v>274</v>
      </c>
      <c r="AO210" s="35" t="s">
        <v>548</v>
      </c>
      <c r="AP210" s="26" t="s">
        <v>548</v>
      </c>
      <c r="AQ210" s="26" t="s">
        <v>548</v>
      </c>
      <c r="AR210" s="26" t="s">
        <v>548</v>
      </c>
      <c r="AS210" s="26" t="s">
        <v>175</v>
      </c>
      <c r="AT210" s="26" t="s">
        <v>70</v>
      </c>
      <c r="AU210" s="26" t="s">
        <v>70</v>
      </c>
      <c r="AV210" s="26">
        <v>3</v>
      </c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  <c r="GR210" s="26"/>
      <c r="GS210" s="26"/>
      <c r="GT210" s="26"/>
      <c r="GU210" s="26"/>
      <c r="GV210" s="26"/>
      <c r="GW210" s="26"/>
      <c r="GX210" s="26"/>
      <c r="GY210" s="26"/>
      <c r="GZ210" s="26"/>
      <c r="HA210" s="26"/>
      <c r="HB210" s="26"/>
      <c r="HC210" s="26"/>
      <c r="HD210" s="26"/>
      <c r="HE210" s="26"/>
      <c r="HF210" s="26"/>
      <c r="HG210" s="26"/>
      <c r="HH210" s="26"/>
      <c r="HI210" s="26"/>
      <c r="HJ210" s="26"/>
      <c r="HK210" s="26"/>
      <c r="HL210" s="26"/>
      <c r="HM210" s="26"/>
      <c r="HN210" s="26"/>
      <c r="HO210" s="26"/>
      <c r="HP210" s="26"/>
      <c r="HQ210" s="26"/>
      <c r="HR210" s="26"/>
      <c r="HS210" s="26"/>
      <c r="HT210" s="26"/>
      <c r="HU210" s="26"/>
      <c r="HV210" s="26"/>
      <c r="HW210" s="26"/>
      <c r="HX210" s="26"/>
      <c r="HY210" s="26"/>
      <c r="HZ210" s="26"/>
      <c r="IA210" s="26"/>
      <c r="IB210" s="26"/>
      <c r="IC210" s="26"/>
      <c r="ID210" s="26"/>
      <c r="IE210" s="26"/>
      <c r="IF210" s="26"/>
      <c r="IG210" s="26"/>
      <c r="IH210" s="26"/>
      <c r="II210" s="26"/>
      <c r="IJ210" s="26"/>
      <c r="IK210" s="26"/>
      <c r="IL210" s="26"/>
      <c r="IM210" s="26"/>
      <c r="IN210" s="26"/>
      <c r="IO210" s="26"/>
      <c r="IP210" s="26"/>
      <c r="IQ210" s="26"/>
      <c r="IR210" s="26"/>
      <c r="IS210" s="26"/>
      <c r="IT210" s="26"/>
      <c r="IU210" s="26"/>
      <c r="IV210" s="26"/>
      <c r="IW210" s="26"/>
      <c r="IX210" s="26"/>
      <c r="IY210" s="26"/>
      <c r="IZ210" s="26"/>
      <c r="JA210" s="26"/>
      <c r="JB210" s="26"/>
      <c r="JC210" s="26"/>
      <c r="JD210" s="26"/>
      <c r="JE210" s="26"/>
      <c r="JF210" s="26"/>
      <c r="JG210" s="26"/>
      <c r="JH210" s="26"/>
      <c r="JI210" s="26"/>
      <c r="JJ210" s="26"/>
      <c r="JK210" s="26"/>
      <c r="JL210" s="26"/>
      <c r="JM210" s="26"/>
      <c r="JN210" s="26"/>
      <c r="JO210" s="26"/>
      <c r="JP210" s="26"/>
      <c r="JQ210" s="26"/>
      <c r="JR210" s="26"/>
      <c r="JS210" s="26"/>
      <c r="JT210" s="26"/>
      <c r="JU210" s="26"/>
      <c r="JV210" s="26"/>
      <c r="JW210" s="26"/>
      <c r="JX210" s="26"/>
      <c r="JY210" s="26"/>
      <c r="JZ210" s="26"/>
      <c r="KA210" s="26"/>
      <c r="KB210" s="26"/>
      <c r="KC210" s="26"/>
      <c r="KD210" s="26"/>
      <c r="KE210" s="26"/>
      <c r="KF210" s="26"/>
      <c r="KG210" s="26"/>
      <c r="KH210" s="26"/>
      <c r="KI210" s="26"/>
      <c r="KJ210" s="26"/>
      <c r="KK210" s="26"/>
      <c r="KL210" s="26"/>
      <c r="KM210" s="26"/>
      <c r="KN210" s="26"/>
      <c r="KO210" s="26"/>
      <c r="KP210" s="26"/>
      <c r="KQ210" s="26"/>
      <c r="KR210" s="26"/>
      <c r="KS210" s="26"/>
      <c r="KT210" s="26"/>
      <c r="KU210" s="26"/>
      <c r="KV210" s="26"/>
      <c r="KW210" s="26"/>
      <c r="KX210" s="26"/>
      <c r="KY210" s="26"/>
      <c r="KZ210" s="26"/>
      <c r="LA210" s="26"/>
      <c r="LB210" s="26"/>
      <c r="LC210" s="26"/>
      <c r="LD210" s="26"/>
      <c r="LE210" s="26"/>
      <c r="LF210" s="26"/>
      <c r="LG210" s="26"/>
      <c r="LH210" s="26"/>
      <c r="LI210" s="26"/>
      <c r="LJ210" s="26"/>
      <c r="LK210" s="26"/>
      <c r="LL210" s="26"/>
      <c r="LM210" s="26"/>
      <c r="LN210" s="26"/>
      <c r="LO210" s="26"/>
      <c r="LP210" s="26"/>
      <c r="LQ210" s="26"/>
      <c r="LR210" s="26"/>
      <c r="LS210" s="26"/>
      <c r="LT210" s="26"/>
      <c r="LU210" s="26"/>
      <c r="LV210" s="26"/>
      <c r="LW210" s="26"/>
      <c r="LX210" s="26"/>
      <c r="LY210" s="26"/>
      <c r="LZ210" s="26"/>
      <c r="MA210" s="26"/>
      <c r="MB210" s="26"/>
      <c r="MC210" s="26"/>
      <c r="MD210" s="26"/>
      <c r="ME210" s="26"/>
      <c r="MF210" s="26"/>
      <c r="MG210" s="26"/>
      <c r="MH210" s="26"/>
      <c r="MI210" s="26"/>
      <c r="MJ210" s="26"/>
      <c r="MK210" s="26"/>
      <c r="ML210" s="26"/>
      <c r="MM210" s="26"/>
      <c r="MN210" s="26"/>
      <c r="MO210" s="26"/>
      <c r="MP210" s="26"/>
      <c r="MQ210" s="26"/>
      <c r="MR210" s="26"/>
      <c r="MS210" s="26"/>
      <c r="MT210" s="26"/>
      <c r="MU210" s="26"/>
      <c r="MV210" s="26"/>
      <c r="MW210" s="26"/>
      <c r="MX210" s="26"/>
      <c r="MY210" s="26"/>
      <c r="MZ210" s="26"/>
      <c r="NA210" s="26"/>
      <c r="NB210" s="26"/>
      <c r="NC210" s="26"/>
      <c r="ND210" s="26"/>
      <c r="NE210" s="26"/>
      <c r="NF210" s="26"/>
      <c r="NG210" s="26"/>
      <c r="NH210" s="26"/>
      <c r="NI210" s="26"/>
      <c r="NJ210" s="26"/>
      <c r="NK210" s="26"/>
      <c r="NL210" s="26"/>
      <c r="NM210" s="26"/>
      <c r="NN210" s="26"/>
      <c r="NO210" s="26"/>
      <c r="NP210" s="26"/>
      <c r="NQ210" s="26"/>
      <c r="NR210" s="26"/>
      <c r="NS210" s="26"/>
      <c r="NT210" s="26"/>
      <c r="NU210" s="26"/>
      <c r="NV210" s="26"/>
      <c r="NW210" s="26"/>
      <c r="NX210" s="26"/>
      <c r="NY210" s="26"/>
      <c r="NZ210" s="26"/>
      <c r="OA210" s="26"/>
      <c r="OB210" s="26"/>
      <c r="OC210" s="26"/>
      <c r="OD210" s="26"/>
      <c r="OE210" s="26"/>
      <c r="OF210" s="26"/>
      <c r="OG210" s="26"/>
      <c r="OH210" s="26"/>
      <c r="OI210" s="26"/>
      <c r="OJ210" s="26"/>
      <c r="OK210" s="26"/>
      <c r="OL210" s="26"/>
      <c r="OM210" s="26"/>
      <c r="ON210" s="26"/>
      <c r="OO210" s="26"/>
      <c r="OP210" s="26"/>
      <c r="OQ210" s="26"/>
      <c r="OR210" s="26"/>
      <c r="OS210" s="26"/>
      <c r="OT210" s="26"/>
      <c r="OU210" s="26"/>
      <c r="OV210" s="26"/>
      <c r="OW210" s="26"/>
      <c r="OX210" s="26"/>
      <c r="OY210" s="26"/>
      <c r="OZ210" s="26"/>
      <c r="PA210" s="26"/>
      <c r="PB210" s="26"/>
      <c r="PC210" s="26"/>
      <c r="PD210" s="26"/>
      <c r="PE210" s="26"/>
      <c r="PF210" s="26"/>
      <c r="PG210" s="26"/>
      <c r="PH210" s="26"/>
      <c r="PI210" s="26"/>
      <c r="PJ210" s="26"/>
      <c r="PK210" s="26"/>
      <c r="PL210" s="26"/>
      <c r="PM210" s="26"/>
      <c r="PN210" s="26"/>
      <c r="PO210" s="26"/>
      <c r="PP210" s="26"/>
      <c r="PQ210" s="26"/>
      <c r="PR210" s="26"/>
      <c r="PS210" s="26"/>
      <c r="PT210" s="26"/>
      <c r="PU210" s="26"/>
      <c r="PV210" s="26"/>
      <c r="PW210" s="26"/>
      <c r="PX210" s="26"/>
      <c r="PY210" s="26"/>
      <c r="PZ210" s="26"/>
      <c r="QA210" s="26"/>
      <c r="QB210" s="26"/>
      <c r="QC210" s="26"/>
      <c r="QD210" s="26"/>
      <c r="QE210" s="26"/>
      <c r="QF210" s="26"/>
      <c r="QG210" s="26"/>
      <c r="QH210" s="26"/>
      <c r="QI210" s="26"/>
      <c r="QJ210" s="26"/>
      <c r="QK210" s="26"/>
      <c r="QL210" s="26"/>
      <c r="QM210" s="26"/>
      <c r="QN210" s="26"/>
      <c r="QO210" s="26"/>
      <c r="QP210" s="26"/>
      <c r="QQ210" s="26"/>
      <c r="QR210" s="26"/>
      <c r="QS210" s="26"/>
      <c r="QT210" s="26"/>
      <c r="QU210" s="26"/>
      <c r="QV210" s="26"/>
      <c r="QW210" s="26"/>
      <c r="QX210" s="26"/>
      <c r="QY210" s="26"/>
      <c r="QZ210" s="26"/>
      <c r="RA210" s="26"/>
      <c r="RB210" s="26"/>
      <c r="RC210" s="26"/>
      <c r="RD210" s="26"/>
      <c r="RE210" s="26"/>
      <c r="RF210" s="26"/>
      <c r="RG210" s="26"/>
      <c r="RH210" s="26"/>
      <c r="RI210" s="26"/>
      <c r="RJ210" s="26"/>
      <c r="RK210" s="26"/>
      <c r="RL210" s="26"/>
      <c r="RM210" s="26"/>
      <c r="RN210" s="26"/>
      <c r="RO210" s="26"/>
      <c r="RP210" s="26"/>
      <c r="RQ210" s="26"/>
      <c r="RR210" s="26"/>
      <c r="RS210" s="26"/>
      <c r="RT210" s="26"/>
      <c r="RU210" s="26"/>
      <c r="RV210" s="26"/>
      <c r="RW210" s="26"/>
      <c r="RX210" s="26"/>
      <c r="RY210" s="26"/>
      <c r="RZ210" s="26"/>
      <c r="SA210" s="26"/>
      <c r="SB210" s="26"/>
      <c r="SC210" s="26"/>
      <c r="SD210" s="26"/>
      <c r="SE210" s="26"/>
      <c r="SF210" s="26"/>
      <c r="SG210" s="26"/>
      <c r="SH210" s="26"/>
      <c r="SI210" s="26"/>
      <c r="SJ210" s="26"/>
      <c r="SK210" s="26"/>
      <c r="SL210" s="26"/>
      <c r="SM210" s="26"/>
      <c r="SN210" s="26"/>
      <c r="SO210" s="26"/>
      <c r="SP210" s="26"/>
      <c r="SQ210" s="26"/>
      <c r="SR210" s="26"/>
      <c r="SS210" s="26"/>
      <c r="ST210" s="26"/>
      <c r="SU210" s="26"/>
      <c r="SV210" s="26"/>
      <c r="SW210" s="26"/>
      <c r="SX210" s="26"/>
      <c r="SY210" s="26"/>
      <c r="SZ210" s="26"/>
      <c r="TA210" s="26"/>
      <c r="TB210" s="26"/>
      <c r="TC210" s="26"/>
      <c r="TD210" s="26"/>
      <c r="TE210" s="26"/>
      <c r="TF210" s="26"/>
      <c r="TG210" s="26"/>
      <c r="TH210" s="26"/>
      <c r="TI210" s="26"/>
      <c r="TJ210" s="26"/>
      <c r="TK210" s="26"/>
      <c r="TL210" s="26"/>
      <c r="TM210" s="26"/>
      <c r="TN210" s="26"/>
      <c r="TO210" s="26"/>
      <c r="TP210" s="26"/>
      <c r="TQ210" s="26"/>
      <c r="TR210" s="26"/>
      <c r="TS210" s="26"/>
      <c r="TT210" s="26"/>
      <c r="TU210" s="26"/>
      <c r="TV210" s="26"/>
      <c r="TW210" s="26"/>
      <c r="TX210" s="26"/>
      <c r="TY210" s="26"/>
      <c r="TZ210" s="26"/>
      <c r="UA210" s="26"/>
      <c r="UB210" s="26"/>
      <c r="UC210" s="26"/>
      <c r="UD210" s="26"/>
      <c r="UE210" s="26"/>
      <c r="UF210" s="26"/>
      <c r="UG210" s="26"/>
      <c r="UH210" s="26"/>
      <c r="UI210" s="26"/>
      <c r="UJ210" s="26"/>
      <c r="UK210" s="26"/>
      <c r="UL210" s="26"/>
      <c r="UM210" s="26"/>
      <c r="UN210" s="26"/>
      <c r="UO210" s="26"/>
      <c r="UP210" s="26"/>
      <c r="UQ210" s="26"/>
      <c r="UR210" s="26"/>
      <c r="US210" s="26"/>
      <c r="UT210" s="26"/>
      <c r="UU210" s="26"/>
      <c r="UV210" s="26"/>
      <c r="UW210" s="26"/>
      <c r="UX210" s="26"/>
      <c r="UY210" s="26"/>
      <c r="UZ210" s="26"/>
      <c r="VA210" s="26"/>
      <c r="VB210" s="26"/>
      <c r="VC210" s="26"/>
      <c r="VD210" s="26"/>
      <c r="VE210" s="26"/>
      <c r="VF210" s="26"/>
      <c r="VG210" s="26"/>
      <c r="VH210" s="26"/>
      <c r="VI210" s="26"/>
      <c r="VJ210" s="26"/>
      <c r="VK210" s="26"/>
      <c r="VL210" s="26"/>
      <c r="VM210" s="26"/>
      <c r="VN210" s="26"/>
      <c r="VO210" s="26"/>
      <c r="VP210" s="26"/>
      <c r="VQ210" s="26"/>
      <c r="VR210" s="26"/>
      <c r="VS210" s="26"/>
      <c r="VT210" s="26"/>
      <c r="VU210" s="26"/>
      <c r="VV210" s="26"/>
      <c r="VW210" s="26"/>
      <c r="VX210" s="26"/>
      <c r="VY210" s="26"/>
      <c r="VZ210" s="26"/>
      <c r="WA210" s="26"/>
      <c r="WB210" s="26"/>
      <c r="WC210" s="26"/>
      <c r="WD210" s="26"/>
      <c r="WE210" s="26"/>
      <c r="WF210" s="26"/>
      <c r="WG210" s="26"/>
      <c r="WH210" s="26"/>
      <c r="WI210" s="26"/>
      <c r="WJ210" s="26"/>
      <c r="WK210" s="26"/>
      <c r="WL210" s="26"/>
      <c r="WM210" s="26"/>
      <c r="WN210" s="26"/>
      <c r="WO210" s="26"/>
      <c r="WP210" s="26"/>
      <c r="WQ210" s="26"/>
      <c r="WR210" s="26"/>
      <c r="WS210" s="26"/>
      <c r="WT210" s="26"/>
      <c r="WU210" s="26"/>
      <c r="WV210" s="26"/>
      <c r="WW210" s="26"/>
      <c r="WX210" s="26"/>
      <c r="WY210" s="26"/>
      <c r="WZ210" s="26"/>
      <c r="XA210" s="26"/>
      <c r="XB210" s="26"/>
      <c r="XC210" s="26"/>
      <c r="XD210" s="26"/>
      <c r="XE210" s="26"/>
      <c r="XF210" s="26"/>
      <c r="XG210" s="26"/>
      <c r="XH210" s="26"/>
      <c r="XI210" s="26"/>
      <c r="XJ210" s="26"/>
      <c r="XK210" s="26"/>
      <c r="XL210" s="26"/>
      <c r="XM210" s="26"/>
      <c r="XN210" s="26"/>
      <c r="XO210" s="26"/>
      <c r="XP210" s="26"/>
      <c r="XQ210" s="26"/>
      <c r="XR210" s="26"/>
      <c r="XS210" s="26"/>
      <c r="XT210" s="26"/>
      <c r="XU210" s="26"/>
      <c r="XV210" s="26"/>
      <c r="XW210" s="26"/>
      <c r="XX210" s="26"/>
      <c r="XY210" s="26"/>
      <c r="XZ210" s="26"/>
      <c r="YA210" s="26"/>
      <c r="YB210" s="26"/>
      <c r="YC210" s="26"/>
      <c r="YD210" s="26"/>
      <c r="YE210" s="26"/>
      <c r="YF210" s="26"/>
      <c r="YG210" s="26"/>
      <c r="YH210" s="26"/>
      <c r="YI210" s="26"/>
      <c r="YJ210" s="26"/>
      <c r="YK210" s="26"/>
      <c r="YL210" s="26"/>
      <c r="YM210" s="26"/>
      <c r="YN210" s="26"/>
      <c r="YO210" s="26"/>
      <c r="YP210" s="26"/>
      <c r="YQ210" s="26"/>
      <c r="YR210" s="26"/>
      <c r="YS210" s="26"/>
      <c r="YT210" s="26"/>
      <c r="YU210" s="26"/>
      <c r="YV210" s="26"/>
      <c r="YW210" s="26"/>
      <c r="YX210" s="26"/>
      <c r="YY210" s="26"/>
      <c r="YZ210" s="26"/>
      <c r="ZA210" s="26"/>
      <c r="ZB210" s="26"/>
      <c r="ZC210" s="26"/>
      <c r="ZD210" s="26"/>
      <c r="ZE210" s="26"/>
      <c r="ZF210" s="26"/>
      <c r="ZG210" s="26"/>
      <c r="ZH210" s="26"/>
      <c r="ZI210" s="26"/>
      <c r="ZJ210" s="26"/>
      <c r="ZK210" s="26"/>
      <c r="ZL210" s="26"/>
      <c r="ZM210" s="26"/>
      <c r="ZN210" s="26"/>
      <c r="ZO210" s="26"/>
      <c r="ZP210" s="26"/>
      <c r="ZQ210" s="26"/>
      <c r="ZR210" s="26"/>
      <c r="ZS210" s="26"/>
      <c r="ZT210" s="26"/>
      <c r="ZU210" s="26"/>
      <c r="ZV210" s="26"/>
      <c r="ZW210" s="26"/>
      <c r="ZX210" s="26"/>
      <c r="ZY210" s="26"/>
      <c r="ZZ210" s="26"/>
      <c r="AAA210" s="26"/>
      <c r="AAB210" s="26"/>
      <c r="AAC210" s="26"/>
      <c r="AAD210" s="26"/>
      <c r="AAE210" s="26"/>
      <c r="AAF210" s="26"/>
      <c r="AAG210" s="26"/>
      <c r="AAH210" s="26"/>
      <c r="AAI210" s="26"/>
      <c r="AAJ210" s="26"/>
      <c r="AAK210" s="26"/>
      <c r="AAL210" s="26"/>
      <c r="AAM210" s="26"/>
      <c r="AAN210" s="26"/>
      <c r="AAO210" s="26"/>
      <c r="AAP210" s="26"/>
      <c r="AAQ210" s="26"/>
      <c r="AAR210" s="26"/>
      <c r="AAS210" s="26"/>
      <c r="AAT210" s="26"/>
      <c r="AAU210" s="26"/>
      <c r="AAV210" s="26"/>
      <c r="AAW210" s="26"/>
      <c r="AAX210" s="26"/>
      <c r="AAY210" s="26"/>
      <c r="AAZ210" s="26"/>
      <c r="ABA210" s="26"/>
      <c r="ABB210" s="26"/>
      <c r="ABC210" s="26"/>
      <c r="ABD210" s="26"/>
      <c r="ABE210" s="26"/>
      <c r="ABF210" s="26"/>
      <c r="ABG210" s="26"/>
      <c r="ABH210" s="26"/>
      <c r="ABI210" s="26"/>
      <c r="ABJ210" s="26"/>
      <c r="ABK210" s="26"/>
      <c r="ABL210" s="26"/>
      <c r="ABM210" s="26"/>
      <c r="ABN210" s="26"/>
      <c r="ABO210" s="26"/>
      <c r="ABP210" s="26"/>
      <c r="ABQ210" s="26"/>
      <c r="ABR210" s="26"/>
      <c r="ABS210" s="26"/>
      <c r="ABT210" s="26"/>
      <c r="ABU210" s="26"/>
      <c r="ABV210" s="26"/>
      <c r="ABW210" s="26"/>
      <c r="ABX210" s="26"/>
      <c r="ABY210" s="26"/>
      <c r="ABZ210" s="26"/>
      <c r="ACA210" s="26"/>
      <c r="ACB210" s="26"/>
      <c r="ACC210" s="26"/>
      <c r="ACD210" s="26"/>
      <c r="ACE210" s="26"/>
      <c r="ACF210" s="26"/>
      <c r="ACG210" s="26"/>
      <c r="ACH210" s="26"/>
      <c r="ACI210" s="26"/>
      <c r="ACJ210" s="26"/>
      <c r="ACK210" s="26"/>
      <c r="ACL210" s="26"/>
      <c r="ACM210" s="26"/>
      <c r="ACN210" s="26"/>
      <c r="ACO210" s="26"/>
      <c r="ACP210" s="26"/>
      <c r="ACQ210" s="26"/>
      <c r="ACR210" s="26"/>
      <c r="ACS210" s="26"/>
      <c r="ACT210" s="26"/>
      <c r="ACU210" s="26"/>
      <c r="ACV210" s="26"/>
      <c r="ACW210" s="26"/>
      <c r="ACX210" s="26"/>
      <c r="ACY210" s="26"/>
      <c r="ACZ210" s="26"/>
      <c r="ADA210" s="26"/>
      <c r="ADB210" s="26"/>
      <c r="ADC210" s="26"/>
      <c r="ADD210" s="26"/>
      <c r="ADE210" s="26"/>
      <c r="ADF210" s="26"/>
      <c r="ADG210" s="26"/>
      <c r="ADH210" s="26"/>
      <c r="ADI210" s="26"/>
      <c r="ADJ210" s="26"/>
      <c r="ADK210" s="26"/>
      <c r="ADL210" s="26"/>
      <c r="ADM210" s="26"/>
      <c r="ADN210" s="26"/>
      <c r="ADO210" s="26"/>
      <c r="ADP210" s="26"/>
      <c r="ADQ210" s="26"/>
      <c r="ADR210" s="26"/>
      <c r="ADS210" s="26"/>
      <c r="ADT210" s="26"/>
      <c r="ADU210" s="26"/>
      <c r="ADV210" s="26"/>
      <c r="ADW210" s="26"/>
      <c r="ADX210" s="26"/>
      <c r="ADY210" s="26"/>
      <c r="ADZ210" s="26"/>
      <c r="AEA210" s="26"/>
      <c r="AEB210" s="26"/>
      <c r="AEC210" s="26"/>
      <c r="AED210" s="26"/>
      <c r="AEE210" s="26"/>
      <c r="AEF210" s="26"/>
      <c r="AEG210" s="26"/>
      <c r="AEH210" s="26"/>
      <c r="AEI210" s="26"/>
      <c r="AEJ210" s="26"/>
      <c r="AEK210" s="26"/>
      <c r="AEL210" s="26"/>
      <c r="AEM210" s="26"/>
      <c r="AEN210" s="26"/>
      <c r="AEO210" s="26"/>
      <c r="AEP210" s="26"/>
      <c r="AEQ210" s="26"/>
      <c r="AER210" s="26"/>
      <c r="AES210" s="26"/>
      <c r="AET210" s="26"/>
      <c r="AEU210" s="26"/>
      <c r="AEV210" s="26"/>
      <c r="AEW210" s="26"/>
      <c r="AEX210" s="26"/>
      <c r="AEY210" s="26"/>
      <c r="AEZ210" s="26"/>
      <c r="AFA210" s="26"/>
      <c r="AFB210" s="26"/>
      <c r="AFC210" s="26"/>
      <c r="AFD210" s="26"/>
      <c r="AFE210" s="26"/>
      <c r="AFF210" s="26"/>
      <c r="AFG210" s="26"/>
      <c r="AFH210" s="26"/>
      <c r="AFI210" s="26"/>
      <c r="AFJ210" s="26"/>
      <c r="AFK210" s="26"/>
      <c r="AFL210" s="26"/>
      <c r="AFM210" s="26"/>
      <c r="AFN210" s="26"/>
      <c r="AFO210" s="26"/>
      <c r="AFP210" s="26"/>
      <c r="AFQ210" s="26"/>
      <c r="AFR210" s="26"/>
      <c r="AFS210" s="26"/>
      <c r="AFT210" s="26"/>
      <c r="AFU210" s="26"/>
      <c r="AFV210" s="26"/>
      <c r="AFW210" s="26"/>
      <c r="AFX210" s="26"/>
      <c r="AFY210" s="26"/>
      <c r="AFZ210" s="26"/>
      <c r="AGA210" s="26"/>
      <c r="AGB210" s="26"/>
      <c r="AGC210" s="26"/>
      <c r="AGD210" s="26"/>
      <c r="AGE210" s="26"/>
      <c r="AGF210" s="26"/>
      <c r="AGG210" s="26"/>
      <c r="AGH210" s="26"/>
      <c r="AGI210" s="26"/>
      <c r="AGJ210" s="26"/>
      <c r="AGK210" s="26"/>
      <c r="AGL210" s="26"/>
      <c r="AGM210" s="26"/>
      <c r="AGN210" s="26"/>
      <c r="AGO210" s="26"/>
      <c r="AGP210" s="26"/>
      <c r="AGQ210" s="26"/>
      <c r="AGR210" s="26"/>
      <c r="AGS210" s="26"/>
      <c r="AGT210" s="26"/>
      <c r="AGU210" s="26"/>
      <c r="AGV210" s="26"/>
      <c r="AGW210" s="26"/>
      <c r="AGX210" s="26"/>
      <c r="AGY210" s="26"/>
      <c r="AGZ210" s="26"/>
      <c r="AHA210" s="26"/>
      <c r="AHB210" s="26"/>
      <c r="AHC210" s="26"/>
      <c r="AHD210" s="26"/>
      <c r="AHE210" s="26"/>
      <c r="AHF210" s="26"/>
      <c r="AHG210" s="26"/>
      <c r="AHH210" s="26"/>
      <c r="AHI210" s="26"/>
      <c r="AHJ210" s="26"/>
      <c r="AHK210" s="26"/>
      <c r="AHL210" s="26"/>
      <c r="AHM210" s="26"/>
      <c r="AHN210" s="26"/>
      <c r="AHO210" s="26"/>
      <c r="AHP210" s="26"/>
      <c r="AHQ210" s="26"/>
      <c r="AHR210" s="26"/>
      <c r="AHS210" s="26"/>
      <c r="AHT210" s="26"/>
      <c r="AHU210" s="26"/>
      <c r="AHV210" s="26"/>
      <c r="AHW210" s="26"/>
      <c r="AHX210" s="26"/>
      <c r="AHY210" s="26"/>
      <c r="AHZ210" s="26"/>
      <c r="AIA210" s="26"/>
      <c r="AIB210" s="26"/>
      <c r="AIC210" s="26"/>
      <c r="AID210" s="26"/>
      <c r="AIE210" s="26"/>
      <c r="AIF210" s="26"/>
      <c r="AIG210" s="26"/>
      <c r="AIH210" s="26"/>
      <c r="AII210" s="26"/>
      <c r="AIJ210" s="26"/>
      <c r="AIK210" s="26"/>
      <c r="AIL210" s="26"/>
      <c r="AIM210" s="26"/>
      <c r="AIN210" s="26"/>
      <c r="AIO210" s="26"/>
      <c r="AIP210" s="26"/>
      <c r="AIQ210" s="26"/>
      <c r="AIR210" s="26"/>
      <c r="AIS210" s="26"/>
      <c r="AIT210" s="26"/>
      <c r="AIU210" s="26"/>
      <c r="AIV210" s="26"/>
      <c r="AIW210" s="26"/>
      <c r="AIX210" s="26"/>
      <c r="AIY210" s="26"/>
      <c r="AIZ210" s="26"/>
      <c r="AJA210" s="26"/>
      <c r="AJB210" s="26"/>
      <c r="AJC210" s="26"/>
      <c r="AJD210" s="26"/>
      <c r="AJE210" s="26"/>
      <c r="AJF210" s="26"/>
      <c r="AJG210" s="26"/>
      <c r="AJH210" s="26"/>
      <c r="AJI210" s="26"/>
      <c r="AJJ210" s="26"/>
      <c r="AJK210" s="26"/>
      <c r="AJL210" s="26"/>
      <c r="AJM210" s="26"/>
      <c r="AJN210" s="26"/>
      <c r="AJO210" s="26"/>
      <c r="AJP210" s="26"/>
      <c r="AJQ210" s="26"/>
      <c r="AJR210" s="26"/>
      <c r="AJS210" s="26"/>
      <c r="AJT210" s="26"/>
      <c r="AJU210" s="26"/>
      <c r="AJV210" s="26"/>
      <c r="AJW210" s="26"/>
      <c r="AJX210" s="26"/>
      <c r="AJY210" s="26"/>
      <c r="AJZ210" s="26"/>
      <c r="AKA210" s="26"/>
      <c r="AKB210" s="26"/>
      <c r="AKC210" s="26"/>
      <c r="AKD210" s="26"/>
      <c r="AKE210" s="26"/>
      <c r="AKF210" s="26"/>
      <c r="AKG210" s="26"/>
      <c r="AKH210" s="26"/>
      <c r="AKI210" s="26"/>
      <c r="AKJ210" s="26"/>
      <c r="AKK210" s="26"/>
      <c r="AKL210" s="26"/>
      <c r="AKM210" s="26"/>
      <c r="AKN210" s="26"/>
      <c r="AKO210" s="26"/>
      <c r="AKP210" s="26"/>
      <c r="AKQ210" s="26"/>
      <c r="AKR210" s="26"/>
      <c r="AKS210" s="26"/>
      <c r="AKT210" s="26"/>
      <c r="AKU210" s="26"/>
      <c r="AKV210" s="26"/>
      <c r="AKW210" s="26"/>
      <c r="AKX210" s="26"/>
      <c r="AKY210" s="26"/>
      <c r="AKZ210" s="26"/>
      <c r="ALA210" s="26"/>
      <c r="ALB210" s="26"/>
      <c r="ALC210" s="26"/>
      <c r="ALD210" s="26"/>
      <c r="ALE210" s="26"/>
      <c r="ALF210" s="26"/>
      <c r="ALG210" s="26"/>
      <c r="ALH210" s="26"/>
      <c r="ALI210" s="26"/>
      <c r="ALJ210" s="26"/>
      <c r="ALK210" s="26"/>
      <c r="ALL210" s="26"/>
      <c r="ALM210" s="26"/>
      <c r="ALN210" s="26"/>
      <c r="ALO210" s="26"/>
      <c r="ALP210" s="26"/>
      <c r="ALQ210" s="26"/>
      <c r="ALR210" s="26"/>
      <c r="ALS210" s="26"/>
      <c r="ALT210" s="26"/>
      <c r="ALU210" s="26"/>
      <c r="ALV210" s="26"/>
      <c r="ALW210" s="26"/>
      <c r="ALX210" s="26"/>
      <c r="ALY210" s="26"/>
      <c r="ALZ210" s="26"/>
      <c r="AMA210" s="26"/>
      <c r="AMB210" s="26"/>
      <c r="AMC210" s="26"/>
      <c r="AMD210" s="26"/>
      <c r="AME210" s="26"/>
      <c r="AMF210" s="26"/>
      <c r="AMG210" s="26"/>
      <c r="AMH210" s="26"/>
      <c r="AMI210" s="26"/>
      <c r="AMJ210" s="26"/>
      <c r="AMK210" s="26"/>
      <c r="AML210" s="26"/>
      <c r="AMM210" s="26"/>
      <c r="AMN210" s="26"/>
      <c r="AMO210" s="26"/>
      <c r="AMP210" s="26"/>
      <c r="AMQ210" s="26"/>
      <c r="AMR210" s="26"/>
      <c r="AMS210" s="26"/>
      <c r="AMT210" s="26"/>
      <c r="AMU210" s="26"/>
      <c r="AMV210" s="26"/>
      <c r="AMW210" s="26"/>
      <c r="AMX210" s="26"/>
      <c r="AMY210" s="26"/>
      <c r="AMZ210" s="26"/>
      <c r="ANA210" s="26"/>
      <c r="ANB210" s="26"/>
      <c r="ANC210" s="26"/>
      <c r="AND210" s="26"/>
      <c r="ANE210" s="26"/>
      <c r="ANF210" s="26"/>
      <c r="ANG210" s="26"/>
      <c r="ANH210" s="26"/>
      <c r="ANI210" s="26"/>
      <c r="ANJ210" s="26"/>
      <c r="ANK210" s="26"/>
      <c r="ANL210" s="26"/>
      <c r="ANM210" s="26"/>
      <c r="ANN210" s="26"/>
      <c r="ANO210" s="26"/>
      <c r="ANP210" s="26"/>
      <c r="ANQ210" s="26"/>
      <c r="ANR210" s="26"/>
      <c r="ANS210" s="26"/>
      <c r="ANT210" s="26"/>
      <c r="ANU210" s="26"/>
      <c r="ANV210" s="26"/>
      <c r="ANW210" s="26"/>
      <c r="ANX210" s="26"/>
      <c r="ANY210" s="26"/>
      <c r="ANZ210" s="26"/>
      <c r="AOA210" s="26"/>
      <c r="AOB210" s="26"/>
      <c r="AOC210" s="26"/>
      <c r="AOD210" s="26"/>
      <c r="AOE210" s="26"/>
      <c r="AOF210" s="26"/>
      <c r="AOG210" s="26"/>
      <c r="AOH210" s="26"/>
      <c r="AOI210" s="26"/>
      <c r="AOJ210" s="26"/>
      <c r="AOK210" s="26"/>
      <c r="AOL210" s="26"/>
      <c r="AOM210" s="26"/>
      <c r="AON210" s="26"/>
      <c r="AOO210" s="26"/>
      <c r="AOP210" s="26"/>
      <c r="AOQ210" s="26"/>
      <c r="AOR210" s="26"/>
      <c r="AOS210" s="26"/>
      <c r="AOT210" s="26"/>
      <c r="AOU210" s="26"/>
      <c r="AOV210" s="26"/>
      <c r="AOW210" s="26"/>
      <c r="AOX210" s="26"/>
      <c r="AOY210" s="26"/>
      <c r="AOZ210" s="26"/>
      <c r="APA210" s="26"/>
      <c r="APB210" s="26"/>
      <c r="APC210" s="26"/>
      <c r="APD210" s="26"/>
      <c r="APE210" s="26"/>
      <c r="APF210" s="26"/>
      <c r="APG210" s="26"/>
      <c r="APH210" s="26"/>
      <c r="API210" s="26"/>
      <c r="APJ210" s="26"/>
      <c r="APK210" s="26"/>
      <c r="APL210" s="26"/>
      <c r="APM210" s="26"/>
      <c r="APN210" s="26"/>
      <c r="APO210" s="26"/>
      <c r="APP210" s="26"/>
      <c r="APQ210" s="26"/>
      <c r="APR210" s="26"/>
      <c r="APS210" s="26"/>
      <c r="APT210" s="26"/>
      <c r="APU210" s="26"/>
      <c r="APV210" s="26"/>
      <c r="APW210" s="26"/>
      <c r="APX210" s="26"/>
      <c r="APY210" s="26"/>
      <c r="APZ210" s="26"/>
      <c r="AQA210" s="26"/>
      <c r="AQB210" s="26"/>
      <c r="AQC210" s="26"/>
      <c r="AQD210" s="26"/>
      <c r="AQE210" s="26"/>
      <c r="AQF210" s="26"/>
      <c r="AQG210" s="26"/>
      <c r="AQH210" s="26"/>
      <c r="AQI210" s="26"/>
      <c r="AQJ210" s="26"/>
      <c r="AQK210" s="26"/>
      <c r="AQL210" s="26"/>
      <c r="AQM210" s="26"/>
      <c r="AQN210" s="26"/>
      <c r="AQO210" s="26"/>
      <c r="AQP210" s="26"/>
      <c r="AQQ210" s="26"/>
      <c r="AQR210" s="26"/>
      <c r="AQS210" s="26"/>
      <c r="AQT210" s="26"/>
      <c r="AQU210" s="26"/>
      <c r="AQV210" s="26"/>
      <c r="AQW210" s="26"/>
      <c r="AQX210" s="26"/>
      <c r="AQY210" s="26"/>
      <c r="AQZ210" s="26"/>
      <c r="ARA210" s="26"/>
      <c r="ARB210" s="26"/>
      <c r="ARC210" s="26"/>
      <c r="ARD210" s="26"/>
      <c r="ARE210" s="26"/>
      <c r="ARF210" s="26"/>
      <c r="ARG210" s="26"/>
      <c r="ARH210" s="26"/>
      <c r="ARI210" s="26"/>
      <c r="ARJ210" s="26"/>
      <c r="ARK210" s="26"/>
      <c r="ARL210" s="26"/>
      <c r="ARM210" s="26"/>
      <c r="ARN210" s="26"/>
      <c r="ARO210" s="26"/>
      <c r="ARP210" s="26"/>
      <c r="ARQ210" s="26"/>
      <c r="ARR210" s="26"/>
      <c r="ARS210" s="26"/>
      <c r="ART210" s="26"/>
      <c r="ARU210" s="26"/>
      <c r="ARV210" s="26"/>
      <c r="ARW210" s="26"/>
      <c r="ARX210" s="26"/>
      <c r="ARY210" s="26"/>
      <c r="ARZ210" s="26"/>
      <c r="ASA210" s="26"/>
      <c r="ASB210" s="26"/>
      <c r="ASC210" s="26"/>
      <c r="ASD210" s="26"/>
      <c r="ASE210" s="26"/>
      <c r="ASF210" s="26"/>
      <c r="ASG210" s="26"/>
      <c r="ASH210" s="26"/>
      <c r="ASI210" s="26"/>
      <c r="ASJ210" s="26"/>
      <c r="ASK210" s="26"/>
      <c r="ASL210" s="26"/>
      <c r="ASM210" s="26"/>
      <c r="ASN210" s="26"/>
      <c r="ASO210" s="26"/>
      <c r="ASP210" s="26"/>
      <c r="ASQ210" s="26"/>
      <c r="ASR210" s="26"/>
      <c r="ASS210" s="26"/>
      <c r="AST210" s="26"/>
      <c r="ASU210" s="26"/>
      <c r="ASV210" s="26"/>
      <c r="ASW210" s="26"/>
      <c r="ASX210" s="26"/>
      <c r="ASY210" s="26"/>
      <c r="ASZ210" s="26"/>
      <c r="ATA210" s="26"/>
      <c r="ATB210" s="26"/>
      <c r="ATC210" s="26"/>
      <c r="ATD210" s="26"/>
      <c r="ATE210" s="26"/>
      <c r="ATF210" s="26"/>
      <c r="ATG210" s="26"/>
      <c r="ATH210" s="26"/>
      <c r="ATI210" s="26"/>
      <c r="ATJ210" s="26"/>
      <c r="ATK210" s="26"/>
      <c r="ATL210" s="26"/>
      <c r="ATM210" s="26"/>
      <c r="ATN210" s="26"/>
      <c r="ATO210" s="26"/>
      <c r="ATP210" s="26"/>
      <c r="ATQ210" s="26"/>
      <c r="ATR210" s="26"/>
      <c r="ATS210" s="26"/>
      <c r="ATT210" s="26"/>
      <c r="ATU210" s="26"/>
      <c r="ATV210" s="26"/>
      <c r="ATW210" s="26"/>
      <c r="ATX210" s="26"/>
      <c r="ATY210" s="26"/>
      <c r="ATZ210" s="26"/>
      <c r="AUA210" s="26"/>
      <c r="AUB210" s="26"/>
      <c r="AUC210" s="26"/>
      <c r="AUD210" s="26"/>
      <c r="AUE210" s="26"/>
      <c r="AUF210" s="26"/>
      <c r="AUG210" s="26"/>
      <c r="AUH210" s="26"/>
      <c r="AUI210" s="26"/>
      <c r="AUJ210" s="26"/>
      <c r="AUK210" s="26"/>
      <c r="AUL210" s="26"/>
      <c r="AUM210" s="26"/>
      <c r="AUN210" s="26"/>
      <c r="AUO210" s="26"/>
      <c r="AUP210" s="26"/>
      <c r="AUQ210" s="26"/>
      <c r="AUR210" s="26"/>
      <c r="AUS210" s="26"/>
      <c r="AUT210" s="26"/>
      <c r="AUU210" s="26"/>
      <c r="AUV210" s="26"/>
      <c r="AUW210" s="26"/>
      <c r="AUX210" s="26"/>
      <c r="AUY210" s="26"/>
      <c r="AUZ210" s="26"/>
      <c r="AVA210" s="26"/>
      <c r="AVB210" s="26"/>
      <c r="AVC210" s="26"/>
      <c r="AVD210" s="26"/>
      <c r="AVE210" s="26"/>
      <c r="AVF210" s="26"/>
      <c r="AVG210" s="26"/>
      <c r="AVH210" s="26"/>
      <c r="AVI210" s="26"/>
      <c r="AVJ210" s="26"/>
      <c r="AVK210" s="26"/>
      <c r="AVL210" s="26"/>
      <c r="AVM210" s="26"/>
      <c r="AVN210" s="26"/>
      <c r="AVO210" s="26"/>
      <c r="AVP210" s="26"/>
      <c r="AVQ210" s="26"/>
      <c r="AVR210" s="26"/>
      <c r="AVS210" s="26"/>
      <c r="AVT210" s="26"/>
      <c r="AVU210" s="26"/>
      <c r="AVV210" s="26"/>
      <c r="AVW210" s="26"/>
      <c r="AVX210" s="26"/>
      <c r="AVY210" s="26"/>
      <c r="AVZ210" s="26"/>
      <c r="AWA210" s="26"/>
      <c r="AWB210" s="26"/>
      <c r="AWC210" s="26"/>
      <c r="AWD210" s="26"/>
      <c r="AWE210" s="26"/>
      <c r="AWF210" s="26"/>
      <c r="AWG210" s="26"/>
      <c r="AWH210" s="26"/>
      <c r="AWI210" s="26"/>
      <c r="AWJ210" s="26"/>
      <c r="AWK210" s="26"/>
      <c r="AWL210" s="26"/>
      <c r="AWM210" s="26"/>
      <c r="AWN210" s="26"/>
      <c r="AWO210" s="26"/>
      <c r="AWP210" s="26"/>
      <c r="AWQ210" s="26"/>
      <c r="AWR210" s="26"/>
      <c r="AWS210" s="26"/>
      <c r="AWT210" s="26"/>
      <c r="AWU210" s="26"/>
      <c r="AWV210" s="26"/>
      <c r="AWW210" s="26"/>
      <c r="AWX210" s="26"/>
      <c r="AWY210" s="26"/>
      <c r="AWZ210" s="26"/>
      <c r="AXA210" s="26"/>
      <c r="AXB210" s="26"/>
      <c r="AXC210" s="26"/>
      <c r="AXD210" s="26"/>
      <c r="AXE210" s="26"/>
      <c r="AXF210" s="26"/>
      <c r="AXG210" s="26"/>
      <c r="AXH210" s="26"/>
      <c r="AXI210" s="26"/>
      <c r="AXJ210" s="26"/>
      <c r="AXK210" s="26"/>
      <c r="AXL210" s="26"/>
      <c r="AXM210" s="26"/>
      <c r="AXN210" s="26"/>
      <c r="AXO210" s="26"/>
      <c r="AXP210" s="26"/>
      <c r="AXQ210" s="26"/>
      <c r="AXR210" s="26"/>
      <c r="AXS210" s="26"/>
      <c r="AXT210" s="26"/>
      <c r="AXU210" s="26"/>
      <c r="AXV210" s="26"/>
      <c r="AXW210" s="26"/>
      <c r="AXX210" s="26"/>
      <c r="AXY210" s="26"/>
      <c r="AXZ210" s="26"/>
      <c r="AYA210" s="26"/>
      <c r="AYB210" s="26"/>
      <c r="AYC210" s="26"/>
      <c r="AYD210" s="26"/>
      <c r="AYE210" s="26"/>
      <c r="AYF210" s="26"/>
      <c r="AYG210" s="26"/>
      <c r="AYH210" s="26"/>
      <c r="AYI210" s="26"/>
      <c r="AYJ210" s="26"/>
      <c r="AYK210" s="26"/>
      <c r="AYL210" s="26"/>
      <c r="AYM210" s="26"/>
      <c r="AYN210" s="26"/>
      <c r="AYO210" s="26"/>
      <c r="AYP210" s="26"/>
      <c r="AYQ210" s="26"/>
      <c r="AYR210" s="26"/>
      <c r="AYS210" s="26"/>
      <c r="AYT210" s="26"/>
      <c r="AYU210" s="26"/>
      <c r="AYV210" s="26"/>
      <c r="AYW210" s="26"/>
      <c r="AYX210" s="26"/>
      <c r="AYY210" s="26"/>
      <c r="AYZ210" s="26"/>
      <c r="AZA210" s="26"/>
      <c r="AZB210" s="26"/>
      <c r="AZC210" s="26"/>
      <c r="AZD210" s="26"/>
      <c r="AZE210" s="26"/>
      <c r="AZF210" s="26"/>
      <c r="AZG210" s="26"/>
      <c r="AZH210" s="26"/>
      <c r="AZI210" s="26"/>
      <c r="AZJ210" s="26"/>
      <c r="AZK210" s="26"/>
      <c r="AZL210" s="26"/>
      <c r="AZM210" s="26"/>
      <c r="AZN210" s="26"/>
      <c r="AZO210" s="26"/>
      <c r="AZP210" s="26"/>
      <c r="AZQ210" s="26"/>
      <c r="AZR210" s="26"/>
      <c r="AZS210" s="26"/>
      <c r="AZT210" s="26"/>
      <c r="AZU210" s="26"/>
      <c r="AZV210" s="26"/>
      <c r="AZW210" s="26"/>
      <c r="AZX210" s="26"/>
      <c r="AZY210" s="26"/>
      <c r="AZZ210" s="26"/>
      <c r="BAA210" s="26"/>
      <c r="BAB210" s="26"/>
      <c r="BAC210" s="26"/>
      <c r="BAD210" s="26"/>
      <c r="BAE210" s="26"/>
      <c r="BAF210" s="26"/>
      <c r="BAG210" s="26"/>
      <c r="BAH210" s="26"/>
      <c r="BAI210" s="26"/>
      <c r="BAJ210" s="26"/>
      <c r="BAK210" s="26"/>
      <c r="BAL210" s="26"/>
      <c r="BAM210" s="26"/>
      <c r="BAN210" s="26"/>
      <c r="BAO210" s="26"/>
      <c r="BAP210" s="26"/>
      <c r="BAQ210" s="26"/>
      <c r="BAR210" s="26"/>
      <c r="BAS210" s="26"/>
      <c r="BAT210" s="26"/>
      <c r="BAU210" s="26"/>
      <c r="BAV210" s="26"/>
      <c r="BAW210" s="26"/>
      <c r="BAX210" s="26"/>
      <c r="BAY210" s="26"/>
      <c r="BAZ210" s="26"/>
      <c r="BBA210" s="26"/>
      <c r="BBB210" s="26"/>
      <c r="BBC210" s="26"/>
      <c r="BBD210" s="26"/>
      <c r="BBE210" s="26"/>
      <c r="BBF210" s="26"/>
      <c r="BBG210" s="26"/>
      <c r="BBH210" s="26"/>
      <c r="BBI210" s="26"/>
      <c r="BBJ210" s="26"/>
      <c r="BBK210" s="26"/>
      <c r="BBL210" s="26"/>
      <c r="BBM210" s="26"/>
      <c r="BBN210" s="26"/>
      <c r="BBO210" s="26"/>
      <c r="BBP210" s="26"/>
      <c r="BBQ210" s="26"/>
      <c r="BBR210" s="26"/>
      <c r="BBS210" s="26"/>
      <c r="BBT210" s="26"/>
      <c r="BBU210" s="26"/>
      <c r="BBV210" s="26"/>
      <c r="BBW210" s="26"/>
      <c r="BBX210" s="26"/>
      <c r="BBY210" s="26"/>
      <c r="BBZ210" s="26"/>
      <c r="BCA210" s="26"/>
      <c r="BCB210" s="26"/>
      <c r="BCC210" s="26"/>
      <c r="BCD210" s="26"/>
      <c r="BCE210" s="26"/>
      <c r="BCF210" s="26"/>
      <c r="BCG210" s="26"/>
      <c r="BCH210" s="26"/>
      <c r="BCI210" s="26"/>
      <c r="BCJ210" s="26"/>
      <c r="BCK210" s="26"/>
      <c r="BCL210" s="26"/>
      <c r="BCM210" s="26"/>
      <c r="BCN210" s="26"/>
      <c r="BCO210" s="26"/>
      <c r="BCP210" s="26"/>
      <c r="BCQ210" s="26"/>
      <c r="BCR210" s="26"/>
      <c r="BCS210" s="26"/>
      <c r="BCT210" s="26"/>
      <c r="BCU210" s="26"/>
      <c r="BCV210" s="26"/>
      <c r="BCW210" s="26"/>
      <c r="BCX210" s="26"/>
      <c r="BCY210" s="26"/>
      <c r="BCZ210" s="26"/>
      <c r="BDA210" s="26"/>
      <c r="BDB210" s="26"/>
      <c r="BDC210" s="26"/>
      <c r="BDD210" s="26"/>
      <c r="BDE210" s="26"/>
      <c r="BDF210" s="26"/>
      <c r="BDG210" s="26"/>
      <c r="BDH210" s="26"/>
      <c r="BDI210" s="26"/>
      <c r="BDJ210" s="26"/>
      <c r="BDK210" s="26"/>
      <c r="BDL210" s="26"/>
      <c r="BDM210" s="26"/>
      <c r="BDN210" s="26"/>
      <c r="BDO210" s="26"/>
      <c r="BDP210" s="26"/>
      <c r="BDQ210" s="26"/>
      <c r="BDR210" s="26"/>
      <c r="BDS210" s="26"/>
      <c r="BDT210" s="26"/>
      <c r="BDU210" s="26"/>
      <c r="BDV210" s="26"/>
      <c r="BDW210" s="26"/>
      <c r="BDX210" s="26"/>
      <c r="BDY210" s="26"/>
      <c r="BDZ210" s="26"/>
      <c r="BEA210" s="26"/>
      <c r="BEB210" s="26"/>
      <c r="BEC210" s="26"/>
      <c r="BED210" s="26"/>
      <c r="BEE210" s="26"/>
      <c r="BEF210" s="26"/>
      <c r="BEG210" s="26"/>
      <c r="BEH210" s="26"/>
      <c r="BEI210" s="26"/>
      <c r="BEJ210" s="26"/>
      <c r="BEK210" s="26"/>
      <c r="BEL210" s="26"/>
      <c r="BEM210" s="26"/>
      <c r="BEN210" s="26"/>
      <c r="BEO210" s="26"/>
      <c r="BEP210" s="26"/>
      <c r="BEQ210" s="26"/>
      <c r="BER210" s="26"/>
      <c r="BES210" s="26"/>
      <c r="BET210" s="26"/>
      <c r="BEU210" s="26"/>
      <c r="BEV210" s="26"/>
      <c r="BEW210" s="26"/>
      <c r="BEX210" s="26"/>
      <c r="BEY210" s="26"/>
      <c r="BEZ210" s="26"/>
      <c r="BFA210" s="26"/>
      <c r="BFB210" s="26"/>
      <c r="BFC210" s="26"/>
      <c r="BFD210" s="26"/>
      <c r="BFE210" s="26"/>
      <c r="BFF210" s="26"/>
      <c r="BFG210" s="26"/>
      <c r="BFH210" s="26"/>
      <c r="BFI210" s="26"/>
      <c r="BFJ210" s="26"/>
      <c r="BFK210" s="26"/>
      <c r="BFL210" s="26"/>
      <c r="BFM210" s="26"/>
      <c r="BFN210" s="26"/>
      <c r="BFO210" s="26"/>
      <c r="BFP210" s="26"/>
      <c r="BFQ210" s="26"/>
      <c r="BFR210" s="26"/>
      <c r="BFS210" s="26"/>
      <c r="BFT210" s="26"/>
      <c r="BFU210" s="26"/>
      <c r="BFV210" s="26"/>
      <c r="BFW210" s="26"/>
      <c r="BFX210" s="26"/>
      <c r="BFY210" s="26"/>
      <c r="BFZ210" s="26"/>
      <c r="BGA210" s="26"/>
      <c r="BGB210" s="26"/>
      <c r="BGC210" s="26"/>
      <c r="BGD210" s="26"/>
      <c r="BGE210" s="26"/>
      <c r="BGF210" s="26"/>
      <c r="BGG210" s="26"/>
      <c r="BGH210" s="26"/>
      <c r="BGI210" s="26"/>
      <c r="BGJ210" s="26"/>
      <c r="BGK210" s="26"/>
      <c r="BGL210" s="26"/>
      <c r="BGM210" s="26"/>
      <c r="BGN210" s="26"/>
      <c r="BGO210" s="26"/>
      <c r="BGP210" s="26"/>
      <c r="BGQ210" s="26"/>
      <c r="BGR210" s="26"/>
      <c r="BGS210" s="26"/>
      <c r="BGT210" s="26"/>
      <c r="BGU210" s="26"/>
      <c r="BGV210" s="26"/>
      <c r="BGW210" s="26"/>
      <c r="BGX210" s="26"/>
      <c r="BGY210" s="26"/>
      <c r="BGZ210" s="26"/>
      <c r="BHA210" s="26"/>
      <c r="BHB210" s="26"/>
      <c r="BHC210" s="26"/>
      <c r="BHD210" s="26"/>
      <c r="BHE210" s="26"/>
      <c r="BHF210" s="26"/>
      <c r="BHG210" s="26"/>
      <c r="BHH210" s="26"/>
      <c r="BHI210" s="26"/>
      <c r="BHJ210" s="26"/>
      <c r="BHK210" s="26"/>
      <c r="BHL210" s="26"/>
      <c r="BHM210" s="26"/>
      <c r="BHN210" s="26"/>
      <c r="BHO210" s="26"/>
      <c r="BHP210" s="26"/>
      <c r="BHQ210" s="26"/>
      <c r="BHR210" s="26"/>
      <c r="BHS210" s="26"/>
      <c r="BHT210" s="26"/>
      <c r="BHU210" s="26"/>
      <c r="BHV210" s="26"/>
      <c r="BHW210" s="26"/>
      <c r="BHX210" s="26"/>
      <c r="BHY210" s="26"/>
      <c r="BHZ210" s="26"/>
      <c r="BIA210" s="26"/>
      <c r="BIB210" s="26"/>
      <c r="BIC210" s="26"/>
      <c r="BID210" s="26"/>
      <c r="BIE210" s="26"/>
      <c r="BIF210" s="26"/>
      <c r="BIG210" s="26"/>
      <c r="BIH210" s="26"/>
      <c r="BII210" s="26"/>
      <c r="BIJ210" s="26"/>
      <c r="BIK210" s="26"/>
      <c r="BIL210" s="26"/>
      <c r="BIM210" s="26"/>
      <c r="BIN210" s="26"/>
      <c r="BIO210" s="26"/>
      <c r="BIP210" s="26"/>
      <c r="BIQ210" s="26"/>
      <c r="BIR210" s="26"/>
      <c r="BIS210" s="26"/>
      <c r="BIT210" s="26"/>
      <c r="BIU210" s="26"/>
      <c r="BIV210" s="26"/>
      <c r="BIW210" s="26"/>
      <c r="BIX210" s="26"/>
      <c r="BIY210" s="26"/>
      <c r="BIZ210" s="26"/>
      <c r="BJA210" s="26"/>
      <c r="BJB210" s="26"/>
      <c r="BJC210" s="26"/>
      <c r="BJD210" s="26"/>
      <c r="BJE210" s="26"/>
      <c r="BJF210" s="26"/>
      <c r="BJG210" s="26"/>
      <c r="BJH210" s="26"/>
      <c r="BJI210" s="26"/>
      <c r="BJJ210" s="26"/>
      <c r="BJK210" s="26"/>
      <c r="BJL210" s="26"/>
      <c r="BJM210" s="26"/>
      <c r="BJN210" s="26"/>
      <c r="BJO210" s="26"/>
      <c r="BJP210" s="26"/>
      <c r="BJQ210" s="26"/>
      <c r="BJR210" s="26"/>
      <c r="BJS210" s="26"/>
      <c r="BJT210" s="26"/>
      <c r="BJU210" s="26"/>
      <c r="BJV210" s="26"/>
      <c r="BJW210" s="26"/>
      <c r="BJX210" s="26"/>
      <c r="BJY210" s="26"/>
      <c r="BJZ210" s="26"/>
      <c r="BKA210" s="26"/>
      <c r="BKB210" s="26"/>
      <c r="BKC210" s="26"/>
      <c r="BKD210" s="26"/>
      <c r="BKE210" s="26"/>
      <c r="BKF210" s="26"/>
      <c r="BKG210" s="26"/>
      <c r="BKH210" s="26"/>
      <c r="BKI210" s="26"/>
      <c r="BKJ210" s="26"/>
      <c r="BKK210" s="26"/>
      <c r="BKL210" s="26"/>
      <c r="BKM210" s="26"/>
      <c r="BKN210" s="26"/>
      <c r="BKO210" s="26"/>
      <c r="BKP210" s="26"/>
      <c r="BKQ210" s="26"/>
      <c r="BKR210" s="26"/>
      <c r="BKS210" s="26"/>
      <c r="BKT210" s="26"/>
      <c r="BKU210" s="26"/>
      <c r="BKV210" s="26"/>
      <c r="BKW210" s="26"/>
      <c r="BKX210" s="26"/>
      <c r="BKY210" s="26"/>
      <c r="BKZ210" s="26"/>
      <c r="BLA210" s="26"/>
      <c r="BLB210" s="26"/>
      <c r="BLC210" s="26"/>
      <c r="BLD210" s="26"/>
      <c r="BLE210" s="26"/>
      <c r="BLF210" s="26"/>
      <c r="BLG210" s="26"/>
      <c r="BLH210" s="26"/>
      <c r="BLI210" s="26"/>
      <c r="BLJ210" s="26"/>
      <c r="BLK210" s="26"/>
      <c r="BLL210" s="26"/>
      <c r="BLM210" s="26"/>
      <c r="BLN210" s="26"/>
      <c r="BLO210" s="26"/>
      <c r="BLP210" s="26"/>
      <c r="BLQ210" s="26"/>
      <c r="BLR210" s="26"/>
      <c r="BLS210" s="26"/>
      <c r="BLT210" s="26"/>
      <c r="BLU210" s="26"/>
      <c r="BLV210" s="26"/>
      <c r="BLW210" s="26"/>
      <c r="BLX210" s="26"/>
      <c r="BLY210" s="26"/>
      <c r="BLZ210" s="26"/>
      <c r="BMA210" s="26"/>
      <c r="BMB210" s="26"/>
      <c r="BMC210" s="26"/>
      <c r="BMD210" s="26"/>
      <c r="BME210" s="26"/>
      <c r="BMF210" s="26"/>
      <c r="BMG210" s="26"/>
      <c r="BMH210" s="26"/>
      <c r="BMI210" s="26"/>
      <c r="BMJ210" s="26"/>
      <c r="BMK210" s="26"/>
      <c r="BML210" s="26"/>
      <c r="BMM210" s="26"/>
      <c r="BMN210" s="26"/>
      <c r="BMO210" s="26"/>
      <c r="BMP210" s="26"/>
      <c r="BMQ210" s="26"/>
      <c r="BMR210" s="26"/>
      <c r="BMS210" s="26"/>
      <c r="BMT210" s="26"/>
      <c r="BMU210" s="26"/>
      <c r="BMV210" s="26"/>
      <c r="BMW210" s="26"/>
      <c r="BMX210" s="26"/>
      <c r="BMY210" s="26"/>
      <c r="BMZ210" s="26"/>
      <c r="BNA210" s="26"/>
      <c r="BNB210" s="26"/>
      <c r="BNC210" s="26"/>
      <c r="BND210" s="26"/>
      <c r="BNE210" s="26"/>
      <c r="BNF210" s="26"/>
      <c r="BNG210" s="26"/>
      <c r="BNH210" s="26"/>
      <c r="BNI210" s="26"/>
      <c r="BNJ210" s="26"/>
      <c r="BNK210" s="26"/>
      <c r="BNL210" s="26"/>
      <c r="BNM210" s="26"/>
      <c r="BNN210" s="26"/>
      <c r="BNO210" s="26"/>
      <c r="BNP210" s="26"/>
      <c r="BNQ210" s="26"/>
      <c r="BNR210" s="26"/>
      <c r="BNS210" s="26"/>
      <c r="BNT210" s="26"/>
      <c r="BNU210" s="26"/>
      <c r="BNV210" s="26"/>
      <c r="BNW210" s="26"/>
      <c r="BNX210" s="26"/>
      <c r="BNY210" s="26"/>
      <c r="BNZ210" s="26"/>
      <c r="BOA210" s="26"/>
      <c r="BOB210" s="26"/>
      <c r="BOC210" s="26"/>
      <c r="BOD210" s="26"/>
      <c r="BOE210" s="26"/>
      <c r="BOF210" s="26"/>
      <c r="BOG210" s="26"/>
      <c r="BOH210" s="26"/>
      <c r="BOI210" s="26"/>
      <c r="BOJ210" s="26"/>
      <c r="BOK210" s="26"/>
      <c r="BOL210" s="26"/>
      <c r="BOM210" s="26"/>
      <c r="BON210" s="26"/>
      <c r="BOO210" s="26"/>
      <c r="BOP210" s="26"/>
      <c r="BOQ210" s="26"/>
      <c r="BOR210" s="26"/>
      <c r="BOS210" s="26"/>
      <c r="BOT210" s="26"/>
      <c r="BOU210" s="26"/>
      <c r="BOV210" s="26"/>
      <c r="BOW210" s="26"/>
      <c r="BOX210" s="26"/>
      <c r="BOY210" s="26"/>
      <c r="BOZ210" s="26"/>
      <c r="BPA210" s="26"/>
      <c r="BPB210" s="26"/>
      <c r="BPC210" s="26"/>
      <c r="BPD210" s="26"/>
      <c r="BPE210" s="26"/>
      <c r="BPF210" s="26"/>
      <c r="BPG210" s="26"/>
      <c r="BPH210" s="26"/>
      <c r="BPI210" s="26"/>
      <c r="BPJ210" s="26"/>
      <c r="BPK210" s="26"/>
      <c r="BPL210" s="26"/>
      <c r="BPM210" s="26"/>
      <c r="BPN210" s="26"/>
      <c r="BPO210" s="26"/>
      <c r="BPP210" s="26"/>
      <c r="BPQ210" s="26"/>
      <c r="BPR210" s="26"/>
      <c r="BPS210" s="26"/>
      <c r="BPT210" s="26"/>
      <c r="BPU210" s="26"/>
      <c r="BPV210" s="26"/>
      <c r="BPW210" s="26"/>
      <c r="BPX210" s="26"/>
      <c r="BPY210" s="26"/>
      <c r="BPZ210" s="26"/>
      <c r="BQA210" s="26"/>
      <c r="BQB210" s="26"/>
      <c r="BQC210" s="26"/>
      <c r="BQD210" s="26"/>
      <c r="BQE210" s="26"/>
      <c r="BQF210" s="26"/>
      <c r="BQG210" s="26"/>
      <c r="BQH210" s="26"/>
      <c r="BQI210" s="26"/>
      <c r="BQJ210" s="26"/>
      <c r="BQK210" s="26"/>
      <c r="BQL210" s="26"/>
      <c r="BQM210" s="26"/>
      <c r="BQN210" s="26"/>
      <c r="BQO210" s="26"/>
      <c r="BQP210" s="26"/>
      <c r="BQQ210" s="26"/>
      <c r="BQR210" s="26"/>
      <c r="BQS210" s="26"/>
      <c r="BQT210" s="26"/>
      <c r="BQU210" s="26"/>
      <c r="BQV210" s="26"/>
      <c r="BQW210" s="26"/>
      <c r="BQX210" s="26"/>
      <c r="BQY210" s="26"/>
      <c r="BQZ210" s="26"/>
      <c r="BRA210" s="26"/>
      <c r="BRB210" s="26"/>
      <c r="BRC210" s="26"/>
      <c r="BRD210" s="26"/>
      <c r="BRE210" s="26"/>
      <c r="BRF210" s="26"/>
      <c r="BRG210" s="26"/>
      <c r="BRH210" s="26"/>
      <c r="BRI210" s="26"/>
      <c r="BRJ210" s="26"/>
      <c r="BRK210" s="26"/>
      <c r="BRL210" s="26"/>
      <c r="BRM210" s="26"/>
      <c r="BRN210" s="26"/>
      <c r="BRO210" s="26"/>
      <c r="BRP210" s="26"/>
      <c r="BRQ210" s="26"/>
      <c r="BRR210" s="26"/>
      <c r="BRS210" s="26"/>
      <c r="BRT210" s="26"/>
      <c r="BRU210" s="26"/>
      <c r="BRV210" s="26"/>
      <c r="BRW210" s="26"/>
      <c r="BRX210" s="26"/>
      <c r="BRY210" s="26"/>
      <c r="BRZ210" s="26"/>
      <c r="BSA210" s="26"/>
      <c r="BSB210" s="26"/>
      <c r="BSC210" s="26"/>
      <c r="BSD210" s="26"/>
      <c r="BSE210" s="26"/>
      <c r="BSF210" s="26"/>
      <c r="BSG210" s="26"/>
      <c r="BSH210" s="26"/>
      <c r="BSI210" s="26"/>
      <c r="BSJ210" s="26"/>
      <c r="BSK210" s="26"/>
      <c r="BSL210" s="26"/>
      <c r="BSM210" s="26"/>
      <c r="BSN210" s="26"/>
      <c r="BSO210" s="26"/>
      <c r="BSP210" s="26"/>
      <c r="BSQ210" s="26"/>
      <c r="BSR210" s="26"/>
      <c r="BSS210" s="26"/>
      <c r="BST210" s="26"/>
      <c r="BSU210" s="26"/>
      <c r="BSV210" s="26"/>
      <c r="BSW210" s="26"/>
      <c r="BSX210" s="26"/>
      <c r="BSY210" s="26"/>
      <c r="BSZ210" s="26"/>
      <c r="BTA210" s="26"/>
      <c r="BTB210" s="26"/>
      <c r="BTC210" s="26"/>
      <c r="BTD210" s="26"/>
      <c r="BTE210" s="26"/>
      <c r="BTF210" s="26"/>
      <c r="BTG210" s="26"/>
      <c r="BTH210" s="26"/>
      <c r="BTI210" s="26"/>
      <c r="BTJ210" s="26"/>
      <c r="BTK210" s="26"/>
      <c r="BTL210" s="26"/>
      <c r="BTM210" s="26"/>
      <c r="BTN210" s="26"/>
      <c r="BTO210" s="26"/>
      <c r="BTP210" s="26"/>
      <c r="BTQ210" s="26"/>
      <c r="BTR210" s="26"/>
      <c r="BTS210" s="26"/>
      <c r="BTT210" s="26"/>
      <c r="BTU210" s="26"/>
      <c r="BTV210" s="26"/>
      <c r="BTW210" s="26"/>
      <c r="BTX210" s="26"/>
      <c r="BTY210" s="26"/>
      <c r="BTZ210" s="26"/>
      <c r="BUA210" s="26"/>
      <c r="BUB210" s="26"/>
      <c r="BUC210" s="26"/>
      <c r="BUD210" s="26"/>
      <c r="BUE210" s="26"/>
      <c r="BUF210" s="26"/>
      <c r="BUG210" s="26"/>
      <c r="BUH210" s="26"/>
      <c r="BUI210" s="26"/>
      <c r="BUJ210" s="26"/>
      <c r="BUK210" s="26"/>
      <c r="BUL210" s="26"/>
      <c r="BUM210" s="26"/>
      <c r="BUN210" s="26"/>
      <c r="BUO210" s="26"/>
      <c r="BUP210" s="26"/>
      <c r="BUQ210" s="26"/>
      <c r="BUR210" s="26"/>
      <c r="BUS210" s="26"/>
      <c r="BUT210" s="26"/>
      <c r="BUU210" s="26"/>
      <c r="BUV210" s="26"/>
      <c r="BUW210" s="26"/>
      <c r="BUX210" s="26"/>
      <c r="BUY210" s="26"/>
      <c r="BUZ210" s="26"/>
      <c r="BVA210" s="26"/>
      <c r="BVB210" s="26"/>
      <c r="BVC210" s="26"/>
      <c r="BVD210" s="26"/>
      <c r="BVE210" s="26"/>
      <c r="BVF210" s="26"/>
      <c r="BVG210" s="26"/>
      <c r="BVH210" s="26"/>
      <c r="BVI210" s="26"/>
      <c r="BVJ210" s="26"/>
      <c r="BVK210" s="26"/>
      <c r="BVL210" s="26"/>
      <c r="BVM210" s="26"/>
      <c r="BVN210" s="26"/>
      <c r="BVO210" s="26"/>
      <c r="BVP210" s="26"/>
      <c r="BVQ210" s="26"/>
      <c r="BVR210" s="26"/>
      <c r="BVS210" s="26"/>
      <c r="BVT210" s="26"/>
      <c r="BVU210" s="26"/>
      <c r="BVV210" s="26"/>
      <c r="BVW210" s="26"/>
      <c r="BVX210" s="26"/>
      <c r="BVY210" s="26"/>
      <c r="BVZ210" s="26"/>
      <c r="BWA210" s="26"/>
      <c r="BWB210" s="26"/>
      <c r="BWC210" s="26"/>
      <c r="BWD210" s="26"/>
      <c r="BWE210" s="26"/>
      <c r="BWF210" s="26"/>
      <c r="BWG210" s="26"/>
      <c r="BWH210" s="26"/>
      <c r="BWI210" s="26"/>
      <c r="BWJ210" s="26"/>
      <c r="BWK210" s="26"/>
      <c r="BWL210" s="26"/>
      <c r="BWM210" s="26"/>
      <c r="BWN210" s="26"/>
      <c r="BWO210" s="26"/>
      <c r="BWP210" s="26"/>
      <c r="BWQ210" s="26"/>
      <c r="BWR210" s="26"/>
      <c r="BWS210" s="26"/>
      <c r="BWT210" s="26"/>
      <c r="BWU210" s="26"/>
      <c r="BWV210" s="26"/>
      <c r="BWW210" s="26"/>
      <c r="BWX210" s="26"/>
      <c r="BWY210" s="26"/>
      <c r="BWZ210" s="26"/>
      <c r="BXA210" s="26"/>
      <c r="BXB210" s="26"/>
      <c r="BXC210" s="26"/>
      <c r="BXD210" s="26"/>
      <c r="BXE210" s="26"/>
      <c r="BXF210" s="26"/>
      <c r="BXG210" s="26"/>
      <c r="BXH210" s="26"/>
      <c r="BXI210" s="26"/>
      <c r="BXJ210" s="26"/>
      <c r="BXK210" s="26"/>
      <c r="BXL210" s="26"/>
      <c r="BXM210" s="26"/>
      <c r="BXN210" s="26"/>
      <c r="BXO210" s="26"/>
      <c r="BXP210" s="26"/>
      <c r="BXQ210" s="26"/>
      <c r="BXR210" s="26"/>
      <c r="BXS210" s="26"/>
      <c r="BXT210" s="26"/>
      <c r="BXU210" s="26"/>
      <c r="BXV210" s="26"/>
      <c r="BXW210" s="26"/>
      <c r="BXX210" s="26"/>
      <c r="BXY210" s="26"/>
      <c r="BXZ210" s="26"/>
      <c r="BYA210" s="26"/>
      <c r="BYB210" s="26"/>
      <c r="BYC210" s="26"/>
      <c r="BYD210" s="26"/>
      <c r="BYE210" s="26"/>
      <c r="BYF210" s="26"/>
      <c r="BYG210" s="26"/>
      <c r="BYH210" s="26"/>
      <c r="BYI210" s="26"/>
      <c r="BYJ210" s="26"/>
      <c r="BYK210" s="26"/>
      <c r="BYL210" s="26"/>
      <c r="BYM210" s="26"/>
      <c r="BYN210" s="26"/>
      <c r="BYO210" s="26"/>
      <c r="BYP210" s="26"/>
      <c r="BYQ210" s="26"/>
      <c r="BYR210" s="26"/>
      <c r="BYS210" s="26"/>
      <c r="BYT210" s="26"/>
      <c r="BYU210" s="26"/>
      <c r="BYV210" s="26"/>
      <c r="BYW210" s="26"/>
      <c r="BYX210" s="26"/>
      <c r="BYY210" s="26"/>
      <c r="BYZ210" s="26"/>
      <c r="BZA210" s="26"/>
      <c r="BZB210" s="26"/>
      <c r="BZC210" s="26"/>
      <c r="BZD210" s="26"/>
      <c r="BZE210" s="26"/>
      <c r="BZF210" s="26"/>
      <c r="BZG210" s="26"/>
      <c r="BZH210" s="26"/>
      <c r="BZI210" s="26"/>
      <c r="BZJ210" s="26"/>
      <c r="BZK210" s="26"/>
      <c r="BZL210" s="26"/>
      <c r="BZM210" s="26"/>
      <c r="BZN210" s="26"/>
      <c r="BZO210" s="26"/>
      <c r="BZP210" s="26"/>
      <c r="BZQ210" s="26"/>
      <c r="BZR210" s="26"/>
      <c r="BZS210" s="26"/>
      <c r="BZT210" s="26"/>
      <c r="BZU210" s="26"/>
      <c r="BZV210" s="26"/>
      <c r="BZW210" s="26"/>
      <c r="BZX210" s="26"/>
      <c r="BZY210" s="26"/>
      <c r="BZZ210" s="26"/>
      <c r="CAA210" s="26"/>
      <c r="CAB210" s="26"/>
      <c r="CAC210" s="26"/>
      <c r="CAD210" s="26"/>
      <c r="CAE210" s="26"/>
      <c r="CAF210" s="26"/>
      <c r="CAG210" s="26"/>
      <c r="CAH210" s="26"/>
      <c r="CAI210" s="26"/>
      <c r="CAJ210" s="26"/>
      <c r="CAK210" s="26"/>
      <c r="CAL210" s="26"/>
      <c r="CAM210" s="26"/>
      <c r="CAN210" s="26"/>
      <c r="CAO210" s="26"/>
      <c r="CAP210" s="26"/>
      <c r="CAQ210" s="26"/>
      <c r="CAR210" s="26"/>
      <c r="CAS210" s="26"/>
      <c r="CAT210" s="26"/>
      <c r="CAU210" s="26"/>
      <c r="CAV210" s="26"/>
      <c r="CAW210" s="26"/>
      <c r="CAX210" s="26"/>
      <c r="CAY210" s="26"/>
      <c r="CAZ210" s="26"/>
      <c r="CBA210" s="26"/>
      <c r="CBB210" s="26"/>
      <c r="CBC210" s="26"/>
      <c r="CBD210" s="26"/>
      <c r="CBE210" s="26"/>
      <c r="CBF210" s="26"/>
      <c r="CBG210" s="26"/>
      <c r="CBH210" s="26"/>
      <c r="CBI210" s="26"/>
    </row>
    <row r="211" spans="1:2089" s="53" customFormat="1" ht="14" customHeight="1">
      <c r="A211" s="27">
        <v>210</v>
      </c>
      <c r="B211" s="27" t="s">
        <v>375</v>
      </c>
      <c r="C211" s="27">
        <v>2013</v>
      </c>
      <c r="D211" s="26" t="s">
        <v>25</v>
      </c>
      <c r="E211" s="26" t="s">
        <v>565</v>
      </c>
      <c r="F211" s="77" t="s">
        <v>175</v>
      </c>
      <c r="G211" s="2" t="s">
        <v>105</v>
      </c>
      <c r="H211" s="2" t="s">
        <v>24</v>
      </c>
      <c r="I211" s="2" t="s">
        <v>548</v>
      </c>
      <c r="J211" s="2" t="s">
        <v>604</v>
      </c>
      <c r="K211" s="2" t="s">
        <v>548</v>
      </c>
      <c r="L211" s="2" t="s">
        <v>548</v>
      </c>
      <c r="M211" s="2" t="s">
        <v>548</v>
      </c>
      <c r="N211" s="2" t="s">
        <v>139</v>
      </c>
      <c r="O211" s="2" t="s">
        <v>60</v>
      </c>
      <c r="P211" s="2" t="s">
        <v>139</v>
      </c>
      <c r="Q211" s="2" t="s">
        <v>42</v>
      </c>
      <c r="R211" s="102" t="s">
        <v>614</v>
      </c>
      <c r="S211" s="2">
        <v>0.76</v>
      </c>
      <c r="T211" s="26">
        <v>41</v>
      </c>
      <c r="U211" s="77">
        <v>1</v>
      </c>
      <c r="V211" s="26">
        <v>0</v>
      </c>
      <c r="W211" s="26">
        <v>1</v>
      </c>
      <c r="X211" s="26">
        <v>0</v>
      </c>
      <c r="Y211" s="26">
        <v>0</v>
      </c>
      <c r="Z211" s="26">
        <v>0</v>
      </c>
      <c r="AA211" s="26">
        <v>0</v>
      </c>
      <c r="AB211" s="26">
        <v>0</v>
      </c>
      <c r="AC211" s="26">
        <v>0.24</v>
      </c>
      <c r="AD211" s="26">
        <v>0.26</v>
      </c>
      <c r="AE211" s="26">
        <v>0.4</v>
      </c>
      <c r="AF211" s="26">
        <v>0.1</v>
      </c>
      <c r="AG211" s="33" t="s">
        <v>70</v>
      </c>
      <c r="AH211" s="33" t="s">
        <v>70</v>
      </c>
      <c r="AI211" s="33" t="s">
        <v>70</v>
      </c>
      <c r="AJ211" s="33" t="s">
        <v>70</v>
      </c>
      <c r="AK211" s="33" t="s">
        <v>70</v>
      </c>
      <c r="AL211" s="33" t="s">
        <v>70</v>
      </c>
      <c r="AM211" s="35" t="s">
        <v>548</v>
      </c>
      <c r="AN211" s="26" t="s">
        <v>274</v>
      </c>
      <c r="AO211" s="35" t="s">
        <v>548</v>
      </c>
      <c r="AP211" s="26" t="s">
        <v>548</v>
      </c>
      <c r="AQ211" s="26" t="s">
        <v>548</v>
      </c>
      <c r="AR211" s="26" t="s">
        <v>548</v>
      </c>
      <c r="AS211" s="26" t="s">
        <v>175</v>
      </c>
      <c r="AT211" s="26" t="s">
        <v>70</v>
      </c>
      <c r="AU211" s="26" t="s">
        <v>70</v>
      </c>
      <c r="AV211" s="26">
        <v>3</v>
      </c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  <c r="GR211" s="26"/>
      <c r="GS211" s="26"/>
      <c r="GT211" s="26"/>
      <c r="GU211" s="26"/>
      <c r="GV211" s="26"/>
      <c r="GW211" s="26"/>
      <c r="GX211" s="26"/>
      <c r="GY211" s="26"/>
      <c r="GZ211" s="26"/>
      <c r="HA211" s="26"/>
      <c r="HB211" s="26"/>
      <c r="HC211" s="26"/>
      <c r="HD211" s="26"/>
      <c r="HE211" s="26"/>
      <c r="HF211" s="26"/>
      <c r="HG211" s="26"/>
      <c r="HH211" s="26"/>
      <c r="HI211" s="26"/>
      <c r="HJ211" s="26"/>
      <c r="HK211" s="26"/>
      <c r="HL211" s="26"/>
      <c r="HM211" s="26"/>
      <c r="HN211" s="26"/>
      <c r="HO211" s="26"/>
      <c r="HP211" s="26"/>
      <c r="HQ211" s="26"/>
      <c r="HR211" s="26"/>
      <c r="HS211" s="26"/>
      <c r="HT211" s="26"/>
      <c r="HU211" s="26"/>
      <c r="HV211" s="26"/>
      <c r="HW211" s="26"/>
      <c r="HX211" s="26"/>
      <c r="HY211" s="26"/>
      <c r="HZ211" s="26"/>
      <c r="IA211" s="26"/>
      <c r="IB211" s="26"/>
      <c r="IC211" s="26"/>
      <c r="ID211" s="26"/>
      <c r="IE211" s="26"/>
      <c r="IF211" s="26"/>
      <c r="IG211" s="26"/>
      <c r="IH211" s="26"/>
      <c r="II211" s="26"/>
      <c r="IJ211" s="26"/>
      <c r="IK211" s="26"/>
      <c r="IL211" s="26"/>
      <c r="IM211" s="26"/>
      <c r="IN211" s="26"/>
      <c r="IO211" s="26"/>
      <c r="IP211" s="26"/>
      <c r="IQ211" s="26"/>
      <c r="IR211" s="26"/>
      <c r="IS211" s="26"/>
      <c r="IT211" s="26"/>
      <c r="IU211" s="26"/>
      <c r="IV211" s="26"/>
      <c r="IW211" s="26"/>
      <c r="IX211" s="26"/>
      <c r="IY211" s="26"/>
      <c r="IZ211" s="26"/>
      <c r="JA211" s="26"/>
      <c r="JB211" s="26"/>
      <c r="JC211" s="26"/>
      <c r="JD211" s="26"/>
      <c r="JE211" s="26"/>
      <c r="JF211" s="26"/>
      <c r="JG211" s="26"/>
      <c r="JH211" s="26"/>
      <c r="JI211" s="26"/>
      <c r="JJ211" s="26"/>
      <c r="JK211" s="26"/>
      <c r="JL211" s="26"/>
      <c r="JM211" s="26"/>
      <c r="JN211" s="26"/>
      <c r="JO211" s="26"/>
      <c r="JP211" s="26"/>
      <c r="JQ211" s="26"/>
      <c r="JR211" s="26"/>
      <c r="JS211" s="26"/>
      <c r="JT211" s="26"/>
      <c r="JU211" s="26"/>
      <c r="JV211" s="26"/>
      <c r="JW211" s="26"/>
      <c r="JX211" s="26"/>
      <c r="JY211" s="26"/>
      <c r="JZ211" s="26"/>
      <c r="KA211" s="26"/>
      <c r="KB211" s="26"/>
      <c r="KC211" s="26"/>
      <c r="KD211" s="26"/>
      <c r="KE211" s="26"/>
      <c r="KF211" s="26"/>
      <c r="KG211" s="26"/>
      <c r="KH211" s="26"/>
      <c r="KI211" s="26"/>
      <c r="KJ211" s="26"/>
      <c r="KK211" s="26"/>
      <c r="KL211" s="26"/>
      <c r="KM211" s="26"/>
      <c r="KN211" s="26"/>
      <c r="KO211" s="26"/>
      <c r="KP211" s="26"/>
      <c r="KQ211" s="26"/>
      <c r="KR211" s="26"/>
      <c r="KS211" s="26"/>
      <c r="KT211" s="26"/>
      <c r="KU211" s="26"/>
      <c r="KV211" s="26"/>
      <c r="KW211" s="26"/>
      <c r="KX211" s="26"/>
      <c r="KY211" s="26"/>
      <c r="KZ211" s="26"/>
      <c r="LA211" s="26"/>
      <c r="LB211" s="26"/>
      <c r="LC211" s="26"/>
      <c r="LD211" s="26"/>
      <c r="LE211" s="26"/>
      <c r="LF211" s="26"/>
      <c r="LG211" s="26"/>
      <c r="LH211" s="26"/>
      <c r="LI211" s="26"/>
      <c r="LJ211" s="26"/>
      <c r="LK211" s="26"/>
      <c r="LL211" s="26"/>
      <c r="LM211" s="26"/>
      <c r="LN211" s="26"/>
      <c r="LO211" s="26"/>
      <c r="LP211" s="26"/>
      <c r="LQ211" s="26"/>
      <c r="LR211" s="26"/>
      <c r="LS211" s="26"/>
      <c r="LT211" s="26"/>
      <c r="LU211" s="26"/>
      <c r="LV211" s="26"/>
      <c r="LW211" s="26"/>
      <c r="LX211" s="26"/>
      <c r="LY211" s="26"/>
      <c r="LZ211" s="26"/>
      <c r="MA211" s="26"/>
      <c r="MB211" s="26"/>
      <c r="MC211" s="26"/>
      <c r="MD211" s="26"/>
      <c r="ME211" s="26"/>
      <c r="MF211" s="26"/>
      <c r="MG211" s="26"/>
      <c r="MH211" s="26"/>
      <c r="MI211" s="26"/>
      <c r="MJ211" s="26"/>
      <c r="MK211" s="26"/>
      <c r="ML211" s="26"/>
      <c r="MM211" s="26"/>
      <c r="MN211" s="26"/>
      <c r="MO211" s="26"/>
      <c r="MP211" s="26"/>
      <c r="MQ211" s="26"/>
      <c r="MR211" s="26"/>
      <c r="MS211" s="26"/>
      <c r="MT211" s="26"/>
      <c r="MU211" s="26"/>
      <c r="MV211" s="26"/>
      <c r="MW211" s="26"/>
      <c r="MX211" s="26"/>
      <c r="MY211" s="26"/>
      <c r="MZ211" s="26"/>
      <c r="NA211" s="26"/>
      <c r="NB211" s="26"/>
      <c r="NC211" s="26"/>
      <c r="ND211" s="26"/>
      <c r="NE211" s="26"/>
      <c r="NF211" s="26"/>
      <c r="NG211" s="26"/>
      <c r="NH211" s="26"/>
      <c r="NI211" s="26"/>
      <c r="NJ211" s="26"/>
      <c r="NK211" s="26"/>
      <c r="NL211" s="26"/>
      <c r="NM211" s="26"/>
      <c r="NN211" s="26"/>
      <c r="NO211" s="26"/>
      <c r="NP211" s="26"/>
      <c r="NQ211" s="26"/>
      <c r="NR211" s="26"/>
      <c r="NS211" s="26"/>
      <c r="NT211" s="26"/>
      <c r="NU211" s="26"/>
      <c r="NV211" s="26"/>
      <c r="NW211" s="26"/>
      <c r="NX211" s="26"/>
      <c r="NY211" s="26"/>
      <c r="NZ211" s="26"/>
      <c r="OA211" s="26"/>
      <c r="OB211" s="26"/>
      <c r="OC211" s="26"/>
      <c r="OD211" s="26"/>
      <c r="OE211" s="26"/>
      <c r="OF211" s="26"/>
      <c r="OG211" s="26"/>
      <c r="OH211" s="26"/>
      <c r="OI211" s="26"/>
      <c r="OJ211" s="26"/>
      <c r="OK211" s="26"/>
      <c r="OL211" s="26"/>
      <c r="OM211" s="26"/>
      <c r="ON211" s="26"/>
      <c r="OO211" s="26"/>
      <c r="OP211" s="26"/>
      <c r="OQ211" s="26"/>
      <c r="OR211" s="26"/>
      <c r="OS211" s="26"/>
      <c r="OT211" s="26"/>
      <c r="OU211" s="26"/>
      <c r="OV211" s="26"/>
      <c r="OW211" s="26"/>
      <c r="OX211" s="26"/>
      <c r="OY211" s="26"/>
      <c r="OZ211" s="26"/>
      <c r="PA211" s="26"/>
      <c r="PB211" s="26"/>
      <c r="PC211" s="26"/>
      <c r="PD211" s="26"/>
      <c r="PE211" s="26"/>
      <c r="PF211" s="26"/>
      <c r="PG211" s="26"/>
      <c r="PH211" s="26"/>
      <c r="PI211" s="26"/>
      <c r="PJ211" s="26"/>
      <c r="PK211" s="26"/>
      <c r="PL211" s="26"/>
      <c r="PM211" s="26"/>
      <c r="PN211" s="26"/>
      <c r="PO211" s="26"/>
      <c r="PP211" s="26"/>
      <c r="PQ211" s="26"/>
      <c r="PR211" s="26"/>
      <c r="PS211" s="26"/>
      <c r="PT211" s="26"/>
      <c r="PU211" s="26"/>
      <c r="PV211" s="26"/>
      <c r="PW211" s="26"/>
      <c r="PX211" s="26"/>
      <c r="PY211" s="26"/>
      <c r="PZ211" s="26"/>
      <c r="QA211" s="26"/>
      <c r="QB211" s="26"/>
      <c r="QC211" s="26"/>
      <c r="QD211" s="26"/>
      <c r="QE211" s="26"/>
      <c r="QF211" s="26"/>
      <c r="QG211" s="26"/>
      <c r="QH211" s="26"/>
      <c r="QI211" s="26"/>
      <c r="QJ211" s="26"/>
      <c r="QK211" s="26"/>
      <c r="QL211" s="26"/>
      <c r="QM211" s="26"/>
      <c r="QN211" s="26"/>
      <c r="QO211" s="26"/>
      <c r="QP211" s="26"/>
      <c r="QQ211" s="26"/>
      <c r="QR211" s="26"/>
      <c r="QS211" s="26"/>
      <c r="QT211" s="26"/>
      <c r="QU211" s="26"/>
      <c r="QV211" s="26"/>
      <c r="QW211" s="26"/>
      <c r="QX211" s="26"/>
      <c r="QY211" s="26"/>
      <c r="QZ211" s="26"/>
      <c r="RA211" s="26"/>
      <c r="RB211" s="26"/>
      <c r="RC211" s="26"/>
      <c r="RD211" s="26"/>
      <c r="RE211" s="26"/>
      <c r="RF211" s="26"/>
      <c r="RG211" s="26"/>
      <c r="RH211" s="26"/>
      <c r="RI211" s="26"/>
      <c r="RJ211" s="26"/>
      <c r="RK211" s="26"/>
      <c r="RL211" s="26"/>
      <c r="RM211" s="26"/>
      <c r="RN211" s="26"/>
      <c r="RO211" s="26"/>
      <c r="RP211" s="26"/>
      <c r="RQ211" s="26"/>
      <c r="RR211" s="26"/>
      <c r="RS211" s="26"/>
      <c r="RT211" s="26"/>
      <c r="RU211" s="26"/>
      <c r="RV211" s="26"/>
      <c r="RW211" s="26"/>
      <c r="RX211" s="26"/>
      <c r="RY211" s="26"/>
      <c r="RZ211" s="26"/>
      <c r="SA211" s="26"/>
      <c r="SB211" s="26"/>
      <c r="SC211" s="26"/>
      <c r="SD211" s="26"/>
      <c r="SE211" s="26"/>
      <c r="SF211" s="26"/>
      <c r="SG211" s="26"/>
      <c r="SH211" s="26"/>
      <c r="SI211" s="26"/>
      <c r="SJ211" s="26"/>
      <c r="SK211" s="26"/>
      <c r="SL211" s="26"/>
      <c r="SM211" s="26"/>
      <c r="SN211" s="26"/>
      <c r="SO211" s="26"/>
      <c r="SP211" s="26"/>
      <c r="SQ211" s="26"/>
      <c r="SR211" s="26"/>
      <c r="SS211" s="26"/>
      <c r="ST211" s="26"/>
      <c r="SU211" s="26"/>
      <c r="SV211" s="26"/>
      <c r="SW211" s="26"/>
      <c r="SX211" s="26"/>
      <c r="SY211" s="26"/>
      <c r="SZ211" s="26"/>
      <c r="TA211" s="26"/>
      <c r="TB211" s="26"/>
      <c r="TC211" s="26"/>
      <c r="TD211" s="26"/>
      <c r="TE211" s="26"/>
      <c r="TF211" s="26"/>
      <c r="TG211" s="26"/>
      <c r="TH211" s="26"/>
      <c r="TI211" s="26"/>
      <c r="TJ211" s="26"/>
      <c r="TK211" s="26"/>
      <c r="TL211" s="26"/>
      <c r="TM211" s="26"/>
      <c r="TN211" s="26"/>
      <c r="TO211" s="26"/>
      <c r="TP211" s="26"/>
      <c r="TQ211" s="26"/>
      <c r="TR211" s="26"/>
      <c r="TS211" s="26"/>
      <c r="TT211" s="26"/>
      <c r="TU211" s="26"/>
      <c r="TV211" s="26"/>
      <c r="TW211" s="26"/>
      <c r="TX211" s="26"/>
      <c r="TY211" s="26"/>
      <c r="TZ211" s="26"/>
      <c r="UA211" s="26"/>
      <c r="UB211" s="26"/>
      <c r="UC211" s="26"/>
      <c r="UD211" s="26"/>
      <c r="UE211" s="26"/>
      <c r="UF211" s="26"/>
      <c r="UG211" s="26"/>
      <c r="UH211" s="26"/>
      <c r="UI211" s="26"/>
      <c r="UJ211" s="26"/>
      <c r="UK211" s="26"/>
      <c r="UL211" s="26"/>
      <c r="UM211" s="26"/>
      <c r="UN211" s="26"/>
      <c r="UO211" s="26"/>
      <c r="UP211" s="26"/>
      <c r="UQ211" s="26"/>
      <c r="UR211" s="26"/>
      <c r="US211" s="26"/>
      <c r="UT211" s="26"/>
      <c r="UU211" s="26"/>
      <c r="UV211" s="26"/>
      <c r="UW211" s="26"/>
      <c r="UX211" s="26"/>
      <c r="UY211" s="26"/>
      <c r="UZ211" s="26"/>
      <c r="VA211" s="26"/>
      <c r="VB211" s="26"/>
      <c r="VC211" s="26"/>
      <c r="VD211" s="26"/>
      <c r="VE211" s="26"/>
      <c r="VF211" s="26"/>
      <c r="VG211" s="26"/>
      <c r="VH211" s="26"/>
      <c r="VI211" s="26"/>
      <c r="VJ211" s="26"/>
      <c r="VK211" s="26"/>
      <c r="VL211" s="26"/>
      <c r="VM211" s="26"/>
      <c r="VN211" s="26"/>
      <c r="VO211" s="26"/>
      <c r="VP211" s="26"/>
      <c r="VQ211" s="26"/>
      <c r="VR211" s="26"/>
      <c r="VS211" s="26"/>
      <c r="VT211" s="26"/>
      <c r="VU211" s="26"/>
      <c r="VV211" s="26"/>
      <c r="VW211" s="26"/>
      <c r="VX211" s="26"/>
      <c r="VY211" s="26"/>
      <c r="VZ211" s="26"/>
      <c r="WA211" s="26"/>
      <c r="WB211" s="26"/>
      <c r="WC211" s="26"/>
      <c r="WD211" s="26"/>
      <c r="WE211" s="26"/>
      <c r="WF211" s="26"/>
      <c r="WG211" s="26"/>
      <c r="WH211" s="26"/>
      <c r="WI211" s="26"/>
      <c r="WJ211" s="26"/>
      <c r="WK211" s="26"/>
      <c r="WL211" s="26"/>
      <c r="WM211" s="26"/>
      <c r="WN211" s="26"/>
      <c r="WO211" s="26"/>
      <c r="WP211" s="26"/>
      <c r="WQ211" s="26"/>
      <c r="WR211" s="26"/>
      <c r="WS211" s="26"/>
      <c r="WT211" s="26"/>
      <c r="WU211" s="26"/>
      <c r="WV211" s="26"/>
      <c r="WW211" s="26"/>
      <c r="WX211" s="26"/>
      <c r="WY211" s="26"/>
      <c r="WZ211" s="26"/>
      <c r="XA211" s="26"/>
      <c r="XB211" s="26"/>
      <c r="XC211" s="26"/>
      <c r="XD211" s="26"/>
      <c r="XE211" s="26"/>
      <c r="XF211" s="26"/>
      <c r="XG211" s="26"/>
      <c r="XH211" s="26"/>
      <c r="XI211" s="26"/>
      <c r="XJ211" s="26"/>
      <c r="XK211" s="26"/>
      <c r="XL211" s="26"/>
      <c r="XM211" s="26"/>
      <c r="XN211" s="26"/>
      <c r="XO211" s="26"/>
      <c r="XP211" s="26"/>
      <c r="XQ211" s="26"/>
      <c r="XR211" s="26"/>
      <c r="XS211" s="26"/>
      <c r="XT211" s="26"/>
      <c r="XU211" s="26"/>
      <c r="XV211" s="26"/>
      <c r="XW211" s="26"/>
      <c r="XX211" s="26"/>
      <c r="XY211" s="26"/>
      <c r="XZ211" s="26"/>
      <c r="YA211" s="26"/>
      <c r="YB211" s="26"/>
      <c r="YC211" s="26"/>
      <c r="YD211" s="26"/>
      <c r="YE211" s="26"/>
      <c r="YF211" s="26"/>
      <c r="YG211" s="26"/>
      <c r="YH211" s="26"/>
      <c r="YI211" s="26"/>
      <c r="YJ211" s="26"/>
      <c r="YK211" s="26"/>
      <c r="YL211" s="26"/>
      <c r="YM211" s="26"/>
      <c r="YN211" s="26"/>
      <c r="YO211" s="26"/>
      <c r="YP211" s="26"/>
      <c r="YQ211" s="26"/>
      <c r="YR211" s="26"/>
      <c r="YS211" s="26"/>
      <c r="YT211" s="26"/>
      <c r="YU211" s="26"/>
      <c r="YV211" s="26"/>
      <c r="YW211" s="26"/>
      <c r="YX211" s="26"/>
      <c r="YY211" s="26"/>
      <c r="YZ211" s="26"/>
      <c r="ZA211" s="26"/>
      <c r="ZB211" s="26"/>
      <c r="ZC211" s="26"/>
      <c r="ZD211" s="26"/>
      <c r="ZE211" s="26"/>
      <c r="ZF211" s="26"/>
      <c r="ZG211" s="26"/>
      <c r="ZH211" s="26"/>
      <c r="ZI211" s="26"/>
      <c r="ZJ211" s="26"/>
      <c r="ZK211" s="26"/>
      <c r="ZL211" s="26"/>
      <c r="ZM211" s="26"/>
      <c r="ZN211" s="26"/>
      <c r="ZO211" s="26"/>
      <c r="ZP211" s="26"/>
      <c r="ZQ211" s="26"/>
      <c r="ZR211" s="26"/>
      <c r="ZS211" s="26"/>
      <c r="ZT211" s="26"/>
      <c r="ZU211" s="26"/>
      <c r="ZV211" s="26"/>
      <c r="ZW211" s="26"/>
      <c r="ZX211" s="26"/>
      <c r="ZY211" s="26"/>
      <c r="ZZ211" s="26"/>
      <c r="AAA211" s="26"/>
      <c r="AAB211" s="26"/>
      <c r="AAC211" s="26"/>
      <c r="AAD211" s="26"/>
      <c r="AAE211" s="26"/>
      <c r="AAF211" s="26"/>
      <c r="AAG211" s="26"/>
      <c r="AAH211" s="26"/>
      <c r="AAI211" s="26"/>
      <c r="AAJ211" s="26"/>
      <c r="AAK211" s="26"/>
      <c r="AAL211" s="26"/>
      <c r="AAM211" s="26"/>
      <c r="AAN211" s="26"/>
      <c r="AAO211" s="26"/>
      <c r="AAP211" s="26"/>
      <c r="AAQ211" s="26"/>
      <c r="AAR211" s="26"/>
      <c r="AAS211" s="26"/>
      <c r="AAT211" s="26"/>
      <c r="AAU211" s="26"/>
      <c r="AAV211" s="26"/>
      <c r="AAW211" s="26"/>
      <c r="AAX211" s="26"/>
      <c r="AAY211" s="26"/>
      <c r="AAZ211" s="26"/>
      <c r="ABA211" s="26"/>
      <c r="ABB211" s="26"/>
      <c r="ABC211" s="26"/>
      <c r="ABD211" s="26"/>
      <c r="ABE211" s="26"/>
      <c r="ABF211" s="26"/>
      <c r="ABG211" s="26"/>
      <c r="ABH211" s="26"/>
      <c r="ABI211" s="26"/>
      <c r="ABJ211" s="26"/>
      <c r="ABK211" s="26"/>
      <c r="ABL211" s="26"/>
      <c r="ABM211" s="26"/>
      <c r="ABN211" s="26"/>
      <c r="ABO211" s="26"/>
      <c r="ABP211" s="26"/>
      <c r="ABQ211" s="26"/>
      <c r="ABR211" s="26"/>
      <c r="ABS211" s="26"/>
      <c r="ABT211" s="26"/>
      <c r="ABU211" s="26"/>
      <c r="ABV211" s="26"/>
      <c r="ABW211" s="26"/>
      <c r="ABX211" s="26"/>
      <c r="ABY211" s="26"/>
      <c r="ABZ211" s="26"/>
      <c r="ACA211" s="26"/>
      <c r="ACB211" s="26"/>
      <c r="ACC211" s="26"/>
      <c r="ACD211" s="26"/>
      <c r="ACE211" s="26"/>
      <c r="ACF211" s="26"/>
      <c r="ACG211" s="26"/>
      <c r="ACH211" s="26"/>
      <c r="ACI211" s="26"/>
      <c r="ACJ211" s="26"/>
      <c r="ACK211" s="26"/>
      <c r="ACL211" s="26"/>
      <c r="ACM211" s="26"/>
      <c r="ACN211" s="26"/>
      <c r="ACO211" s="26"/>
      <c r="ACP211" s="26"/>
      <c r="ACQ211" s="26"/>
      <c r="ACR211" s="26"/>
      <c r="ACS211" s="26"/>
      <c r="ACT211" s="26"/>
      <c r="ACU211" s="26"/>
      <c r="ACV211" s="26"/>
      <c r="ACW211" s="26"/>
      <c r="ACX211" s="26"/>
      <c r="ACY211" s="26"/>
      <c r="ACZ211" s="26"/>
      <c r="ADA211" s="26"/>
      <c r="ADB211" s="26"/>
      <c r="ADC211" s="26"/>
      <c r="ADD211" s="26"/>
      <c r="ADE211" s="26"/>
      <c r="ADF211" s="26"/>
      <c r="ADG211" s="26"/>
      <c r="ADH211" s="26"/>
      <c r="ADI211" s="26"/>
      <c r="ADJ211" s="26"/>
      <c r="ADK211" s="26"/>
      <c r="ADL211" s="26"/>
      <c r="ADM211" s="26"/>
      <c r="ADN211" s="26"/>
      <c r="ADO211" s="26"/>
      <c r="ADP211" s="26"/>
      <c r="ADQ211" s="26"/>
      <c r="ADR211" s="26"/>
      <c r="ADS211" s="26"/>
      <c r="ADT211" s="26"/>
      <c r="ADU211" s="26"/>
      <c r="ADV211" s="26"/>
      <c r="ADW211" s="26"/>
      <c r="ADX211" s="26"/>
      <c r="ADY211" s="26"/>
      <c r="ADZ211" s="26"/>
      <c r="AEA211" s="26"/>
      <c r="AEB211" s="26"/>
      <c r="AEC211" s="26"/>
      <c r="AED211" s="26"/>
      <c r="AEE211" s="26"/>
      <c r="AEF211" s="26"/>
      <c r="AEG211" s="26"/>
      <c r="AEH211" s="26"/>
      <c r="AEI211" s="26"/>
      <c r="AEJ211" s="26"/>
      <c r="AEK211" s="26"/>
      <c r="AEL211" s="26"/>
      <c r="AEM211" s="26"/>
      <c r="AEN211" s="26"/>
      <c r="AEO211" s="26"/>
      <c r="AEP211" s="26"/>
      <c r="AEQ211" s="26"/>
      <c r="AER211" s="26"/>
      <c r="AES211" s="26"/>
      <c r="AET211" s="26"/>
      <c r="AEU211" s="26"/>
      <c r="AEV211" s="26"/>
      <c r="AEW211" s="26"/>
      <c r="AEX211" s="26"/>
      <c r="AEY211" s="26"/>
      <c r="AEZ211" s="26"/>
      <c r="AFA211" s="26"/>
      <c r="AFB211" s="26"/>
      <c r="AFC211" s="26"/>
      <c r="AFD211" s="26"/>
      <c r="AFE211" s="26"/>
      <c r="AFF211" s="26"/>
      <c r="AFG211" s="26"/>
      <c r="AFH211" s="26"/>
      <c r="AFI211" s="26"/>
      <c r="AFJ211" s="26"/>
      <c r="AFK211" s="26"/>
      <c r="AFL211" s="26"/>
      <c r="AFM211" s="26"/>
      <c r="AFN211" s="26"/>
      <c r="AFO211" s="26"/>
      <c r="AFP211" s="26"/>
      <c r="AFQ211" s="26"/>
      <c r="AFR211" s="26"/>
      <c r="AFS211" s="26"/>
      <c r="AFT211" s="26"/>
      <c r="AFU211" s="26"/>
      <c r="AFV211" s="26"/>
      <c r="AFW211" s="26"/>
      <c r="AFX211" s="26"/>
      <c r="AFY211" s="26"/>
      <c r="AFZ211" s="26"/>
      <c r="AGA211" s="26"/>
      <c r="AGB211" s="26"/>
      <c r="AGC211" s="26"/>
      <c r="AGD211" s="26"/>
      <c r="AGE211" s="26"/>
      <c r="AGF211" s="26"/>
      <c r="AGG211" s="26"/>
      <c r="AGH211" s="26"/>
      <c r="AGI211" s="26"/>
      <c r="AGJ211" s="26"/>
      <c r="AGK211" s="26"/>
      <c r="AGL211" s="26"/>
      <c r="AGM211" s="26"/>
      <c r="AGN211" s="26"/>
      <c r="AGO211" s="26"/>
      <c r="AGP211" s="26"/>
      <c r="AGQ211" s="26"/>
      <c r="AGR211" s="26"/>
      <c r="AGS211" s="26"/>
      <c r="AGT211" s="26"/>
      <c r="AGU211" s="26"/>
      <c r="AGV211" s="26"/>
      <c r="AGW211" s="26"/>
      <c r="AGX211" s="26"/>
      <c r="AGY211" s="26"/>
      <c r="AGZ211" s="26"/>
      <c r="AHA211" s="26"/>
      <c r="AHB211" s="26"/>
      <c r="AHC211" s="26"/>
      <c r="AHD211" s="26"/>
      <c r="AHE211" s="26"/>
      <c r="AHF211" s="26"/>
      <c r="AHG211" s="26"/>
      <c r="AHH211" s="26"/>
      <c r="AHI211" s="26"/>
      <c r="AHJ211" s="26"/>
      <c r="AHK211" s="26"/>
      <c r="AHL211" s="26"/>
      <c r="AHM211" s="26"/>
      <c r="AHN211" s="26"/>
      <c r="AHO211" s="26"/>
      <c r="AHP211" s="26"/>
      <c r="AHQ211" s="26"/>
      <c r="AHR211" s="26"/>
      <c r="AHS211" s="26"/>
      <c r="AHT211" s="26"/>
      <c r="AHU211" s="26"/>
      <c r="AHV211" s="26"/>
      <c r="AHW211" s="26"/>
      <c r="AHX211" s="26"/>
      <c r="AHY211" s="26"/>
      <c r="AHZ211" s="26"/>
      <c r="AIA211" s="26"/>
      <c r="AIB211" s="26"/>
      <c r="AIC211" s="26"/>
      <c r="AID211" s="26"/>
      <c r="AIE211" s="26"/>
      <c r="AIF211" s="26"/>
      <c r="AIG211" s="26"/>
      <c r="AIH211" s="26"/>
      <c r="AII211" s="26"/>
      <c r="AIJ211" s="26"/>
      <c r="AIK211" s="26"/>
      <c r="AIL211" s="26"/>
      <c r="AIM211" s="26"/>
      <c r="AIN211" s="26"/>
      <c r="AIO211" s="26"/>
      <c r="AIP211" s="26"/>
      <c r="AIQ211" s="26"/>
      <c r="AIR211" s="26"/>
      <c r="AIS211" s="26"/>
      <c r="AIT211" s="26"/>
      <c r="AIU211" s="26"/>
      <c r="AIV211" s="26"/>
      <c r="AIW211" s="26"/>
      <c r="AIX211" s="26"/>
      <c r="AIY211" s="26"/>
      <c r="AIZ211" s="26"/>
      <c r="AJA211" s="26"/>
      <c r="AJB211" s="26"/>
      <c r="AJC211" s="26"/>
      <c r="AJD211" s="26"/>
      <c r="AJE211" s="26"/>
      <c r="AJF211" s="26"/>
      <c r="AJG211" s="26"/>
      <c r="AJH211" s="26"/>
      <c r="AJI211" s="26"/>
      <c r="AJJ211" s="26"/>
      <c r="AJK211" s="26"/>
      <c r="AJL211" s="26"/>
      <c r="AJM211" s="26"/>
      <c r="AJN211" s="26"/>
      <c r="AJO211" s="26"/>
      <c r="AJP211" s="26"/>
      <c r="AJQ211" s="26"/>
      <c r="AJR211" s="26"/>
      <c r="AJS211" s="26"/>
      <c r="AJT211" s="26"/>
      <c r="AJU211" s="26"/>
      <c r="AJV211" s="26"/>
      <c r="AJW211" s="26"/>
      <c r="AJX211" s="26"/>
      <c r="AJY211" s="26"/>
      <c r="AJZ211" s="26"/>
      <c r="AKA211" s="26"/>
      <c r="AKB211" s="26"/>
      <c r="AKC211" s="26"/>
      <c r="AKD211" s="26"/>
      <c r="AKE211" s="26"/>
      <c r="AKF211" s="26"/>
      <c r="AKG211" s="26"/>
      <c r="AKH211" s="26"/>
      <c r="AKI211" s="26"/>
      <c r="AKJ211" s="26"/>
      <c r="AKK211" s="26"/>
      <c r="AKL211" s="26"/>
      <c r="AKM211" s="26"/>
      <c r="AKN211" s="26"/>
      <c r="AKO211" s="26"/>
      <c r="AKP211" s="26"/>
      <c r="AKQ211" s="26"/>
      <c r="AKR211" s="26"/>
      <c r="AKS211" s="26"/>
      <c r="AKT211" s="26"/>
      <c r="AKU211" s="26"/>
      <c r="AKV211" s="26"/>
      <c r="AKW211" s="26"/>
      <c r="AKX211" s="26"/>
      <c r="AKY211" s="26"/>
      <c r="AKZ211" s="26"/>
      <c r="ALA211" s="26"/>
      <c r="ALB211" s="26"/>
      <c r="ALC211" s="26"/>
      <c r="ALD211" s="26"/>
      <c r="ALE211" s="26"/>
      <c r="ALF211" s="26"/>
      <c r="ALG211" s="26"/>
      <c r="ALH211" s="26"/>
      <c r="ALI211" s="26"/>
      <c r="ALJ211" s="26"/>
      <c r="ALK211" s="26"/>
      <c r="ALL211" s="26"/>
      <c r="ALM211" s="26"/>
      <c r="ALN211" s="26"/>
      <c r="ALO211" s="26"/>
      <c r="ALP211" s="26"/>
      <c r="ALQ211" s="26"/>
      <c r="ALR211" s="26"/>
      <c r="ALS211" s="26"/>
      <c r="ALT211" s="26"/>
      <c r="ALU211" s="26"/>
      <c r="ALV211" s="26"/>
      <c r="ALW211" s="26"/>
      <c r="ALX211" s="26"/>
      <c r="ALY211" s="26"/>
      <c r="ALZ211" s="26"/>
      <c r="AMA211" s="26"/>
      <c r="AMB211" s="26"/>
      <c r="AMC211" s="26"/>
      <c r="AMD211" s="26"/>
      <c r="AME211" s="26"/>
      <c r="AMF211" s="26"/>
      <c r="AMG211" s="26"/>
      <c r="AMH211" s="26"/>
      <c r="AMI211" s="26"/>
      <c r="AMJ211" s="26"/>
      <c r="AMK211" s="26"/>
      <c r="AML211" s="26"/>
      <c r="AMM211" s="26"/>
      <c r="AMN211" s="26"/>
      <c r="AMO211" s="26"/>
      <c r="AMP211" s="26"/>
      <c r="AMQ211" s="26"/>
      <c r="AMR211" s="26"/>
      <c r="AMS211" s="26"/>
      <c r="AMT211" s="26"/>
      <c r="AMU211" s="26"/>
      <c r="AMV211" s="26"/>
      <c r="AMW211" s="26"/>
      <c r="AMX211" s="26"/>
      <c r="AMY211" s="26"/>
      <c r="AMZ211" s="26"/>
      <c r="ANA211" s="26"/>
      <c r="ANB211" s="26"/>
      <c r="ANC211" s="26"/>
      <c r="AND211" s="26"/>
      <c r="ANE211" s="26"/>
      <c r="ANF211" s="26"/>
      <c r="ANG211" s="26"/>
      <c r="ANH211" s="26"/>
      <c r="ANI211" s="26"/>
      <c r="ANJ211" s="26"/>
      <c r="ANK211" s="26"/>
      <c r="ANL211" s="26"/>
      <c r="ANM211" s="26"/>
      <c r="ANN211" s="26"/>
      <c r="ANO211" s="26"/>
      <c r="ANP211" s="26"/>
      <c r="ANQ211" s="26"/>
      <c r="ANR211" s="26"/>
      <c r="ANS211" s="26"/>
      <c r="ANT211" s="26"/>
      <c r="ANU211" s="26"/>
      <c r="ANV211" s="26"/>
      <c r="ANW211" s="26"/>
      <c r="ANX211" s="26"/>
      <c r="ANY211" s="26"/>
      <c r="ANZ211" s="26"/>
      <c r="AOA211" s="26"/>
      <c r="AOB211" s="26"/>
      <c r="AOC211" s="26"/>
      <c r="AOD211" s="26"/>
      <c r="AOE211" s="26"/>
      <c r="AOF211" s="26"/>
      <c r="AOG211" s="26"/>
      <c r="AOH211" s="26"/>
      <c r="AOI211" s="26"/>
      <c r="AOJ211" s="26"/>
      <c r="AOK211" s="26"/>
      <c r="AOL211" s="26"/>
      <c r="AOM211" s="26"/>
      <c r="AON211" s="26"/>
      <c r="AOO211" s="26"/>
      <c r="AOP211" s="26"/>
      <c r="AOQ211" s="26"/>
      <c r="AOR211" s="26"/>
      <c r="AOS211" s="26"/>
      <c r="AOT211" s="26"/>
      <c r="AOU211" s="26"/>
      <c r="AOV211" s="26"/>
      <c r="AOW211" s="26"/>
      <c r="AOX211" s="26"/>
      <c r="AOY211" s="26"/>
      <c r="AOZ211" s="26"/>
      <c r="APA211" s="26"/>
      <c r="APB211" s="26"/>
      <c r="APC211" s="26"/>
      <c r="APD211" s="26"/>
      <c r="APE211" s="26"/>
      <c r="APF211" s="26"/>
      <c r="APG211" s="26"/>
      <c r="APH211" s="26"/>
      <c r="API211" s="26"/>
      <c r="APJ211" s="26"/>
      <c r="APK211" s="26"/>
      <c r="APL211" s="26"/>
      <c r="APM211" s="26"/>
      <c r="APN211" s="26"/>
      <c r="APO211" s="26"/>
      <c r="APP211" s="26"/>
      <c r="APQ211" s="26"/>
      <c r="APR211" s="26"/>
      <c r="APS211" s="26"/>
      <c r="APT211" s="26"/>
      <c r="APU211" s="26"/>
      <c r="APV211" s="26"/>
      <c r="APW211" s="26"/>
      <c r="APX211" s="26"/>
      <c r="APY211" s="26"/>
      <c r="APZ211" s="26"/>
      <c r="AQA211" s="26"/>
      <c r="AQB211" s="26"/>
      <c r="AQC211" s="26"/>
      <c r="AQD211" s="26"/>
      <c r="AQE211" s="26"/>
      <c r="AQF211" s="26"/>
      <c r="AQG211" s="26"/>
      <c r="AQH211" s="26"/>
      <c r="AQI211" s="26"/>
      <c r="AQJ211" s="26"/>
      <c r="AQK211" s="26"/>
      <c r="AQL211" s="26"/>
      <c r="AQM211" s="26"/>
      <c r="AQN211" s="26"/>
      <c r="AQO211" s="26"/>
      <c r="AQP211" s="26"/>
      <c r="AQQ211" s="26"/>
      <c r="AQR211" s="26"/>
      <c r="AQS211" s="26"/>
      <c r="AQT211" s="26"/>
      <c r="AQU211" s="26"/>
      <c r="AQV211" s="26"/>
      <c r="AQW211" s="26"/>
      <c r="AQX211" s="26"/>
      <c r="AQY211" s="26"/>
      <c r="AQZ211" s="26"/>
      <c r="ARA211" s="26"/>
      <c r="ARB211" s="26"/>
      <c r="ARC211" s="26"/>
      <c r="ARD211" s="26"/>
      <c r="ARE211" s="26"/>
      <c r="ARF211" s="26"/>
      <c r="ARG211" s="26"/>
      <c r="ARH211" s="26"/>
      <c r="ARI211" s="26"/>
      <c r="ARJ211" s="26"/>
      <c r="ARK211" s="26"/>
      <c r="ARL211" s="26"/>
      <c r="ARM211" s="26"/>
      <c r="ARN211" s="26"/>
      <c r="ARO211" s="26"/>
      <c r="ARP211" s="26"/>
      <c r="ARQ211" s="26"/>
      <c r="ARR211" s="26"/>
      <c r="ARS211" s="26"/>
      <c r="ART211" s="26"/>
      <c r="ARU211" s="26"/>
      <c r="ARV211" s="26"/>
      <c r="ARW211" s="26"/>
      <c r="ARX211" s="26"/>
      <c r="ARY211" s="26"/>
      <c r="ARZ211" s="26"/>
      <c r="ASA211" s="26"/>
      <c r="ASB211" s="26"/>
      <c r="ASC211" s="26"/>
      <c r="ASD211" s="26"/>
      <c r="ASE211" s="26"/>
      <c r="ASF211" s="26"/>
      <c r="ASG211" s="26"/>
      <c r="ASH211" s="26"/>
      <c r="ASI211" s="26"/>
      <c r="ASJ211" s="26"/>
      <c r="ASK211" s="26"/>
      <c r="ASL211" s="26"/>
      <c r="ASM211" s="26"/>
      <c r="ASN211" s="26"/>
      <c r="ASO211" s="26"/>
      <c r="ASP211" s="26"/>
      <c r="ASQ211" s="26"/>
      <c r="ASR211" s="26"/>
      <c r="ASS211" s="26"/>
      <c r="AST211" s="26"/>
      <c r="ASU211" s="26"/>
      <c r="ASV211" s="26"/>
      <c r="ASW211" s="26"/>
      <c r="ASX211" s="26"/>
      <c r="ASY211" s="26"/>
      <c r="ASZ211" s="26"/>
      <c r="ATA211" s="26"/>
      <c r="ATB211" s="26"/>
      <c r="ATC211" s="26"/>
      <c r="ATD211" s="26"/>
      <c r="ATE211" s="26"/>
      <c r="ATF211" s="26"/>
      <c r="ATG211" s="26"/>
      <c r="ATH211" s="26"/>
      <c r="ATI211" s="26"/>
      <c r="ATJ211" s="26"/>
      <c r="ATK211" s="26"/>
      <c r="ATL211" s="26"/>
      <c r="ATM211" s="26"/>
      <c r="ATN211" s="26"/>
      <c r="ATO211" s="26"/>
      <c r="ATP211" s="26"/>
      <c r="ATQ211" s="26"/>
      <c r="ATR211" s="26"/>
      <c r="ATS211" s="26"/>
      <c r="ATT211" s="26"/>
      <c r="ATU211" s="26"/>
      <c r="ATV211" s="26"/>
      <c r="ATW211" s="26"/>
      <c r="ATX211" s="26"/>
      <c r="ATY211" s="26"/>
      <c r="ATZ211" s="26"/>
      <c r="AUA211" s="26"/>
      <c r="AUB211" s="26"/>
      <c r="AUC211" s="26"/>
      <c r="AUD211" s="26"/>
      <c r="AUE211" s="26"/>
      <c r="AUF211" s="26"/>
      <c r="AUG211" s="26"/>
      <c r="AUH211" s="26"/>
      <c r="AUI211" s="26"/>
      <c r="AUJ211" s="26"/>
      <c r="AUK211" s="26"/>
      <c r="AUL211" s="26"/>
      <c r="AUM211" s="26"/>
      <c r="AUN211" s="26"/>
      <c r="AUO211" s="26"/>
      <c r="AUP211" s="26"/>
      <c r="AUQ211" s="26"/>
      <c r="AUR211" s="26"/>
      <c r="AUS211" s="26"/>
      <c r="AUT211" s="26"/>
      <c r="AUU211" s="26"/>
      <c r="AUV211" s="26"/>
      <c r="AUW211" s="26"/>
      <c r="AUX211" s="26"/>
      <c r="AUY211" s="26"/>
      <c r="AUZ211" s="26"/>
      <c r="AVA211" s="26"/>
      <c r="AVB211" s="26"/>
      <c r="AVC211" s="26"/>
      <c r="AVD211" s="26"/>
      <c r="AVE211" s="26"/>
      <c r="AVF211" s="26"/>
      <c r="AVG211" s="26"/>
      <c r="AVH211" s="26"/>
      <c r="AVI211" s="26"/>
      <c r="AVJ211" s="26"/>
      <c r="AVK211" s="26"/>
      <c r="AVL211" s="26"/>
      <c r="AVM211" s="26"/>
      <c r="AVN211" s="26"/>
      <c r="AVO211" s="26"/>
      <c r="AVP211" s="26"/>
      <c r="AVQ211" s="26"/>
      <c r="AVR211" s="26"/>
      <c r="AVS211" s="26"/>
      <c r="AVT211" s="26"/>
      <c r="AVU211" s="26"/>
      <c r="AVV211" s="26"/>
      <c r="AVW211" s="26"/>
      <c r="AVX211" s="26"/>
      <c r="AVY211" s="26"/>
      <c r="AVZ211" s="26"/>
      <c r="AWA211" s="26"/>
      <c r="AWB211" s="26"/>
      <c r="AWC211" s="26"/>
      <c r="AWD211" s="26"/>
      <c r="AWE211" s="26"/>
      <c r="AWF211" s="26"/>
      <c r="AWG211" s="26"/>
      <c r="AWH211" s="26"/>
      <c r="AWI211" s="26"/>
      <c r="AWJ211" s="26"/>
      <c r="AWK211" s="26"/>
      <c r="AWL211" s="26"/>
      <c r="AWM211" s="26"/>
      <c r="AWN211" s="26"/>
      <c r="AWO211" s="26"/>
      <c r="AWP211" s="26"/>
      <c r="AWQ211" s="26"/>
      <c r="AWR211" s="26"/>
      <c r="AWS211" s="26"/>
      <c r="AWT211" s="26"/>
      <c r="AWU211" s="26"/>
      <c r="AWV211" s="26"/>
      <c r="AWW211" s="26"/>
      <c r="AWX211" s="26"/>
      <c r="AWY211" s="26"/>
      <c r="AWZ211" s="26"/>
      <c r="AXA211" s="26"/>
      <c r="AXB211" s="26"/>
      <c r="AXC211" s="26"/>
      <c r="AXD211" s="26"/>
      <c r="AXE211" s="26"/>
      <c r="AXF211" s="26"/>
      <c r="AXG211" s="26"/>
      <c r="AXH211" s="26"/>
      <c r="AXI211" s="26"/>
      <c r="AXJ211" s="26"/>
      <c r="AXK211" s="26"/>
      <c r="AXL211" s="26"/>
      <c r="AXM211" s="26"/>
      <c r="AXN211" s="26"/>
      <c r="AXO211" s="26"/>
      <c r="AXP211" s="26"/>
      <c r="AXQ211" s="26"/>
      <c r="AXR211" s="26"/>
      <c r="AXS211" s="26"/>
      <c r="AXT211" s="26"/>
      <c r="AXU211" s="26"/>
      <c r="AXV211" s="26"/>
      <c r="AXW211" s="26"/>
      <c r="AXX211" s="26"/>
      <c r="AXY211" s="26"/>
      <c r="AXZ211" s="26"/>
      <c r="AYA211" s="26"/>
      <c r="AYB211" s="26"/>
      <c r="AYC211" s="26"/>
      <c r="AYD211" s="26"/>
      <c r="AYE211" s="26"/>
      <c r="AYF211" s="26"/>
      <c r="AYG211" s="26"/>
      <c r="AYH211" s="26"/>
      <c r="AYI211" s="26"/>
      <c r="AYJ211" s="26"/>
      <c r="AYK211" s="26"/>
      <c r="AYL211" s="26"/>
      <c r="AYM211" s="26"/>
      <c r="AYN211" s="26"/>
      <c r="AYO211" s="26"/>
      <c r="AYP211" s="26"/>
      <c r="AYQ211" s="26"/>
      <c r="AYR211" s="26"/>
      <c r="AYS211" s="26"/>
      <c r="AYT211" s="26"/>
      <c r="AYU211" s="26"/>
      <c r="AYV211" s="26"/>
      <c r="AYW211" s="26"/>
      <c r="AYX211" s="26"/>
      <c r="AYY211" s="26"/>
      <c r="AYZ211" s="26"/>
      <c r="AZA211" s="26"/>
      <c r="AZB211" s="26"/>
      <c r="AZC211" s="26"/>
      <c r="AZD211" s="26"/>
      <c r="AZE211" s="26"/>
      <c r="AZF211" s="26"/>
      <c r="AZG211" s="26"/>
      <c r="AZH211" s="26"/>
      <c r="AZI211" s="26"/>
      <c r="AZJ211" s="26"/>
      <c r="AZK211" s="26"/>
      <c r="AZL211" s="26"/>
      <c r="AZM211" s="26"/>
      <c r="AZN211" s="26"/>
      <c r="AZO211" s="26"/>
      <c r="AZP211" s="26"/>
      <c r="AZQ211" s="26"/>
      <c r="AZR211" s="26"/>
      <c r="AZS211" s="26"/>
      <c r="AZT211" s="26"/>
      <c r="AZU211" s="26"/>
      <c r="AZV211" s="26"/>
      <c r="AZW211" s="26"/>
      <c r="AZX211" s="26"/>
      <c r="AZY211" s="26"/>
      <c r="AZZ211" s="26"/>
      <c r="BAA211" s="26"/>
      <c r="BAB211" s="26"/>
      <c r="BAC211" s="26"/>
      <c r="BAD211" s="26"/>
      <c r="BAE211" s="26"/>
      <c r="BAF211" s="26"/>
      <c r="BAG211" s="26"/>
      <c r="BAH211" s="26"/>
      <c r="BAI211" s="26"/>
      <c r="BAJ211" s="26"/>
      <c r="BAK211" s="26"/>
      <c r="BAL211" s="26"/>
      <c r="BAM211" s="26"/>
      <c r="BAN211" s="26"/>
      <c r="BAO211" s="26"/>
      <c r="BAP211" s="26"/>
      <c r="BAQ211" s="26"/>
      <c r="BAR211" s="26"/>
      <c r="BAS211" s="26"/>
      <c r="BAT211" s="26"/>
      <c r="BAU211" s="26"/>
      <c r="BAV211" s="26"/>
      <c r="BAW211" s="26"/>
      <c r="BAX211" s="26"/>
      <c r="BAY211" s="26"/>
      <c r="BAZ211" s="26"/>
      <c r="BBA211" s="26"/>
      <c r="BBB211" s="26"/>
      <c r="BBC211" s="26"/>
      <c r="BBD211" s="26"/>
      <c r="BBE211" s="26"/>
      <c r="BBF211" s="26"/>
      <c r="BBG211" s="26"/>
      <c r="BBH211" s="26"/>
      <c r="BBI211" s="26"/>
      <c r="BBJ211" s="26"/>
      <c r="BBK211" s="26"/>
      <c r="BBL211" s="26"/>
      <c r="BBM211" s="26"/>
      <c r="BBN211" s="26"/>
      <c r="BBO211" s="26"/>
      <c r="BBP211" s="26"/>
      <c r="BBQ211" s="26"/>
      <c r="BBR211" s="26"/>
      <c r="BBS211" s="26"/>
      <c r="BBT211" s="26"/>
      <c r="BBU211" s="26"/>
      <c r="BBV211" s="26"/>
      <c r="BBW211" s="26"/>
      <c r="BBX211" s="26"/>
      <c r="BBY211" s="26"/>
      <c r="BBZ211" s="26"/>
      <c r="BCA211" s="26"/>
      <c r="BCB211" s="26"/>
      <c r="BCC211" s="26"/>
      <c r="BCD211" s="26"/>
      <c r="BCE211" s="26"/>
      <c r="BCF211" s="26"/>
      <c r="BCG211" s="26"/>
      <c r="BCH211" s="26"/>
      <c r="BCI211" s="26"/>
      <c r="BCJ211" s="26"/>
      <c r="BCK211" s="26"/>
      <c r="BCL211" s="26"/>
      <c r="BCM211" s="26"/>
      <c r="BCN211" s="26"/>
      <c r="BCO211" s="26"/>
      <c r="BCP211" s="26"/>
      <c r="BCQ211" s="26"/>
      <c r="BCR211" s="26"/>
      <c r="BCS211" s="26"/>
      <c r="BCT211" s="26"/>
      <c r="BCU211" s="26"/>
      <c r="BCV211" s="26"/>
      <c r="BCW211" s="26"/>
      <c r="BCX211" s="26"/>
      <c r="BCY211" s="26"/>
      <c r="BCZ211" s="26"/>
      <c r="BDA211" s="26"/>
      <c r="BDB211" s="26"/>
      <c r="BDC211" s="26"/>
      <c r="BDD211" s="26"/>
      <c r="BDE211" s="26"/>
      <c r="BDF211" s="26"/>
      <c r="BDG211" s="26"/>
      <c r="BDH211" s="26"/>
      <c r="BDI211" s="26"/>
      <c r="BDJ211" s="26"/>
      <c r="BDK211" s="26"/>
      <c r="BDL211" s="26"/>
      <c r="BDM211" s="26"/>
      <c r="BDN211" s="26"/>
      <c r="BDO211" s="26"/>
      <c r="BDP211" s="26"/>
      <c r="BDQ211" s="26"/>
      <c r="BDR211" s="26"/>
      <c r="BDS211" s="26"/>
      <c r="BDT211" s="26"/>
      <c r="BDU211" s="26"/>
      <c r="BDV211" s="26"/>
      <c r="BDW211" s="26"/>
      <c r="BDX211" s="26"/>
      <c r="BDY211" s="26"/>
      <c r="BDZ211" s="26"/>
      <c r="BEA211" s="26"/>
      <c r="BEB211" s="26"/>
      <c r="BEC211" s="26"/>
      <c r="BED211" s="26"/>
      <c r="BEE211" s="26"/>
      <c r="BEF211" s="26"/>
      <c r="BEG211" s="26"/>
      <c r="BEH211" s="26"/>
      <c r="BEI211" s="26"/>
      <c r="BEJ211" s="26"/>
      <c r="BEK211" s="26"/>
      <c r="BEL211" s="26"/>
      <c r="BEM211" s="26"/>
      <c r="BEN211" s="26"/>
      <c r="BEO211" s="26"/>
      <c r="BEP211" s="26"/>
      <c r="BEQ211" s="26"/>
      <c r="BER211" s="26"/>
      <c r="BES211" s="26"/>
      <c r="BET211" s="26"/>
      <c r="BEU211" s="26"/>
      <c r="BEV211" s="26"/>
      <c r="BEW211" s="26"/>
      <c r="BEX211" s="26"/>
      <c r="BEY211" s="26"/>
      <c r="BEZ211" s="26"/>
      <c r="BFA211" s="26"/>
      <c r="BFB211" s="26"/>
      <c r="BFC211" s="26"/>
      <c r="BFD211" s="26"/>
      <c r="BFE211" s="26"/>
      <c r="BFF211" s="26"/>
      <c r="BFG211" s="26"/>
      <c r="BFH211" s="26"/>
      <c r="BFI211" s="26"/>
      <c r="BFJ211" s="26"/>
      <c r="BFK211" s="26"/>
      <c r="BFL211" s="26"/>
      <c r="BFM211" s="26"/>
      <c r="BFN211" s="26"/>
      <c r="BFO211" s="26"/>
      <c r="BFP211" s="26"/>
      <c r="BFQ211" s="26"/>
      <c r="BFR211" s="26"/>
      <c r="BFS211" s="26"/>
      <c r="BFT211" s="26"/>
      <c r="BFU211" s="26"/>
      <c r="BFV211" s="26"/>
      <c r="BFW211" s="26"/>
      <c r="BFX211" s="26"/>
      <c r="BFY211" s="26"/>
      <c r="BFZ211" s="26"/>
      <c r="BGA211" s="26"/>
      <c r="BGB211" s="26"/>
      <c r="BGC211" s="26"/>
      <c r="BGD211" s="26"/>
      <c r="BGE211" s="26"/>
      <c r="BGF211" s="26"/>
      <c r="BGG211" s="26"/>
      <c r="BGH211" s="26"/>
      <c r="BGI211" s="26"/>
      <c r="BGJ211" s="26"/>
      <c r="BGK211" s="26"/>
      <c r="BGL211" s="26"/>
      <c r="BGM211" s="26"/>
      <c r="BGN211" s="26"/>
      <c r="BGO211" s="26"/>
      <c r="BGP211" s="26"/>
      <c r="BGQ211" s="26"/>
      <c r="BGR211" s="26"/>
      <c r="BGS211" s="26"/>
      <c r="BGT211" s="26"/>
      <c r="BGU211" s="26"/>
      <c r="BGV211" s="26"/>
      <c r="BGW211" s="26"/>
      <c r="BGX211" s="26"/>
      <c r="BGY211" s="26"/>
      <c r="BGZ211" s="26"/>
      <c r="BHA211" s="26"/>
      <c r="BHB211" s="26"/>
      <c r="BHC211" s="26"/>
      <c r="BHD211" s="26"/>
      <c r="BHE211" s="26"/>
      <c r="BHF211" s="26"/>
      <c r="BHG211" s="26"/>
      <c r="BHH211" s="26"/>
      <c r="BHI211" s="26"/>
      <c r="BHJ211" s="26"/>
      <c r="BHK211" s="26"/>
      <c r="BHL211" s="26"/>
      <c r="BHM211" s="26"/>
      <c r="BHN211" s="26"/>
      <c r="BHO211" s="26"/>
      <c r="BHP211" s="26"/>
      <c r="BHQ211" s="26"/>
      <c r="BHR211" s="26"/>
      <c r="BHS211" s="26"/>
      <c r="BHT211" s="26"/>
      <c r="BHU211" s="26"/>
      <c r="BHV211" s="26"/>
      <c r="BHW211" s="26"/>
      <c r="BHX211" s="26"/>
      <c r="BHY211" s="26"/>
      <c r="BHZ211" s="26"/>
      <c r="BIA211" s="26"/>
      <c r="BIB211" s="26"/>
      <c r="BIC211" s="26"/>
      <c r="BID211" s="26"/>
      <c r="BIE211" s="26"/>
      <c r="BIF211" s="26"/>
      <c r="BIG211" s="26"/>
      <c r="BIH211" s="26"/>
      <c r="BII211" s="26"/>
      <c r="BIJ211" s="26"/>
      <c r="BIK211" s="26"/>
      <c r="BIL211" s="26"/>
      <c r="BIM211" s="26"/>
      <c r="BIN211" s="26"/>
      <c r="BIO211" s="26"/>
      <c r="BIP211" s="26"/>
      <c r="BIQ211" s="26"/>
      <c r="BIR211" s="26"/>
      <c r="BIS211" s="26"/>
      <c r="BIT211" s="26"/>
      <c r="BIU211" s="26"/>
      <c r="BIV211" s="26"/>
      <c r="BIW211" s="26"/>
      <c r="BIX211" s="26"/>
      <c r="BIY211" s="26"/>
      <c r="BIZ211" s="26"/>
      <c r="BJA211" s="26"/>
      <c r="BJB211" s="26"/>
      <c r="BJC211" s="26"/>
      <c r="BJD211" s="26"/>
      <c r="BJE211" s="26"/>
      <c r="BJF211" s="26"/>
      <c r="BJG211" s="26"/>
      <c r="BJH211" s="26"/>
      <c r="BJI211" s="26"/>
      <c r="BJJ211" s="26"/>
      <c r="BJK211" s="26"/>
      <c r="BJL211" s="26"/>
      <c r="BJM211" s="26"/>
      <c r="BJN211" s="26"/>
      <c r="BJO211" s="26"/>
      <c r="BJP211" s="26"/>
      <c r="BJQ211" s="26"/>
      <c r="BJR211" s="26"/>
      <c r="BJS211" s="26"/>
      <c r="BJT211" s="26"/>
      <c r="BJU211" s="26"/>
      <c r="BJV211" s="26"/>
      <c r="BJW211" s="26"/>
      <c r="BJX211" s="26"/>
      <c r="BJY211" s="26"/>
      <c r="BJZ211" s="26"/>
      <c r="BKA211" s="26"/>
      <c r="BKB211" s="26"/>
      <c r="BKC211" s="26"/>
      <c r="BKD211" s="26"/>
      <c r="BKE211" s="26"/>
      <c r="BKF211" s="26"/>
      <c r="BKG211" s="26"/>
      <c r="BKH211" s="26"/>
      <c r="BKI211" s="26"/>
      <c r="BKJ211" s="26"/>
      <c r="BKK211" s="26"/>
      <c r="BKL211" s="26"/>
      <c r="BKM211" s="26"/>
      <c r="BKN211" s="26"/>
      <c r="BKO211" s="26"/>
      <c r="BKP211" s="26"/>
      <c r="BKQ211" s="26"/>
      <c r="BKR211" s="26"/>
      <c r="BKS211" s="26"/>
      <c r="BKT211" s="26"/>
      <c r="BKU211" s="26"/>
      <c r="BKV211" s="26"/>
      <c r="BKW211" s="26"/>
      <c r="BKX211" s="26"/>
      <c r="BKY211" s="26"/>
      <c r="BKZ211" s="26"/>
      <c r="BLA211" s="26"/>
      <c r="BLB211" s="26"/>
      <c r="BLC211" s="26"/>
      <c r="BLD211" s="26"/>
      <c r="BLE211" s="26"/>
      <c r="BLF211" s="26"/>
      <c r="BLG211" s="26"/>
      <c r="BLH211" s="26"/>
      <c r="BLI211" s="26"/>
      <c r="BLJ211" s="26"/>
      <c r="BLK211" s="26"/>
      <c r="BLL211" s="26"/>
      <c r="BLM211" s="26"/>
      <c r="BLN211" s="26"/>
      <c r="BLO211" s="26"/>
      <c r="BLP211" s="26"/>
      <c r="BLQ211" s="26"/>
      <c r="BLR211" s="26"/>
      <c r="BLS211" s="26"/>
      <c r="BLT211" s="26"/>
      <c r="BLU211" s="26"/>
      <c r="BLV211" s="26"/>
      <c r="BLW211" s="26"/>
      <c r="BLX211" s="26"/>
      <c r="BLY211" s="26"/>
      <c r="BLZ211" s="26"/>
      <c r="BMA211" s="26"/>
      <c r="BMB211" s="26"/>
      <c r="BMC211" s="26"/>
      <c r="BMD211" s="26"/>
      <c r="BME211" s="26"/>
      <c r="BMF211" s="26"/>
      <c r="BMG211" s="26"/>
      <c r="BMH211" s="26"/>
      <c r="BMI211" s="26"/>
      <c r="BMJ211" s="26"/>
      <c r="BMK211" s="26"/>
      <c r="BML211" s="26"/>
      <c r="BMM211" s="26"/>
      <c r="BMN211" s="26"/>
      <c r="BMO211" s="26"/>
      <c r="BMP211" s="26"/>
      <c r="BMQ211" s="26"/>
      <c r="BMR211" s="26"/>
      <c r="BMS211" s="26"/>
      <c r="BMT211" s="26"/>
      <c r="BMU211" s="26"/>
      <c r="BMV211" s="26"/>
      <c r="BMW211" s="26"/>
      <c r="BMX211" s="26"/>
      <c r="BMY211" s="26"/>
      <c r="BMZ211" s="26"/>
      <c r="BNA211" s="26"/>
      <c r="BNB211" s="26"/>
      <c r="BNC211" s="26"/>
      <c r="BND211" s="26"/>
      <c r="BNE211" s="26"/>
      <c r="BNF211" s="26"/>
      <c r="BNG211" s="26"/>
      <c r="BNH211" s="26"/>
      <c r="BNI211" s="26"/>
      <c r="BNJ211" s="26"/>
      <c r="BNK211" s="26"/>
      <c r="BNL211" s="26"/>
      <c r="BNM211" s="26"/>
      <c r="BNN211" s="26"/>
      <c r="BNO211" s="26"/>
      <c r="BNP211" s="26"/>
      <c r="BNQ211" s="26"/>
      <c r="BNR211" s="26"/>
      <c r="BNS211" s="26"/>
      <c r="BNT211" s="26"/>
      <c r="BNU211" s="26"/>
      <c r="BNV211" s="26"/>
      <c r="BNW211" s="26"/>
      <c r="BNX211" s="26"/>
      <c r="BNY211" s="26"/>
      <c r="BNZ211" s="26"/>
      <c r="BOA211" s="26"/>
      <c r="BOB211" s="26"/>
      <c r="BOC211" s="26"/>
      <c r="BOD211" s="26"/>
      <c r="BOE211" s="26"/>
      <c r="BOF211" s="26"/>
      <c r="BOG211" s="26"/>
      <c r="BOH211" s="26"/>
      <c r="BOI211" s="26"/>
      <c r="BOJ211" s="26"/>
      <c r="BOK211" s="26"/>
      <c r="BOL211" s="26"/>
      <c r="BOM211" s="26"/>
      <c r="BON211" s="26"/>
      <c r="BOO211" s="26"/>
      <c r="BOP211" s="26"/>
      <c r="BOQ211" s="26"/>
      <c r="BOR211" s="26"/>
      <c r="BOS211" s="26"/>
      <c r="BOT211" s="26"/>
      <c r="BOU211" s="26"/>
      <c r="BOV211" s="26"/>
      <c r="BOW211" s="26"/>
      <c r="BOX211" s="26"/>
      <c r="BOY211" s="26"/>
      <c r="BOZ211" s="26"/>
      <c r="BPA211" s="26"/>
      <c r="BPB211" s="26"/>
      <c r="BPC211" s="26"/>
      <c r="BPD211" s="26"/>
      <c r="BPE211" s="26"/>
      <c r="BPF211" s="26"/>
      <c r="BPG211" s="26"/>
      <c r="BPH211" s="26"/>
      <c r="BPI211" s="26"/>
      <c r="BPJ211" s="26"/>
      <c r="BPK211" s="26"/>
      <c r="BPL211" s="26"/>
      <c r="BPM211" s="26"/>
      <c r="BPN211" s="26"/>
      <c r="BPO211" s="26"/>
      <c r="BPP211" s="26"/>
      <c r="BPQ211" s="26"/>
      <c r="BPR211" s="26"/>
      <c r="BPS211" s="26"/>
      <c r="BPT211" s="26"/>
      <c r="BPU211" s="26"/>
      <c r="BPV211" s="26"/>
      <c r="BPW211" s="26"/>
      <c r="BPX211" s="26"/>
      <c r="BPY211" s="26"/>
      <c r="BPZ211" s="26"/>
      <c r="BQA211" s="26"/>
      <c r="BQB211" s="26"/>
      <c r="BQC211" s="26"/>
      <c r="BQD211" s="26"/>
      <c r="BQE211" s="26"/>
      <c r="BQF211" s="26"/>
      <c r="BQG211" s="26"/>
      <c r="BQH211" s="26"/>
      <c r="BQI211" s="26"/>
      <c r="BQJ211" s="26"/>
      <c r="BQK211" s="26"/>
      <c r="BQL211" s="26"/>
      <c r="BQM211" s="26"/>
      <c r="BQN211" s="26"/>
      <c r="BQO211" s="26"/>
      <c r="BQP211" s="26"/>
      <c r="BQQ211" s="26"/>
      <c r="BQR211" s="26"/>
      <c r="BQS211" s="26"/>
      <c r="BQT211" s="26"/>
      <c r="BQU211" s="26"/>
      <c r="BQV211" s="26"/>
      <c r="BQW211" s="26"/>
      <c r="BQX211" s="26"/>
      <c r="BQY211" s="26"/>
      <c r="BQZ211" s="26"/>
      <c r="BRA211" s="26"/>
      <c r="BRB211" s="26"/>
      <c r="BRC211" s="26"/>
      <c r="BRD211" s="26"/>
      <c r="BRE211" s="26"/>
      <c r="BRF211" s="26"/>
      <c r="BRG211" s="26"/>
      <c r="BRH211" s="26"/>
      <c r="BRI211" s="26"/>
      <c r="BRJ211" s="26"/>
      <c r="BRK211" s="26"/>
      <c r="BRL211" s="26"/>
      <c r="BRM211" s="26"/>
      <c r="BRN211" s="26"/>
      <c r="BRO211" s="26"/>
      <c r="BRP211" s="26"/>
      <c r="BRQ211" s="26"/>
      <c r="BRR211" s="26"/>
      <c r="BRS211" s="26"/>
      <c r="BRT211" s="26"/>
      <c r="BRU211" s="26"/>
      <c r="BRV211" s="26"/>
      <c r="BRW211" s="26"/>
      <c r="BRX211" s="26"/>
      <c r="BRY211" s="26"/>
      <c r="BRZ211" s="26"/>
      <c r="BSA211" s="26"/>
      <c r="BSB211" s="26"/>
      <c r="BSC211" s="26"/>
      <c r="BSD211" s="26"/>
      <c r="BSE211" s="26"/>
      <c r="BSF211" s="26"/>
      <c r="BSG211" s="26"/>
      <c r="BSH211" s="26"/>
      <c r="BSI211" s="26"/>
      <c r="BSJ211" s="26"/>
      <c r="BSK211" s="26"/>
      <c r="BSL211" s="26"/>
      <c r="BSM211" s="26"/>
      <c r="BSN211" s="26"/>
      <c r="BSO211" s="26"/>
      <c r="BSP211" s="26"/>
      <c r="BSQ211" s="26"/>
      <c r="BSR211" s="26"/>
      <c r="BSS211" s="26"/>
      <c r="BST211" s="26"/>
      <c r="BSU211" s="26"/>
      <c r="BSV211" s="26"/>
      <c r="BSW211" s="26"/>
      <c r="BSX211" s="26"/>
      <c r="BSY211" s="26"/>
      <c r="BSZ211" s="26"/>
      <c r="BTA211" s="26"/>
      <c r="BTB211" s="26"/>
      <c r="BTC211" s="26"/>
      <c r="BTD211" s="26"/>
      <c r="BTE211" s="26"/>
      <c r="BTF211" s="26"/>
      <c r="BTG211" s="26"/>
      <c r="BTH211" s="26"/>
      <c r="BTI211" s="26"/>
      <c r="BTJ211" s="26"/>
      <c r="BTK211" s="26"/>
      <c r="BTL211" s="26"/>
      <c r="BTM211" s="26"/>
      <c r="BTN211" s="26"/>
      <c r="BTO211" s="26"/>
      <c r="BTP211" s="26"/>
      <c r="BTQ211" s="26"/>
      <c r="BTR211" s="26"/>
      <c r="BTS211" s="26"/>
      <c r="BTT211" s="26"/>
      <c r="BTU211" s="26"/>
      <c r="BTV211" s="26"/>
      <c r="BTW211" s="26"/>
      <c r="BTX211" s="26"/>
      <c r="BTY211" s="26"/>
      <c r="BTZ211" s="26"/>
      <c r="BUA211" s="26"/>
      <c r="BUB211" s="26"/>
      <c r="BUC211" s="26"/>
      <c r="BUD211" s="26"/>
      <c r="BUE211" s="26"/>
      <c r="BUF211" s="26"/>
      <c r="BUG211" s="26"/>
      <c r="BUH211" s="26"/>
      <c r="BUI211" s="26"/>
      <c r="BUJ211" s="26"/>
      <c r="BUK211" s="26"/>
      <c r="BUL211" s="26"/>
      <c r="BUM211" s="26"/>
      <c r="BUN211" s="26"/>
      <c r="BUO211" s="26"/>
      <c r="BUP211" s="26"/>
      <c r="BUQ211" s="26"/>
      <c r="BUR211" s="26"/>
      <c r="BUS211" s="26"/>
      <c r="BUT211" s="26"/>
      <c r="BUU211" s="26"/>
      <c r="BUV211" s="26"/>
      <c r="BUW211" s="26"/>
      <c r="BUX211" s="26"/>
      <c r="BUY211" s="26"/>
      <c r="BUZ211" s="26"/>
      <c r="BVA211" s="26"/>
      <c r="BVB211" s="26"/>
      <c r="BVC211" s="26"/>
      <c r="BVD211" s="26"/>
      <c r="BVE211" s="26"/>
      <c r="BVF211" s="26"/>
      <c r="BVG211" s="26"/>
      <c r="BVH211" s="26"/>
      <c r="BVI211" s="26"/>
      <c r="BVJ211" s="26"/>
      <c r="BVK211" s="26"/>
      <c r="BVL211" s="26"/>
      <c r="BVM211" s="26"/>
      <c r="BVN211" s="26"/>
      <c r="BVO211" s="26"/>
      <c r="BVP211" s="26"/>
      <c r="BVQ211" s="26"/>
      <c r="BVR211" s="26"/>
      <c r="BVS211" s="26"/>
      <c r="BVT211" s="26"/>
      <c r="BVU211" s="26"/>
      <c r="BVV211" s="26"/>
      <c r="BVW211" s="26"/>
      <c r="BVX211" s="26"/>
      <c r="BVY211" s="26"/>
      <c r="BVZ211" s="26"/>
      <c r="BWA211" s="26"/>
      <c r="BWB211" s="26"/>
      <c r="BWC211" s="26"/>
      <c r="BWD211" s="26"/>
      <c r="BWE211" s="26"/>
      <c r="BWF211" s="26"/>
      <c r="BWG211" s="26"/>
      <c r="BWH211" s="26"/>
      <c r="BWI211" s="26"/>
      <c r="BWJ211" s="26"/>
      <c r="BWK211" s="26"/>
      <c r="BWL211" s="26"/>
      <c r="BWM211" s="26"/>
      <c r="BWN211" s="26"/>
      <c r="BWO211" s="26"/>
      <c r="BWP211" s="26"/>
      <c r="BWQ211" s="26"/>
      <c r="BWR211" s="26"/>
      <c r="BWS211" s="26"/>
      <c r="BWT211" s="26"/>
      <c r="BWU211" s="26"/>
      <c r="BWV211" s="26"/>
      <c r="BWW211" s="26"/>
      <c r="BWX211" s="26"/>
      <c r="BWY211" s="26"/>
      <c r="BWZ211" s="26"/>
      <c r="BXA211" s="26"/>
      <c r="BXB211" s="26"/>
      <c r="BXC211" s="26"/>
      <c r="BXD211" s="26"/>
      <c r="BXE211" s="26"/>
      <c r="BXF211" s="26"/>
      <c r="BXG211" s="26"/>
      <c r="BXH211" s="26"/>
      <c r="BXI211" s="26"/>
      <c r="BXJ211" s="26"/>
      <c r="BXK211" s="26"/>
      <c r="BXL211" s="26"/>
      <c r="BXM211" s="26"/>
      <c r="BXN211" s="26"/>
      <c r="BXO211" s="26"/>
      <c r="BXP211" s="26"/>
      <c r="BXQ211" s="26"/>
      <c r="BXR211" s="26"/>
      <c r="BXS211" s="26"/>
      <c r="BXT211" s="26"/>
      <c r="BXU211" s="26"/>
      <c r="BXV211" s="26"/>
      <c r="BXW211" s="26"/>
      <c r="BXX211" s="26"/>
      <c r="BXY211" s="26"/>
      <c r="BXZ211" s="26"/>
      <c r="BYA211" s="26"/>
      <c r="BYB211" s="26"/>
      <c r="BYC211" s="26"/>
      <c r="BYD211" s="26"/>
      <c r="BYE211" s="26"/>
      <c r="BYF211" s="26"/>
      <c r="BYG211" s="26"/>
      <c r="BYH211" s="26"/>
      <c r="BYI211" s="26"/>
      <c r="BYJ211" s="26"/>
      <c r="BYK211" s="26"/>
      <c r="BYL211" s="26"/>
      <c r="BYM211" s="26"/>
      <c r="BYN211" s="26"/>
      <c r="BYO211" s="26"/>
      <c r="BYP211" s="26"/>
      <c r="BYQ211" s="26"/>
      <c r="BYR211" s="26"/>
      <c r="BYS211" s="26"/>
      <c r="BYT211" s="26"/>
      <c r="BYU211" s="26"/>
      <c r="BYV211" s="26"/>
      <c r="BYW211" s="26"/>
      <c r="BYX211" s="26"/>
      <c r="BYY211" s="26"/>
      <c r="BYZ211" s="26"/>
      <c r="BZA211" s="26"/>
      <c r="BZB211" s="26"/>
      <c r="BZC211" s="26"/>
      <c r="BZD211" s="26"/>
      <c r="BZE211" s="26"/>
      <c r="BZF211" s="26"/>
      <c r="BZG211" s="26"/>
      <c r="BZH211" s="26"/>
      <c r="BZI211" s="26"/>
      <c r="BZJ211" s="26"/>
      <c r="BZK211" s="26"/>
      <c r="BZL211" s="26"/>
      <c r="BZM211" s="26"/>
      <c r="BZN211" s="26"/>
      <c r="BZO211" s="26"/>
      <c r="BZP211" s="26"/>
      <c r="BZQ211" s="26"/>
      <c r="BZR211" s="26"/>
      <c r="BZS211" s="26"/>
      <c r="BZT211" s="26"/>
      <c r="BZU211" s="26"/>
      <c r="BZV211" s="26"/>
      <c r="BZW211" s="26"/>
      <c r="BZX211" s="26"/>
      <c r="BZY211" s="26"/>
      <c r="BZZ211" s="26"/>
      <c r="CAA211" s="26"/>
      <c r="CAB211" s="26"/>
      <c r="CAC211" s="26"/>
      <c r="CAD211" s="26"/>
      <c r="CAE211" s="26"/>
      <c r="CAF211" s="26"/>
      <c r="CAG211" s="26"/>
      <c r="CAH211" s="26"/>
      <c r="CAI211" s="26"/>
      <c r="CAJ211" s="26"/>
      <c r="CAK211" s="26"/>
      <c r="CAL211" s="26"/>
      <c r="CAM211" s="26"/>
      <c r="CAN211" s="26"/>
      <c r="CAO211" s="26"/>
      <c r="CAP211" s="26"/>
      <c r="CAQ211" s="26"/>
      <c r="CAR211" s="26"/>
      <c r="CAS211" s="26"/>
      <c r="CAT211" s="26"/>
      <c r="CAU211" s="26"/>
      <c r="CAV211" s="26"/>
      <c r="CAW211" s="26"/>
      <c r="CAX211" s="26"/>
      <c r="CAY211" s="26"/>
      <c r="CAZ211" s="26"/>
      <c r="CBA211" s="26"/>
      <c r="CBB211" s="26"/>
      <c r="CBC211" s="26"/>
      <c r="CBD211" s="26"/>
      <c r="CBE211" s="26"/>
      <c r="CBF211" s="26"/>
      <c r="CBG211" s="26"/>
      <c r="CBH211" s="26"/>
      <c r="CBI211" s="26"/>
    </row>
    <row r="212" spans="1:2089" ht="14" customHeight="1">
      <c r="A212" s="27">
        <v>211</v>
      </c>
      <c r="B212" s="27" t="s">
        <v>376</v>
      </c>
      <c r="C212" s="27">
        <v>2009</v>
      </c>
      <c r="D212" s="26" t="s">
        <v>141</v>
      </c>
      <c r="E212" s="26" t="s">
        <v>566</v>
      </c>
      <c r="F212" s="77" t="s">
        <v>175</v>
      </c>
      <c r="G212" s="2" t="s">
        <v>84</v>
      </c>
      <c r="H212" s="2" t="s">
        <v>275</v>
      </c>
      <c r="I212" s="2" t="s">
        <v>548</v>
      </c>
      <c r="J212" s="2" t="s">
        <v>604</v>
      </c>
      <c r="K212" s="2" t="s">
        <v>548</v>
      </c>
      <c r="L212" s="2" t="s">
        <v>548</v>
      </c>
      <c r="M212" s="2" t="s">
        <v>548</v>
      </c>
      <c r="N212" s="2" t="s">
        <v>70</v>
      </c>
      <c r="O212" s="2" t="s">
        <v>209</v>
      </c>
      <c r="P212" s="2" t="s">
        <v>612</v>
      </c>
      <c r="Q212" s="2" t="s">
        <v>42</v>
      </c>
      <c r="R212" s="102" t="s">
        <v>614</v>
      </c>
      <c r="S212" s="88">
        <v>0.57299999999999995</v>
      </c>
      <c r="T212" s="26">
        <v>185</v>
      </c>
      <c r="U212" s="77">
        <v>1</v>
      </c>
      <c r="V212" s="26">
        <v>0</v>
      </c>
      <c r="W212" s="26">
        <v>1</v>
      </c>
      <c r="X212" s="26">
        <v>0</v>
      </c>
      <c r="Y212" s="26">
        <v>1</v>
      </c>
      <c r="Z212" s="26">
        <v>1</v>
      </c>
      <c r="AA212" s="26">
        <v>1</v>
      </c>
      <c r="AB212" s="26">
        <v>1</v>
      </c>
      <c r="AC212" s="26" t="s">
        <v>70</v>
      </c>
      <c r="AD212" s="26" t="s">
        <v>70</v>
      </c>
      <c r="AE212" s="26" t="s">
        <v>70</v>
      </c>
      <c r="AF212" s="26" t="s">
        <v>70</v>
      </c>
      <c r="AG212" s="26" t="s">
        <v>70</v>
      </c>
      <c r="AH212" s="26" t="s">
        <v>70</v>
      </c>
      <c r="AI212" s="26" t="s">
        <v>70</v>
      </c>
      <c r="AJ212" s="26" t="s">
        <v>70</v>
      </c>
      <c r="AK212" s="26" t="s">
        <v>70</v>
      </c>
      <c r="AL212" s="26" t="s">
        <v>70</v>
      </c>
      <c r="AM212" s="35" t="s">
        <v>548</v>
      </c>
      <c r="AN212" s="32" t="s">
        <v>274</v>
      </c>
      <c r="AO212" s="35" t="s">
        <v>548</v>
      </c>
      <c r="AP212" s="35" t="s">
        <v>548</v>
      </c>
      <c r="AQ212" s="35" t="s">
        <v>548</v>
      </c>
      <c r="AR212" s="35" t="s">
        <v>548</v>
      </c>
      <c r="AS212" s="26" t="s">
        <v>175</v>
      </c>
      <c r="AT212" s="26" t="s">
        <v>70</v>
      </c>
      <c r="AU212" s="26" t="s">
        <v>70</v>
      </c>
      <c r="AV212" s="26">
        <v>7</v>
      </c>
    </row>
    <row r="213" spans="1:2089" ht="14" customHeight="1">
      <c r="A213" s="27">
        <v>212</v>
      </c>
      <c r="B213" s="27" t="s">
        <v>579</v>
      </c>
      <c r="C213" s="27">
        <v>2009</v>
      </c>
      <c r="D213" s="26" t="s">
        <v>18</v>
      </c>
      <c r="E213" s="26" t="s">
        <v>566</v>
      </c>
      <c r="F213" s="77" t="s">
        <v>175</v>
      </c>
      <c r="G213" s="2" t="s">
        <v>84</v>
      </c>
      <c r="H213" s="2" t="s">
        <v>30</v>
      </c>
      <c r="I213" s="2" t="s">
        <v>548</v>
      </c>
      <c r="J213" s="2" t="s">
        <v>604</v>
      </c>
      <c r="K213" s="2" t="s">
        <v>548</v>
      </c>
      <c r="L213" s="2" t="s">
        <v>548</v>
      </c>
      <c r="M213" s="2" t="s">
        <v>175</v>
      </c>
      <c r="N213" s="2" t="s">
        <v>210</v>
      </c>
      <c r="O213" s="2" t="s">
        <v>43</v>
      </c>
      <c r="P213" s="2" t="s">
        <v>210</v>
      </c>
      <c r="Q213" s="2" t="s">
        <v>42</v>
      </c>
      <c r="R213" s="79" t="s">
        <v>613</v>
      </c>
      <c r="S213" s="2">
        <v>0.95</v>
      </c>
      <c r="T213" s="26">
        <v>43</v>
      </c>
      <c r="U213" s="77">
        <v>1</v>
      </c>
      <c r="V213" s="26">
        <v>0</v>
      </c>
      <c r="W213" s="26">
        <v>0</v>
      </c>
      <c r="X213" s="26">
        <v>1</v>
      </c>
      <c r="Y213" s="26">
        <v>0</v>
      </c>
      <c r="Z213" s="26">
        <v>0</v>
      </c>
      <c r="AA213" s="26">
        <v>0</v>
      </c>
      <c r="AB213" s="26">
        <v>0</v>
      </c>
      <c r="AC213" s="26" t="s">
        <v>70</v>
      </c>
      <c r="AD213" s="26" t="s">
        <v>70</v>
      </c>
      <c r="AE213" s="26" t="s">
        <v>70</v>
      </c>
      <c r="AF213" s="26" t="s">
        <v>70</v>
      </c>
      <c r="AG213" s="33">
        <v>34</v>
      </c>
      <c r="AH213" s="33" t="s">
        <v>70</v>
      </c>
      <c r="AI213" s="33" t="s">
        <v>70</v>
      </c>
      <c r="AJ213" s="26" t="s">
        <v>234</v>
      </c>
      <c r="AK213" s="33" t="s">
        <v>70</v>
      </c>
      <c r="AL213" s="33" t="s">
        <v>70</v>
      </c>
      <c r="AM213" s="35" t="s">
        <v>548</v>
      </c>
      <c r="AN213" s="26" t="s">
        <v>274</v>
      </c>
      <c r="AO213" s="35" t="s">
        <v>548</v>
      </c>
      <c r="AP213" s="35" t="s">
        <v>548</v>
      </c>
      <c r="AQ213" s="35" t="s">
        <v>548</v>
      </c>
      <c r="AR213" s="35" t="s">
        <v>548</v>
      </c>
      <c r="AS213" s="26" t="s">
        <v>175</v>
      </c>
      <c r="AT213" s="26" t="s">
        <v>70</v>
      </c>
      <c r="AU213" s="26" t="s">
        <v>70</v>
      </c>
      <c r="AV213" s="26">
        <v>4</v>
      </c>
    </row>
    <row r="214" spans="1:2089" s="65" customFormat="1" ht="14" customHeight="1">
      <c r="A214" s="27">
        <v>213</v>
      </c>
      <c r="B214" s="27" t="s">
        <v>579</v>
      </c>
      <c r="C214" s="27">
        <v>2009</v>
      </c>
      <c r="D214" s="26" t="s">
        <v>18</v>
      </c>
      <c r="E214" s="26" t="s">
        <v>566</v>
      </c>
      <c r="F214" s="77" t="s">
        <v>175</v>
      </c>
      <c r="G214" s="2" t="s">
        <v>84</v>
      </c>
      <c r="H214" s="2" t="s">
        <v>30</v>
      </c>
      <c r="I214" s="2" t="s">
        <v>548</v>
      </c>
      <c r="J214" s="2" t="s">
        <v>604</v>
      </c>
      <c r="K214" s="2" t="s">
        <v>548</v>
      </c>
      <c r="L214" s="2" t="s">
        <v>548</v>
      </c>
      <c r="M214" s="2" t="s">
        <v>175</v>
      </c>
      <c r="N214" s="2" t="s">
        <v>609</v>
      </c>
      <c r="O214" s="2" t="s">
        <v>60</v>
      </c>
      <c r="P214" s="2" t="s">
        <v>609</v>
      </c>
      <c r="Q214" s="2" t="s">
        <v>42</v>
      </c>
      <c r="R214" s="79" t="s">
        <v>613</v>
      </c>
      <c r="S214" s="2">
        <v>0.69</v>
      </c>
      <c r="T214" s="26">
        <v>13</v>
      </c>
      <c r="U214" s="77">
        <v>1</v>
      </c>
      <c r="V214" s="26">
        <v>0</v>
      </c>
      <c r="W214" s="26">
        <v>0</v>
      </c>
      <c r="X214" s="26">
        <v>1</v>
      </c>
      <c r="Y214" s="26">
        <v>0</v>
      </c>
      <c r="Z214" s="26">
        <v>0</v>
      </c>
      <c r="AA214" s="26">
        <v>0</v>
      </c>
      <c r="AB214" s="26">
        <v>0</v>
      </c>
      <c r="AC214" s="26" t="s">
        <v>70</v>
      </c>
      <c r="AD214" s="26" t="s">
        <v>70</v>
      </c>
      <c r="AE214" s="26" t="s">
        <v>70</v>
      </c>
      <c r="AF214" s="26" t="s">
        <v>70</v>
      </c>
      <c r="AG214" s="33">
        <v>14</v>
      </c>
      <c r="AH214" s="33" t="s">
        <v>70</v>
      </c>
      <c r="AI214" s="33" t="s">
        <v>70</v>
      </c>
      <c r="AJ214" s="26" t="s">
        <v>233</v>
      </c>
      <c r="AK214" s="33" t="s">
        <v>70</v>
      </c>
      <c r="AL214" s="33" t="s">
        <v>70</v>
      </c>
      <c r="AM214" s="35" t="s">
        <v>548</v>
      </c>
      <c r="AN214" s="26" t="s">
        <v>274</v>
      </c>
      <c r="AO214" s="35" t="s">
        <v>548</v>
      </c>
      <c r="AP214" s="35" t="s">
        <v>548</v>
      </c>
      <c r="AQ214" s="35" t="s">
        <v>548</v>
      </c>
      <c r="AR214" s="35" t="s">
        <v>548</v>
      </c>
      <c r="AS214" s="26" t="s">
        <v>175</v>
      </c>
      <c r="AT214" s="26" t="s">
        <v>70</v>
      </c>
      <c r="AU214" s="26" t="s">
        <v>70</v>
      </c>
      <c r="AV214" s="26">
        <v>4</v>
      </c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  <c r="GR214" s="26"/>
      <c r="GS214" s="26"/>
      <c r="GT214" s="26"/>
      <c r="GU214" s="26"/>
      <c r="GV214" s="26"/>
      <c r="GW214" s="26"/>
      <c r="GX214" s="26"/>
      <c r="GY214" s="26"/>
      <c r="GZ214" s="26"/>
      <c r="HA214" s="26"/>
      <c r="HB214" s="26"/>
      <c r="HC214" s="26"/>
      <c r="HD214" s="26"/>
      <c r="HE214" s="26"/>
      <c r="HF214" s="26"/>
      <c r="HG214" s="26"/>
      <c r="HH214" s="26"/>
      <c r="HI214" s="26"/>
      <c r="HJ214" s="26"/>
      <c r="HK214" s="26"/>
      <c r="HL214" s="26"/>
      <c r="HM214" s="26"/>
      <c r="HN214" s="26"/>
      <c r="HO214" s="26"/>
      <c r="HP214" s="26"/>
      <c r="HQ214" s="26"/>
      <c r="HR214" s="26"/>
      <c r="HS214" s="26"/>
      <c r="HT214" s="26"/>
      <c r="HU214" s="26"/>
      <c r="HV214" s="26"/>
      <c r="HW214" s="26"/>
      <c r="HX214" s="26"/>
      <c r="HY214" s="26"/>
      <c r="HZ214" s="26"/>
      <c r="IA214" s="26"/>
      <c r="IB214" s="26"/>
      <c r="IC214" s="26"/>
      <c r="ID214" s="26"/>
      <c r="IE214" s="26"/>
      <c r="IF214" s="26"/>
      <c r="IG214" s="26"/>
      <c r="IH214" s="26"/>
      <c r="II214" s="26"/>
      <c r="IJ214" s="26"/>
      <c r="IK214" s="26"/>
      <c r="IL214" s="26"/>
      <c r="IM214" s="26"/>
      <c r="IN214" s="26"/>
      <c r="IO214" s="26"/>
      <c r="IP214" s="26"/>
      <c r="IQ214" s="26"/>
      <c r="IR214" s="26"/>
      <c r="IS214" s="26"/>
      <c r="IT214" s="26"/>
      <c r="IU214" s="26"/>
      <c r="IV214" s="26"/>
      <c r="IW214" s="26"/>
      <c r="IX214" s="26"/>
      <c r="IY214" s="26"/>
      <c r="IZ214" s="26"/>
      <c r="JA214" s="26"/>
      <c r="JB214" s="26"/>
      <c r="JC214" s="26"/>
      <c r="JD214" s="26"/>
      <c r="JE214" s="26"/>
      <c r="JF214" s="26"/>
      <c r="JG214" s="26"/>
      <c r="JH214" s="26"/>
      <c r="JI214" s="26"/>
      <c r="JJ214" s="26"/>
      <c r="JK214" s="26"/>
      <c r="JL214" s="26"/>
      <c r="JM214" s="26"/>
      <c r="JN214" s="26"/>
      <c r="JO214" s="26"/>
      <c r="JP214" s="26"/>
      <c r="JQ214" s="26"/>
      <c r="JR214" s="26"/>
      <c r="JS214" s="26"/>
      <c r="JT214" s="26"/>
      <c r="JU214" s="26"/>
      <c r="JV214" s="26"/>
      <c r="JW214" s="26"/>
      <c r="JX214" s="26"/>
      <c r="JY214" s="26"/>
      <c r="JZ214" s="26"/>
      <c r="KA214" s="26"/>
      <c r="KB214" s="26"/>
      <c r="KC214" s="26"/>
      <c r="KD214" s="26"/>
      <c r="KE214" s="26"/>
      <c r="KF214" s="26"/>
      <c r="KG214" s="26"/>
      <c r="KH214" s="26"/>
      <c r="KI214" s="26"/>
      <c r="KJ214" s="26"/>
      <c r="KK214" s="26"/>
      <c r="KL214" s="26"/>
      <c r="KM214" s="26"/>
      <c r="KN214" s="26"/>
      <c r="KO214" s="26"/>
      <c r="KP214" s="26"/>
      <c r="KQ214" s="26"/>
      <c r="KR214" s="26"/>
      <c r="KS214" s="26"/>
      <c r="KT214" s="26"/>
      <c r="KU214" s="26"/>
      <c r="KV214" s="26"/>
      <c r="KW214" s="26"/>
      <c r="KX214" s="26"/>
      <c r="KY214" s="26"/>
      <c r="KZ214" s="26"/>
      <c r="LA214" s="26"/>
      <c r="LB214" s="26"/>
      <c r="LC214" s="26"/>
      <c r="LD214" s="26"/>
      <c r="LE214" s="26"/>
      <c r="LF214" s="26"/>
      <c r="LG214" s="26"/>
      <c r="LH214" s="26"/>
      <c r="LI214" s="26"/>
      <c r="LJ214" s="26"/>
      <c r="LK214" s="26"/>
      <c r="LL214" s="26"/>
      <c r="LM214" s="26"/>
      <c r="LN214" s="26"/>
      <c r="LO214" s="26"/>
      <c r="LP214" s="26"/>
      <c r="LQ214" s="26"/>
      <c r="LR214" s="26"/>
      <c r="LS214" s="26"/>
      <c r="LT214" s="26"/>
      <c r="LU214" s="26"/>
      <c r="LV214" s="26"/>
      <c r="LW214" s="26"/>
      <c r="LX214" s="26"/>
      <c r="LY214" s="26"/>
      <c r="LZ214" s="26"/>
      <c r="MA214" s="26"/>
      <c r="MB214" s="26"/>
      <c r="MC214" s="26"/>
      <c r="MD214" s="26"/>
      <c r="ME214" s="26"/>
      <c r="MF214" s="26"/>
      <c r="MG214" s="26"/>
      <c r="MH214" s="26"/>
      <c r="MI214" s="26"/>
      <c r="MJ214" s="26"/>
      <c r="MK214" s="26"/>
      <c r="ML214" s="26"/>
      <c r="MM214" s="26"/>
      <c r="MN214" s="26"/>
      <c r="MO214" s="26"/>
      <c r="MP214" s="26"/>
      <c r="MQ214" s="26"/>
      <c r="MR214" s="26"/>
      <c r="MS214" s="26"/>
      <c r="MT214" s="26"/>
      <c r="MU214" s="26"/>
      <c r="MV214" s="26"/>
      <c r="MW214" s="26"/>
      <c r="MX214" s="26"/>
      <c r="MY214" s="26"/>
      <c r="MZ214" s="26"/>
      <c r="NA214" s="26"/>
      <c r="NB214" s="26"/>
      <c r="NC214" s="26"/>
      <c r="ND214" s="26"/>
      <c r="NE214" s="26"/>
      <c r="NF214" s="26"/>
      <c r="NG214" s="26"/>
      <c r="NH214" s="26"/>
      <c r="NI214" s="26"/>
      <c r="NJ214" s="26"/>
      <c r="NK214" s="26"/>
      <c r="NL214" s="26"/>
      <c r="NM214" s="26"/>
      <c r="NN214" s="26"/>
      <c r="NO214" s="26"/>
      <c r="NP214" s="26"/>
      <c r="NQ214" s="26"/>
      <c r="NR214" s="26"/>
      <c r="NS214" s="26"/>
      <c r="NT214" s="26"/>
      <c r="NU214" s="26"/>
      <c r="NV214" s="26"/>
      <c r="NW214" s="26"/>
      <c r="NX214" s="26"/>
      <c r="NY214" s="26"/>
      <c r="NZ214" s="26"/>
      <c r="OA214" s="26"/>
      <c r="OB214" s="26"/>
      <c r="OC214" s="26"/>
      <c r="OD214" s="26"/>
      <c r="OE214" s="26"/>
      <c r="OF214" s="26"/>
      <c r="OG214" s="26"/>
      <c r="OH214" s="26"/>
      <c r="OI214" s="26"/>
      <c r="OJ214" s="26"/>
      <c r="OK214" s="26"/>
      <c r="OL214" s="26"/>
      <c r="OM214" s="26"/>
      <c r="ON214" s="26"/>
      <c r="OO214" s="26"/>
      <c r="OP214" s="26"/>
      <c r="OQ214" s="26"/>
      <c r="OR214" s="26"/>
      <c r="OS214" s="26"/>
      <c r="OT214" s="26"/>
      <c r="OU214" s="26"/>
      <c r="OV214" s="26"/>
      <c r="OW214" s="26"/>
      <c r="OX214" s="26"/>
      <c r="OY214" s="26"/>
      <c r="OZ214" s="26"/>
      <c r="PA214" s="26"/>
      <c r="PB214" s="26"/>
      <c r="PC214" s="26"/>
      <c r="PD214" s="26"/>
      <c r="PE214" s="26"/>
      <c r="PF214" s="26"/>
      <c r="PG214" s="26"/>
      <c r="PH214" s="26"/>
      <c r="PI214" s="26"/>
      <c r="PJ214" s="26"/>
      <c r="PK214" s="26"/>
      <c r="PL214" s="26"/>
      <c r="PM214" s="26"/>
      <c r="PN214" s="26"/>
      <c r="PO214" s="26"/>
      <c r="PP214" s="26"/>
      <c r="PQ214" s="26"/>
      <c r="PR214" s="26"/>
      <c r="PS214" s="26"/>
      <c r="PT214" s="26"/>
      <c r="PU214" s="26"/>
      <c r="PV214" s="26"/>
      <c r="PW214" s="26"/>
      <c r="PX214" s="26"/>
      <c r="PY214" s="26"/>
      <c r="PZ214" s="26"/>
      <c r="QA214" s="26"/>
      <c r="QB214" s="26"/>
      <c r="QC214" s="26"/>
      <c r="QD214" s="26"/>
      <c r="QE214" s="26"/>
      <c r="QF214" s="26"/>
      <c r="QG214" s="26"/>
      <c r="QH214" s="26"/>
      <c r="QI214" s="26"/>
      <c r="QJ214" s="26"/>
      <c r="QK214" s="26"/>
      <c r="QL214" s="26"/>
      <c r="QM214" s="26"/>
      <c r="QN214" s="26"/>
      <c r="QO214" s="26"/>
      <c r="QP214" s="26"/>
      <c r="QQ214" s="26"/>
      <c r="QR214" s="26"/>
      <c r="QS214" s="26"/>
      <c r="QT214" s="26"/>
      <c r="QU214" s="26"/>
      <c r="QV214" s="26"/>
      <c r="QW214" s="26"/>
      <c r="QX214" s="26"/>
      <c r="QY214" s="26"/>
      <c r="QZ214" s="26"/>
      <c r="RA214" s="26"/>
      <c r="RB214" s="26"/>
      <c r="RC214" s="26"/>
      <c r="RD214" s="26"/>
      <c r="RE214" s="26"/>
      <c r="RF214" s="26"/>
      <c r="RG214" s="26"/>
      <c r="RH214" s="26"/>
      <c r="RI214" s="26"/>
      <c r="RJ214" s="26"/>
      <c r="RK214" s="26"/>
      <c r="RL214" s="26"/>
      <c r="RM214" s="26"/>
      <c r="RN214" s="26"/>
      <c r="RO214" s="26"/>
      <c r="RP214" s="26"/>
      <c r="RQ214" s="26"/>
      <c r="RR214" s="26"/>
      <c r="RS214" s="26"/>
      <c r="RT214" s="26"/>
      <c r="RU214" s="26"/>
      <c r="RV214" s="26"/>
      <c r="RW214" s="26"/>
      <c r="RX214" s="26"/>
      <c r="RY214" s="26"/>
      <c r="RZ214" s="26"/>
      <c r="SA214" s="26"/>
      <c r="SB214" s="26"/>
      <c r="SC214" s="26"/>
      <c r="SD214" s="26"/>
      <c r="SE214" s="26"/>
      <c r="SF214" s="26"/>
      <c r="SG214" s="26"/>
      <c r="SH214" s="26"/>
      <c r="SI214" s="26"/>
      <c r="SJ214" s="26"/>
      <c r="SK214" s="26"/>
      <c r="SL214" s="26"/>
      <c r="SM214" s="26"/>
      <c r="SN214" s="26"/>
      <c r="SO214" s="26"/>
      <c r="SP214" s="26"/>
      <c r="SQ214" s="26"/>
      <c r="SR214" s="26"/>
      <c r="SS214" s="26"/>
      <c r="ST214" s="26"/>
      <c r="SU214" s="26"/>
      <c r="SV214" s="26"/>
      <c r="SW214" s="26"/>
      <c r="SX214" s="26"/>
      <c r="SY214" s="26"/>
      <c r="SZ214" s="26"/>
      <c r="TA214" s="26"/>
      <c r="TB214" s="26"/>
      <c r="TC214" s="26"/>
      <c r="TD214" s="26"/>
      <c r="TE214" s="26"/>
      <c r="TF214" s="26"/>
      <c r="TG214" s="26"/>
      <c r="TH214" s="26"/>
      <c r="TI214" s="26"/>
      <c r="TJ214" s="26"/>
      <c r="TK214" s="26"/>
      <c r="TL214" s="26"/>
      <c r="TM214" s="26"/>
      <c r="TN214" s="26"/>
      <c r="TO214" s="26"/>
      <c r="TP214" s="26"/>
      <c r="TQ214" s="26"/>
      <c r="TR214" s="26"/>
      <c r="TS214" s="26"/>
      <c r="TT214" s="26"/>
      <c r="TU214" s="26"/>
      <c r="TV214" s="26"/>
      <c r="TW214" s="26"/>
      <c r="TX214" s="26"/>
      <c r="TY214" s="26"/>
      <c r="TZ214" s="26"/>
      <c r="UA214" s="26"/>
      <c r="UB214" s="26"/>
      <c r="UC214" s="26"/>
      <c r="UD214" s="26"/>
      <c r="UE214" s="26"/>
      <c r="UF214" s="26"/>
      <c r="UG214" s="26"/>
      <c r="UH214" s="26"/>
      <c r="UI214" s="26"/>
      <c r="UJ214" s="26"/>
      <c r="UK214" s="26"/>
      <c r="UL214" s="26"/>
      <c r="UM214" s="26"/>
      <c r="UN214" s="26"/>
      <c r="UO214" s="26"/>
      <c r="UP214" s="26"/>
      <c r="UQ214" s="26"/>
      <c r="UR214" s="26"/>
      <c r="US214" s="26"/>
      <c r="UT214" s="26"/>
      <c r="UU214" s="26"/>
      <c r="UV214" s="26"/>
      <c r="UW214" s="26"/>
      <c r="UX214" s="26"/>
      <c r="UY214" s="26"/>
      <c r="UZ214" s="26"/>
      <c r="VA214" s="26"/>
      <c r="VB214" s="26"/>
      <c r="VC214" s="26"/>
      <c r="VD214" s="26"/>
      <c r="VE214" s="26"/>
      <c r="VF214" s="26"/>
      <c r="VG214" s="26"/>
      <c r="VH214" s="26"/>
      <c r="VI214" s="26"/>
      <c r="VJ214" s="26"/>
      <c r="VK214" s="26"/>
      <c r="VL214" s="26"/>
      <c r="VM214" s="26"/>
      <c r="VN214" s="26"/>
      <c r="VO214" s="26"/>
      <c r="VP214" s="26"/>
      <c r="VQ214" s="26"/>
      <c r="VR214" s="26"/>
      <c r="VS214" s="26"/>
      <c r="VT214" s="26"/>
      <c r="VU214" s="26"/>
      <c r="VV214" s="26"/>
      <c r="VW214" s="26"/>
      <c r="VX214" s="26"/>
      <c r="VY214" s="26"/>
      <c r="VZ214" s="26"/>
      <c r="WA214" s="26"/>
      <c r="WB214" s="26"/>
      <c r="WC214" s="26"/>
      <c r="WD214" s="26"/>
      <c r="WE214" s="26"/>
      <c r="WF214" s="26"/>
      <c r="WG214" s="26"/>
      <c r="WH214" s="26"/>
      <c r="WI214" s="26"/>
      <c r="WJ214" s="26"/>
      <c r="WK214" s="26"/>
      <c r="WL214" s="26"/>
      <c r="WM214" s="26"/>
      <c r="WN214" s="26"/>
      <c r="WO214" s="26"/>
      <c r="WP214" s="26"/>
      <c r="WQ214" s="26"/>
      <c r="WR214" s="26"/>
      <c r="WS214" s="26"/>
      <c r="WT214" s="26"/>
      <c r="WU214" s="26"/>
      <c r="WV214" s="26"/>
      <c r="WW214" s="26"/>
      <c r="WX214" s="26"/>
      <c r="WY214" s="26"/>
      <c r="WZ214" s="26"/>
      <c r="XA214" s="26"/>
      <c r="XB214" s="26"/>
      <c r="XC214" s="26"/>
      <c r="XD214" s="26"/>
      <c r="XE214" s="26"/>
      <c r="XF214" s="26"/>
      <c r="XG214" s="26"/>
      <c r="XH214" s="26"/>
      <c r="XI214" s="26"/>
      <c r="XJ214" s="26"/>
      <c r="XK214" s="26"/>
      <c r="XL214" s="26"/>
      <c r="XM214" s="26"/>
      <c r="XN214" s="26"/>
      <c r="XO214" s="26"/>
      <c r="XP214" s="26"/>
      <c r="XQ214" s="26"/>
      <c r="XR214" s="26"/>
      <c r="XS214" s="26"/>
      <c r="XT214" s="26"/>
      <c r="XU214" s="26"/>
      <c r="XV214" s="26"/>
      <c r="XW214" s="26"/>
      <c r="XX214" s="26"/>
      <c r="XY214" s="26"/>
      <c r="XZ214" s="26"/>
      <c r="YA214" s="26"/>
      <c r="YB214" s="26"/>
      <c r="YC214" s="26"/>
      <c r="YD214" s="26"/>
      <c r="YE214" s="26"/>
      <c r="YF214" s="26"/>
      <c r="YG214" s="26"/>
      <c r="YH214" s="26"/>
      <c r="YI214" s="26"/>
      <c r="YJ214" s="26"/>
      <c r="YK214" s="26"/>
      <c r="YL214" s="26"/>
      <c r="YM214" s="26"/>
      <c r="YN214" s="26"/>
      <c r="YO214" s="26"/>
      <c r="YP214" s="26"/>
      <c r="YQ214" s="26"/>
      <c r="YR214" s="26"/>
      <c r="YS214" s="26"/>
      <c r="YT214" s="26"/>
      <c r="YU214" s="26"/>
      <c r="YV214" s="26"/>
      <c r="YW214" s="26"/>
      <c r="YX214" s="26"/>
      <c r="YY214" s="26"/>
      <c r="YZ214" s="26"/>
      <c r="ZA214" s="26"/>
      <c r="ZB214" s="26"/>
      <c r="ZC214" s="26"/>
      <c r="ZD214" s="26"/>
      <c r="ZE214" s="26"/>
      <c r="ZF214" s="26"/>
      <c r="ZG214" s="26"/>
      <c r="ZH214" s="26"/>
      <c r="ZI214" s="26"/>
      <c r="ZJ214" s="26"/>
      <c r="ZK214" s="26"/>
      <c r="ZL214" s="26"/>
      <c r="ZM214" s="26"/>
      <c r="ZN214" s="26"/>
      <c r="ZO214" s="26"/>
      <c r="ZP214" s="26"/>
      <c r="ZQ214" s="26"/>
      <c r="ZR214" s="26"/>
      <c r="ZS214" s="26"/>
      <c r="ZT214" s="26"/>
      <c r="ZU214" s="26"/>
      <c r="ZV214" s="26"/>
      <c r="ZW214" s="26"/>
      <c r="ZX214" s="26"/>
      <c r="ZY214" s="26"/>
      <c r="ZZ214" s="26"/>
      <c r="AAA214" s="26"/>
      <c r="AAB214" s="26"/>
      <c r="AAC214" s="26"/>
      <c r="AAD214" s="26"/>
      <c r="AAE214" s="26"/>
      <c r="AAF214" s="26"/>
      <c r="AAG214" s="26"/>
      <c r="AAH214" s="26"/>
      <c r="AAI214" s="26"/>
      <c r="AAJ214" s="26"/>
      <c r="AAK214" s="26"/>
      <c r="AAL214" s="26"/>
      <c r="AAM214" s="26"/>
      <c r="AAN214" s="26"/>
      <c r="AAO214" s="26"/>
      <c r="AAP214" s="26"/>
      <c r="AAQ214" s="26"/>
      <c r="AAR214" s="26"/>
      <c r="AAS214" s="26"/>
      <c r="AAT214" s="26"/>
      <c r="AAU214" s="26"/>
      <c r="AAV214" s="26"/>
      <c r="AAW214" s="26"/>
      <c r="AAX214" s="26"/>
      <c r="AAY214" s="26"/>
      <c r="AAZ214" s="26"/>
      <c r="ABA214" s="26"/>
      <c r="ABB214" s="26"/>
      <c r="ABC214" s="26"/>
      <c r="ABD214" s="26"/>
      <c r="ABE214" s="26"/>
      <c r="ABF214" s="26"/>
      <c r="ABG214" s="26"/>
      <c r="ABH214" s="26"/>
      <c r="ABI214" s="26"/>
      <c r="ABJ214" s="26"/>
      <c r="ABK214" s="26"/>
      <c r="ABL214" s="26"/>
      <c r="ABM214" s="26"/>
      <c r="ABN214" s="26"/>
      <c r="ABO214" s="26"/>
      <c r="ABP214" s="26"/>
      <c r="ABQ214" s="26"/>
      <c r="ABR214" s="26"/>
      <c r="ABS214" s="26"/>
      <c r="ABT214" s="26"/>
      <c r="ABU214" s="26"/>
      <c r="ABV214" s="26"/>
      <c r="ABW214" s="26"/>
      <c r="ABX214" s="26"/>
      <c r="ABY214" s="26"/>
      <c r="ABZ214" s="26"/>
      <c r="ACA214" s="26"/>
      <c r="ACB214" s="26"/>
      <c r="ACC214" s="26"/>
      <c r="ACD214" s="26"/>
      <c r="ACE214" s="26"/>
      <c r="ACF214" s="26"/>
      <c r="ACG214" s="26"/>
      <c r="ACH214" s="26"/>
      <c r="ACI214" s="26"/>
      <c r="ACJ214" s="26"/>
      <c r="ACK214" s="26"/>
      <c r="ACL214" s="26"/>
      <c r="ACM214" s="26"/>
      <c r="ACN214" s="26"/>
      <c r="ACO214" s="26"/>
      <c r="ACP214" s="26"/>
      <c r="ACQ214" s="26"/>
      <c r="ACR214" s="26"/>
      <c r="ACS214" s="26"/>
      <c r="ACT214" s="26"/>
      <c r="ACU214" s="26"/>
      <c r="ACV214" s="26"/>
      <c r="ACW214" s="26"/>
      <c r="ACX214" s="26"/>
      <c r="ACY214" s="26"/>
      <c r="ACZ214" s="26"/>
      <c r="ADA214" s="26"/>
      <c r="ADB214" s="26"/>
      <c r="ADC214" s="26"/>
      <c r="ADD214" s="26"/>
      <c r="ADE214" s="26"/>
      <c r="ADF214" s="26"/>
      <c r="ADG214" s="26"/>
      <c r="ADH214" s="26"/>
      <c r="ADI214" s="26"/>
      <c r="ADJ214" s="26"/>
      <c r="ADK214" s="26"/>
      <c r="ADL214" s="26"/>
      <c r="ADM214" s="26"/>
      <c r="ADN214" s="26"/>
      <c r="ADO214" s="26"/>
      <c r="ADP214" s="26"/>
      <c r="ADQ214" s="26"/>
      <c r="ADR214" s="26"/>
      <c r="ADS214" s="26"/>
      <c r="ADT214" s="26"/>
      <c r="ADU214" s="26"/>
      <c r="ADV214" s="26"/>
      <c r="ADW214" s="26"/>
      <c r="ADX214" s="26"/>
      <c r="ADY214" s="26"/>
      <c r="ADZ214" s="26"/>
      <c r="AEA214" s="26"/>
      <c r="AEB214" s="26"/>
      <c r="AEC214" s="26"/>
      <c r="AED214" s="26"/>
      <c r="AEE214" s="26"/>
      <c r="AEF214" s="26"/>
      <c r="AEG214" s="26"/>
      <c r="AEH214" s="26"/>
      <c r="AEI214" s="26"/>
      <c r="AEJ214" s="26"/>
      <c r="AEK214" s="26"/>
      <c r="AEL214" s="26"/>
      <c r="AEM214" s="26"/>
      <c r="AEN214" s="26"/>
      <c r="AEO214" s="26"/>
      <c r="AEP214" s="26"/>
      <c r="AEQ214" s="26"/>
      <c r="AER214" s="26"/>
      <c r="AES214" s="26"/>
      <c r="AET214" s="26"/>
      <c r="AEU214" s="26"/>
      <c r="AEV214" s="26"/>
      <c r="AEW214" s="26"/>
      <c r="AEX214" s="26"/>
      <c r="AEY214" s="26"/>
      <c r="AEZ214" s="26"/>
      <c r="AFA214" s="26"/>
      <c r="AFB214" s="26"/>
      <c r="AFC214" s="26"/>
      <c r="AFD214" s="26"/>
      <c r="AFE214" s="26"/>
      <c r="AFF214" s="26"/>
      <c r="AFG214" s="26"/>
      <c r="AFH214" s="26"/>
      <c r="AFI214" s="26"/>
      <c r="AFJ214" s="26"/>
      <c r="AFK214" s="26"/>
      <c r="AFL214" s="26"/>
      <c r="AFM214" s="26"/>
      <c r="AFN214" s="26"/>
      <c r="AFO214" s="26"/>
      <c r="AFP214" s="26"/>
      <c r="AFQ214" s="26"/>
      <c r="AFR214" s="26"/>
      <c r="AFS214" s="26"/>
      <c r="AFT214" s="26"/>
      <c r="AFU214" s="26"/>
      <c r="AFV214" s="26"/>
      <c r="AFW214" s="26"/>
      <c r="AFX214" s="26"/>
      <c r="AFY214" s="26"/>
      <c r="AFZ214" s="26"/>
      <c r="AGA214" s="26"/>
      <c r="AGB214" s="26"/>
      <c r="AGC214" s="26"/>
      <c r="AGD214" s="26"/>
      <c r="AGE214" s="26"/>
      <c r="AGF214" s="26"/>
      <c r="AGG214" s="26"/>
      <c r="AGH214" s="26"/>
      <c r="AGI214" s="26"/>
      <c r="AGJ214" s="26"/>
      <c r="AGK214" s="26"/>
      <c r="AGL214" s="26"/>
      <c r="AGM214" s="26"/>
      <c r="AGN214" s="26"/>
      <c r="AGO214" s="26"/>
      <c r="AGP214" s="26"/>
      <c r="AGQ214" s="26"/>
      <c r="AGR214" s="26"/>
      <c r="AGS214" s="26"/>
      <c r="AGT214" s="26"/>
      <c r="AGU214" s="26"/>
      <c r="AGV214" s="26"/>
      <c r="AGW214" s="26"/>
      <c r="AGX214" s="26"/>
      <c r="AGY214" s="26"/>
      <c r="AGZ214" s="26"/>
      <c r="AHA214" s="26"/>
      <c r="AHB214" s="26"/>
      <c r="AHC214" s="26"/>
      <c r="AHD214" s="26"/>
      <c r="AHE214" s="26"/>
      <c r="AHF214" s="26"/>
      <c r="AHG214" s="26"/>
      <c r="AHH214" s="26"/>
      <c r="AHI214" s="26"/>
      <c r="AHJ214" s="26"/>
      <c r="AHK214" s="26"/>
      <c r="AHL214" s="26"/>
      <c r="AHM214" s="26"/>
      <c r="AHN214" s="26"/>
      <c r="AHO214" s="26"/>
      <c r="AHP214" s="26"/>
      <c r="AHQ214" s="26"/>
      <c r="AHR214" s="26"/>
      <c r="AHS214" s="26"/>
      <c r="AHT214" s="26"/>
      <c r="AHU214" s="26"/>
      <c r="AHV214" s="26"/>
      <c r="AHW214" s="26"/>
      <c r="AHX214" s="26"/>
      <c r="AHY214" s="26"/>
      <c r="AHZ214" s="26"/>
      <c r="AIA214" s="26"/>
      <c r="AIB214" s="26"/>
      <c r="AIC214" s="26"/>
      <c r="AID214" s="26"/>
      <c r="AIE214" s="26"/>
      <c r="AIF214" s="26"/>
      <c r="AIG214" s="26"/>
      <c r="AIH214" s="26"/>
      <c r="AII214" s="26"/>
      <c r="AIJ214" s="26"/>
      <c r="AIK214" s="26"/>
      <c r="AIL214" s="26"/>
      <c r="AIM214" s="26"/>
      <c r="AIN214" s="26"/>
      <c r="AIO214" s="26"/>
      <c r="AIP214" s="26"/>
      <c r="AIQ214" s="26"/>
      <c r="AIR214" s="26"/>
      <c r="AIS214" s="26"/>
      <c r="AIT214" s="26"/>
      <c r="AIU214" s="26"/>
      <c r="AIV214" s="26"/>
      <c r="AIW214" s="26"/>
      <c r="AIX214" s="26"/>
      <c r="AIY214" s="26"/>
      <c r="AIZ214" s="26"/>
      <c r="AJA214" s="26"/>
      <c r="AJB214" s="26"/>
      <c r="AJC214" s="26"/>
      <c r="AJD214" s="26"/>
      <c r="AJE214" s="26"/>
      <c r="AJF214" s="26"/>
      <c r="AJG214" s="26"/>
      <c r="AJH214" s="26"/>
      <c r="AJI214" s="26"/>
      <c r="AJJ214" s="26"/>
      <c r="AJK214" s="26"/>
      <c r="AJL214" s="26"/>
      <c r="AJM214" s="26"/>
      <c r="AJN214" s="26"/>
      <c r="AJO214" s="26"/>
      <c r="AJP214" s="26"/>
      <c r="AJQ214" s="26"/>
      <c r="AJR214" s="26"/>
      <c r="AJS214" s="26"/>
      <c r="AJT214" s="26"/>
      <c r="AJU214" s="26"/>
      <c r="AJV214" s="26"/>
      <c r="AJW214" s="26"/>
      <c r="AJX214" s="26"/>
      <c r="AJY214" s="26"/>
      <c r="AJZ214" s="26"/>
      <c r="AKA214" s="26"/>
      <c r="AKB214" s="26"/>
      <c r="AKC214" s="26"/>
      <c r="AKD214" s="26"/>
      <c r="AKE214" s="26"/>
      <c r="AKF214" s="26"/>
      <c r="AKG214" s="26"/>
      <c r="AKH214" s="26"/>
      <c r="AKI214" s="26"/>
      <c r="AKJ214" s="26"/>
      <c r="AKK214" s="26"/>
      <c r="AKL214" s="26"/>
      <c r="AKM214" s="26"/>
      <c r="AKN214" s="26"/>
      <c r="AKO214" s="26"/>
      <c r="AKP214" s="26"/>
      <c r="AKQ214" s="26"/>
      <c r="AKR214" s="26"/>
      <c r="AKS214" s="26"/>
      <c r="AKT214" s="26"/>
      <c r="AKU214" s="26"/>
      <c r="AKV214" s="26"/>
      <c r="AKW214" s="26"/>
      <c r="AKX214" s="26"/>
      <c r="AKY214" s="26"/>
      <c r="AKZ214" s="26"/>
      <c r="ALA214" s="26"/>
      <c r="ALB214" s="26"/>
      <c r="ALC214" s="26"/>
      <c r="ALD214" s="26"/>
      <c r="ALE214" s="26"/>
      <c r="ALF214" s="26"/>
      <c r="ALG214" s="26"/>
      <c r="ALH214" s="26"/>
      <c r="ALI214" s="26"/>
      <c r="ALJ214" s="26"/>
      <c r="ALK214" s="26"/>
      <c r="ALL214" s="26"/>
      <c r="ALM214" s="26"/>
      <c r="ALN214" s="26"/>
      <c r="ALO214" s="26"/>
      <c r="ALP214" s="26"/>
      <c r="ALQ214" s="26"/>
      <c r="ALR214" s="26"/>
      <c r="ALS214" s="26"/>
      <c r="ALT214" s="26"/>
      <c r="ALU214" s="26"/>
      <c r="ALV214" s="26"/>
      <c r="ALW214" s="26"/>
      <c r="ALX214" s="26"/>
      <c r="ALY214" s="26"/>
      <c r="ALZ214" s="26"/>
      <c r="AMA214" s="26"/>
      <c r="AMB214" s="26"/>
      <c r="AMC214" s="26"/>
      <c r="AMD214" s="26"/>
      <c r="AME214" s="26"/>
      <c r="AMF214" s="26"/>
      <c r="AMG214" s="26"/>
      <c r="AMH214" s="26"/>
      <c r="AMI214" s="26"/>
      <c r="AMJ214" s="26"/>
      <c r="AMK214" s="26"/>
      <c r="AML214" s="26"/>
      <c r="AMM214" s="26"/>
      <c r="AMN214" s="26"/>
      <c r="AMO214" s="26"/>
      <c r="AMP214" s="26"/>
      <c r="AMQ214" s="26"/>
      <c r="AMR214" s="26"/>
      <c r="AMS214" s="26"/>
      <c r="AMT214" s="26"/>
      <c r="AMU214" s="26"/>
      <c r="AMV214" s="26"/>
      <c r="AMW214" s="26"/>
      <c r="AMX214" s="26"/>
      <c r="AMY214" s="26"/>
      <c r="AMZ214" s="26"/>
      <c r="ANA214" s="26"/>
      <c r="ANB214" s="26"/>
      <c r="ANC214" s="26"/>
      <c r="AND214" s="26"/>
      <c r="ANE214" s="26"/>
      <c r="ANF214" s="26"/>
      <c r="ANG214" s="26"/>
      <c r="ANH214" s="26"/>
      <c r="ANI214" s="26"/>
      <c r="ANJ214" s="26"/>
      <c r="ANK214" s="26"/>
      <c r="ANL214" s="26"/>
      <c r="ANM214" s="26"/>
      <c r="ANN214" s="26"/>
      <c r="ANO214" s="26"/>
      <c r="ANP214" s="26"/>
      <c r="ANQ214" s="26"/>
      <c r="ANR214" s="26"/>
      <c r="ANS214" s="26"/>
      <c r="ANT214" s="26"/>
      <c r="ANU214" s="26"/>
      <c r="ANV214" s="26"/>
      <c r="ANW214" s="26"/>
      <c r="ANX214" s="26"/>
      <c r="ANY214" s="26"/>
      <c r="ANZ214" s="26"/>
      <c r="AOA214" s="26"/>
      <c r="AOB214" s="26"/>
      <c r="AOC214" s="26"/>
      <c r="AOD214" s="26"/>
      <c r="AOE214" s="26"/>
      <c r="AOF214" s="26"/>
      <c r="AOG214" s="26"/>
      <c r="AOH214" s="26"/>
      <c r="AOI214" s="26"/>
      <c r="AOJ214" s="26"/>
      <c r="AOK214" s="26"/>
      <c r="AOL214" s="26"/>
      <c r="AOM214" s="26"/>
      <c r="AON214" s="26"/>
      <c r="AOO214" s="26"/>
      <c r="AOP214" s="26"/>
      <c r="AOQ214" s="26"/>
      <c r="AOR214" s="26"/>
      <c r="AOS214" s="26"/>
      <c r="AOT214" s="26"/>
      <c r="AOU214" s="26"/>
      <c r="AOV214" s="26"/>
      <c r="AOW214" s="26"/>
      <c r="AOX214" s="26"/>
      <c r="AOY214" s="26"/>
      <c r="AOZ214" s="26"/>
      <c r="APA214" s="26"/>
      <c r="APB214" s="26"/>
      <c r="APC214" s="26"/>
      <c r="APD214" s="26"/>
      <c r="APE214" s="26"/>
      <c r="APF214" s="26"/>
      <c r="APG214" s="26"/>
      <c r="APH214" s="26"/>
      <c r="API214" s="26"/>
      <c r="APJ214" s="26"/>
      <c r="APK214" s="26"/>
      <c r="APL214" s="26"/>
      <c r="APM214" s="26"/>
      <c r="APN214" s="26"/>
      <c r="APO214" s="26"/>
      <c r="APP214" s="26"/>
      <c r="APQ214" s="26"/>
      <c r="APR214" s="26"/>
      <c r="APS214" s="26"/>
      <c r="APT214" s="26"/>
      <c r="APU214" s="26"/>
      <c r="APV214" s="26"/>
      <c r="APW214" s="26"/>
      <c r="APX214" s="26"/>
      <c r="APY214" s="26"/>
      <c r="APZ214" s="26"/>
      <c r="AQA214" s="26"/>
      <c r="AQB214" s="26"/>
      <c r="AQC214" s="26"/>
      <c r="AQD214" s="26"/>
      <c r="AQE214" s="26"/>
      <c r="AQF214" s="26"/>
      <c r="AQG214" s="26"/>
      <c r="AQH214" s="26"/>
      <c r="AQI214" s="26"/>
      <c r="AQJ214" s="26"/>
      <c r="AQK214" s="26"/>
      <c r="AQL214" s="26"/>
      <c r="AQM214" s="26"/>
      <c r="AQN214" s="26"/>
      <c r="AQO214" s="26"/>
      <c r="AQP214" s="26"/>
      <c r="AQQ214" s="26"/>
      <c r="AQR214" s="26"/>
      <c r="AQS214" s="26"/>
      <c r="AQT214" s="26"/>
      <c r="AQU214" s="26"/>
      <c r="AQV214" s="26"/>
      <c r="AQW214" s="26"/>
      <c r="AQX214" s="26"/>
      <c r="AQY214" s="26"/>
      <c r="AQZ214" s="26"/>
      <c r="ARA214" s="26"/>
      <c r="ARB214" s="26"/>
      <c r="ARC214" s="26"/>
      <c r="ARD214" s="26"/>
      <c r="ARE214" s="26"/>
      <c r="ARF214" s="26"/>
      <c r="ARG214" s="26"/>
      <c r="ARH214" s="26"/>
      <c r="ARI214" s="26"/>
      <c r="ARJ214" s="26"/>
      <c r="ARK214" s="26"/>
      <c r="ARL214" s="26"/>
      <c r="ARM214" s="26"/>
      <c r="ARN214" s="26"/>
      <c r="ARO214" s="26"/>
      <c r="ARP214" s="26"/>
      <c r="ARQ214" s="26"/>
      <c r="ARR214" s="26"/>
      <c r="ARS214" s="26"/>
      <c r="ART214" s="26"/>
      <c r="ARU214" s="26"/>
      <c r="ARV214" s="26"/>
      <c r="ARW214" s="26"/>
      <c r="ARX214" s="26"/>
      <c r="ARY214" s="26"/>
      <c r="ARZ214" s="26"/>
      <c r="ASA214" s="26"/>
      <c r="ASB214" s="26"/>
      <c r="ASC214" s="26"/>
      <c r="ASD214" s="26"/>
      <c r="ASE214" s="26"/>
      <c r="ASF214" s="26"/>
      <c r="ASG214" s="26"/>
      <c r="ASH214" s="26"/>
      <c r="ASI214" s="26"/>
      <c r="ASJ214" s="26"/>
      <c r="ASK214" s="26"/>
      <c r="ASL214" s="26"/>
      <c r="ASM214" s="26"/>
      <c r="ASN214" s="26"/>
      <c r="ASO214" s="26"/>
      <c r="ASP214" s="26"/>
      <c r="ASQ214" s="26"/>
      <c r="ASR214" s="26"/>
      <c r="ASS214" s="26"/>
      <c r="AST214" s="26"/>
      <c r="ASU214" s="26"/>
      <c r="ASV214" s="26"/>
      <c r="ASW214" s="26"/>
      <c r="ASX214" s="26"/>
      <c r="ASY214" s="26"/>
      <c r="ASZ214" s="26"/>
      <c r="ATA214" s="26"/>
      <c r="ATB214" s="26"/>
      <c r="ATC214" s="26"/>
      <c r="ATD214" s="26"/>
      <c r="ATE214" s="26"/>
      <c r="ATF214" s="26"/>
      <c r="ATG214" s="26"/>
      <c r="ATH214" s="26"/>
      <c r="ATI214" s="26"/>
      <c r="ATJ214" s="26"/>
      <c r="ATK214" s="26"/>
      <c r="ATL214" s="26"/>
      <c r="ATM214" s="26"/>
      <c r="ATN214" s="26"/>
      <c r="ATO214" s="26"/>
      <c r="ATP214" s="26"/>
      <c r="ATQ214" s="26"/>
      <c r="ATR214" s="26"/>
      <c r="ATS214" s="26"/>
      <c r="ATT214" s="26"/>
      <c r="ATU214" s="26"/>
      <c r="ATV214" s="26"/>
      <c r="ATW214" s="26"/>
      <c r="ATX214" s="26"/>
      <c r="ATY214" s="26"/>
      <c r="ATZ214" s="26"/>
      <c r="AUA214" s="26"/>
      <c r="AUB214" s="26"/>
      <c r="AUC214" s="26"/>
      <c r="AUD214" s="26"/>
      <c r="AUE214" s="26"/>
      <c r="AUF214" s="26"/>
      <c r="AUG214" s="26"/>
      <c r="AUH214" s="26"/>
      <c r="AUI214" s="26"/>
      <c r="AUJ214" s="26"/>
      <c r="AUK214" s="26"/>
      <c r="AUL214" s="26"/>
      <c r="AUM214" s="26"/>
      <c r="AUN214" s="26"/>
      <c r="AUO214" s="26"/>
      <c r="AUP214" s="26"/>
      <c r="AUQ214" s="26"/>
      <c r="AUR214" s="26"/>
      <c r="AUS214" s="26"/>
      <c r="AUT214" s="26"/>
      <c r="AUU214" s="26"/>
      <c r="AUV214" s="26"/>
      <c r="AUW214" s="26"/>
      <c r="AUX214" s="26"/>
      <c r="AUY214" s="26"/>
      <c r="AUZ214" s="26"/>
      <c r="AVA214" s="26"/>
      <c r="AVB214" s="26"/>
      <c r="AVC214" s="26"/>
      <c r="AVD214" s="26"/>
      <c r="AVE214" s="26"/>
      <c r="AVF214" s="26"/>
      <c r="AVG214" s="26"/>
      <c r="AVH214" s="26"/>
      <c r="AVI214" s="26"/>
      <c r="AVJ214" s="26"/>
      <c r="AVK214" s="26"/>
      <c r="AVL214" s="26"/>
      <c r="AVM214" s="26"/>
      <c r="AVN214" s="26"/>
      <c r="AVO214" s="26"/>
      <c r="AVP214" s="26"/>
      <c r="AVQ214" s="26"/>
      <c r="AVR214" s="26"/>
      <c r="AVS214" s="26"/>
      <c r="AVT214" s="26"/>
      <c r="AVU214" s="26"/>
      <c r="AVV214" s="26"/>
      <c r="AVW214" s="26"/>
      <c r="AVX214" s="26"/>
      <c r="AVY214" s="26"/>
      <c r="AVZ214" s="26"/>
      <c r="AWA214" s="26"/>
      <c r="AWB214" s="26"/>
      <c r="AWC214" s="26"/>
      <c r="AWD214" s="26"/>
      <c r="AWE214" s="26"/>
      <c r="AWF214" s="26"/>
      <c r="AWG214" s="26"/>
      <c r="AWH214" s="26"/>
      <c r="AWI214" s="26"/>
      <c r="AWJ214" s="26"/>
      <c r="AWK214" s="26"/>
      <c r="AWL214" s="26"/>
      <c r="AWM214" s="26"/>
      <c r="AWN214" s="26"/>
      <c r="AWO214" s="26"/>
      <c r="AWP214" s="26"/>
      <c r="AWQ214" s="26"/>
      <c r="AWR214" s="26"/>
      <c r="AWS214" s="26"/>
      <c r="AWT214" s="26"/>
      <c r="AWU214" s="26"/>
      <c r="AWV214" s="26"/>
      <c r="AWW214" s="26"/>
      <c r="AWX214" s="26"/>
      <c r="AWY214" s="26"/>
      <c r="AWZ214" s="26"/>
      <c r="AXA214" s="26"/>
      <c r="AXB214" s="26"/>
      <c r="AXC214" s="26"/>
      <c r="AXD214" s="26"/>
      <c r="AXE214" s="26"/>
      <c r="AXF214" s="26"/>
      <c r="AXG214" s="26"/>
      <c r="AXH214" s="26"/>
      <c r="AXI214" s="26"/>
      <c r="AXJ214" s="26"/>
      <c r="AXK214" s="26"/>
      <c r="AXL214" s="26"/>
      <c r="AXM214" s="26"/>
      <c r="AXN214" s="26"/>
      <c r="AXO214" s="26"/>
      <c r="AXP214" s="26"/>
      <c r="AXQ214" s="26"/>
      <c r="AXR214" s="26"/>
      <c r="AXS214" s="26"/>
      <c r="AXT214" s="26"/>
      <c r="AXU214" s="26"/>
      <c r="AXV214" s="26"/>
      <c r="AXW214" s="26"/>
      <c r="AXX214" s="26"/>
      <c r="AXY214" s="26"/>
      <c r="AXZ214" s="26"/>
      <c r="AYA214" s="26"/>
      <c r="AYB214" s="26"/>
      <c r="AYC214" s="26"/>
      <c r="AYD214" s="26"/>
      <c r="AYE214" s="26"/>
      <c r="AYF214" s="26"/>
      <c r="AYG214" s="26"/>
      <c r="AYH214" s="26"/>
      <c r="AYI214" s="26"/>
      <c r="AYJ214" s="26"/>
      <c r="AYK214" s="26"/>
      <c r="AYL214" s="26"/>
      <c r="AYM214" s="26"/>
      <c r="AYN214" s="26"/>
      <c r="AYO214" s="26"/>
      <c r="AYP214" s="26"/>
      <c r="AYQ214" s="26"/>
      <c r="AYR214" s="26"/>
      <c r="AYS214" s="26"/>
      <c r="AYT214" s="26"/>
      <c r="AYU214" s="26"/>
      <c r="AYV214" s="26"/>
      <c r="AYW214" s="26"/>
      <c r="AYX214" s="26"/>
      <c r="AYY214" s="26"/>
      <c r="AYZ214" s="26"/>
      <c r="AZA214" s="26"/>
      <c r="AZB214" s="26"/>
      <c r="AZC214" s="26"/>
      <c r="AZD214" s="26"/>
      <c r="AZE214" s="26"/>
      <c r="AZF214" s="26"/>
      <c r="AZG214" s="26"/>
      <c r="AZH214" s="26"/>
      <c r="AZI214" s="26"/>
      <c r="AZJ214" s="26"/>
      <c r="AZK214" s="26"/>
      <c r="AZL214" s="26"/>
      <c r="AZM214" s="26"/>
      <c r="AZN214" s="26"/>
      <c r="AZO214" s="26"/>
      <c r="AZP214" s="26"/>
      <c r="AZQ214" s="26"/>
      <c r="AZR214" s="26"/>
      <c r="AZS214" s="26"/>
      <c r="AZT214" s="26"/>
      <c r="AZU214" s="26"/>
      <c r="AZV214" s="26"/>
      <c r="AZW214" s="26"/>
      <c r="AZX214" s="26"/>
      <c r="AZY214" s="26"/>
      <c r="AZZ214" s="26"/>
      <c r="BAA214" s="26"/>
      <c r="BAB214" s="26"/>
      <c r="BAC214" s="26"/>
      <c r="BAD214" s="26"/>
      <c r="BAE214" s="26"/>
      <c r="BAF214" s="26"/>
      <c r="BAG214" s="26"/>
      <c r="BAH214" s="26"/>
      <c r="BAI214" s="26"/>
      <c r="BAJ214" s="26"/>
      <c r="BAK214" s="26"/>
      <c r="BAL214" s="26"/>
      <c r="BAM214" s="26"/>
      <c r="BAN214" s="26"/>
      <c r="BAO214" s="26"/>
      <c r="BAP214" s="26"/>
      <c r="BAQ214" s="26"/>
      <c r="BAR214" s="26"/>
      <c r="BAS214" s="26"/>
      <c r="BAT214" s="26"/>
      <c r="BAU214" s="26"/>
      <c r="BAV214" s="26"/>
      <c r="BAW214" s="26"/>
      <c r="BAX214" s="26"/>
      <c r="BAY214" s="26"/>
      <c r="BAZ214" s="26"/>
      <c r="BBA214" s="26"/>
      <c r="BBB214" s="26"/>
      <c r="BBC214" s="26"/>
      <c r="BBD214" s="26"/>
      <c r="BBE214" s="26"/>
      <c r="BBF214" s="26"/>
      <c r="BBG214" s="26"/>
      <c r="BBH214" s="26"/>
      <c r="BBI214" s="26"/>
      <c r="BBJ214" s="26"/>
      <c r="BBK214" s="26"/>
      <c r="BBL214" s="26"/>
      <c r="BBM214" s="26"/>
      <c r="BBN214" s="26"/>
      <c r="BBO214" s="26"/>
      <c r="BBP214" s="26"/>
      <c r="BBQ214" s="26"/>
      <c r="BBR214" s="26"/>
      <c r="BBS214" s="26"/>
      <c r="BBT214" s="26"/>
      <c r="BBU214" s="26"/>
      <c r="BBV214" s="26"/>
      <c r="BBW214" s="26"/>
      <c r="BBX214" s="26"/>
      <c r="BBY214" s="26"/>
      <c r="BBZ214" s="26"/>
      <c r="BCA214" s="26"/>
      <c r="BCB214" s="26"/>
      <c r="BCC214" s="26"/>
      <c r="BCD214" s="26"/>
      <c r="BCE214" s="26"/>
      <c r="BCF214" s="26"/>
      <c r="BCG214" s="26"/>
      <c r="BCH214" s="26"/>
      <c r="BCI214" s="26"/>
      <c r="BCJ214" s="26"/>
      <c r="BCK214" s="26"/>
      <c r="BCL214" s="26"/>
      <c r="BCM214" s="26"/>
      <c r="BCN214" s="26"/>
      <c r="BCO214" s="26"/>
      <c r="BCP214" s="26"/>
      <c r="BCQ214" s="26"/>
      <c r="BCR214" s="26"/>
      <c r="BCS214" s="26"/>
      <c r="BCT214" s="26"/>
      <c r="BCU214" s="26"/>
      <c r="BCV214" s="26"/>
      <c r="BCW214" s="26"/>
      <c r="BCX214" s="26"/>
      <c r="BCY214" s="26"/>
      <c r="BCZ214" s="26"/>
      <c r="BDA214" s="26"/>
      <c r="BDB214" s="26"/>
      <c r="BDC214" s="26"/>
      <c r="BDD214" s="26"/>
      <c r="BDE214" s="26"/>
      <c r="BDF214" s="26"/>
      <c r="BDG214" s="26"/>
      <c r="BDH214" s="26"/>
      <c r="BDI214" s="26"/>
      <c r="BDJ214" s="26"/>
      <c r="BDK214" s="26"/>
      <c r="BDL214" s="26"/>
      <c r="BDM214" s="26"/>
      <c r="BDN214" s="26"/>
      <c r="BDO214" s="26"/>
      <c r="BDP214" s="26"/>
      <c r="BDQ214" s="26"/>
      <c r="BDR214" s="26"/>
      <c r="BDS214" s="26"/>
      <c r="BDT214" s="26"/>
      <c r="BDU214" s="26"/>
      <c r="BDV214" s="26"/>
      <c r="BDW214" s="26"/>
      <c r="BDX214" s="26"/>
      <c r="BDY214" s="26"/>
      <c r="BDZ214" s="26"/>
      <c r="BEA214" s="26"/>
      <c r="BEB214" s="26"/>
      <c r="BEC214" s="26"/>
      <c r="BED214" s="26"/>
      <c r="BEE214" s="26"/>
      <c r="BEF214" s="26"/>
      <c r="BEG214" s="26"/>
      <c r="BEH214" s="26"/>
      <c r="BEI214" s="26"/>
      <c r="BEJ214" s="26"/>
      <c r="BEK214" s="26"/>
      <c r="BEL214" s="26"/>
      <c r="BEM214" s="26"/>
      <c r="BEN214" s="26"/>
      <c r="BEO214" s="26"/>
      <c r="BEP214" s="26"/>
      <c r="BEQ214" s="26"/>
      <c r="BER214" s="26"/>
      <c r="BES214" s="26"/>
      <c r="BET214" s="26"/>
      <c r="BEU214" s="26"/>
      <c r="BEV214" s="26"/>
      <c r="BEW214" s="26"/>
      <c r="BEX214" s="26"/>
      <c r="BEY214" s="26"/>
      <c r="BEZ214" s="26"/>
      <c r="BFA214" s="26"/>
      <c r="BFB214" s="26"/>
      <c r="BFC214" s="26"/>
      <c r="BFD214" s="26"/>
      <c r="BFE214" s="26"/>
      <c r="BFF214" s="26"/>
      <c r="BFG214" s="26"/>
      <c r="BFH214" s="26"/>
      <c r="BFI214" s="26"/>
      <c r="BFJ214" s="26"/>
      <c r="BFK214" s="26"/>
      <c r="BFL214" s="26"/>
      <c r="BFM214" s="26"/>
      <c r="BFN214" s="26"/>
      <c r="BFO214" s="26"/>
      <c r="BFP214" s="26"/>
      <c r="BFQ214" s="26"/>
      <c r="BFR214" s="26"/>
      <c r="BFS214" s="26"/>
      <c r="BFT214" s="26"/>
      <c r="BFU214" s="26"/>
      <c r="BFV214" s="26"/>
      <c r="BFW214" s="26"/>
      <c r="BFX214" s="26"/>
      <c r="BFY214" s="26"/>
      <c r="BFZ214" s="26"/>
      <c r="BGA214" s="26"/>
      <c r="BGB214" s="26"/>
      <c r="BGC214" s="26"/>
      <c r="BGD214" s="26"/>
      <c r="BGE214" s="26"/>
      <c r="BGF214" s="26"/>
      <c r="BGG214" s="26"/>
      <c r="BGH214" s="26"/>
      <c r="BGI214" s="26"/>
      <c r="BGJ214" s="26"/>
      <c r="BGK214" s="26"/>
      <c r="BGL214" s="26"/>
      <c r="BGM214" s="26"/>
      <c r="BGN214" s="26"/>
      <c r="BGO214" s="26"/>
      <c r="BGP214" s="26"/>
      <c r="BGQ214" s="26"/>
      <c r="BGR214" s="26"/>
      <c r="BGS214" s="26"/>
      <c r="BGT214" s="26"/>
      <c r="BGU214" s="26"/>
      <c r="BGV214" s="26"/>
      <c r="BGW214" s="26"/>
      <c r="BGX214" s="26"/>
      <c r="BGY214" s="26"/>
      <c r="BGZ214" s="26"/>
      <c r="BHA214" s="26"/>
      <c r="BHB214" s="26"/>
      <c r="BHC214" s="26"/>
      <c r="BHD214" s="26"/>
      <c r="BHE214" s="26"/>
      <c r="BHF214" s="26"/>
      <c r="BHG214" s="26"/>
      <c r="BHH214" s="26"/>
      <c r="BHI214" s="26"/>
      <c r="BHJ214" s="26"/>
      <c r="BHK214" s="26"/>
      <c r="BHL214" s="26"/>
      <c r="BHM214" s="26"/>
      <c r="BHN214" s="26"/>
      <c r="BHO214" s="26"/>
      <c r="BHP214" s="26"/>
      <c r="BHQ214" s="26"/>
      <c r="BHR214" s="26"/>
      <c r="BHS214" s="26"/>
      <c r="BHT214" s="26"/>
      <c r="BHU214" s="26"/>
      <c r="BHV214" s="26"/>
      <c r="BHW214" s="26"/>
      <c r="BHX214" s="26"/>
      <c r="BHY214" s="26"/>
      <c r="BHZ214" s="26"/>
      <c r="BIA214" s="26"/>
      <c r="BIB214" s="26"/>
      <c r="BIC214" s="26"/>
      <c r="BID214" s="26"/>
      <c r="BIE214" s="26"/>
      <c r="BIF214" s="26"/>
      <c r="BIG214" s="26"/>
      <c r="BIH214" s="26"/>
      <c r="BII214" s="26"/>
      <c r="BIJ214" s="26"/>
      <c r="BIK214" s="26"/>
      <c r="BIL214" s="26"/>
      <c r="BIM214" s="26"/>
      <c r="BIN214" s="26"/>
      <c r="BIO214" s="26"/>
      <c r="BIP214" s="26"/>
      <c r="BIQ214" s="26"/>
      <c r="BIR214" s="26"/>
      <c r="BIS214" s="26"/>
      <c r="BIT214" s="26"/>
      <c r="BIU214" s="26"/>
      <c r="BIV214" s="26"/>
      <c r="BIW214" s="26"/>
      <c r="BIX214" s="26"/>
      <c r="BIY214" s="26"/>
      <c r="BIZ214" s="26"/>
      <c r="BJA214" s="26"/>
      <c r="BJB214" s="26"/>
      <c r="BJC214" s="26"/>
      <c r="BJD214" s="26"/>
      <c r="BJE214" s="26"/>
      <c r="BJF214" s="26"/>
      <c r="BJG214" s="26"/>
      <c r="BJH214" s="26"/>
      <c r="BJI214" s="26"/>
      <c r="BJJ214" s="26"/>
      <c r="BJK214" s="26"/>
      <c r="BJL214" s="26"/>
      <c r="BJM214" s="26"/>
      <c r="BJN214" s="26"/>
      <c r="BJO214" s="26"/>
      <c r="BJP214" s="26"/>
      <c r="BJQ214" s="26"/>
      <c r="BJR214" s="26"/>
      <c r="BJS214" s="26"/>
      <c r="BJT214" s="26"/>
      <c r="BJU214" s="26"/>
      <c r="BJV214" s="26"/>
      <c r="BJW214" s="26"/>
      <c r="BJX214" s="26"/>
      <c r="BJY214" s="26"/>
      <c r="BJZ214" s="26"/>
      <c r="BKA214" s="26"/>
      <c r="BKB214" s="26"/>
      <c r="BKC214" s="26"/>
      <c r="BKD214" s="26"/>
      <c r="BKE214" s="26"/>
      <c r="BKF214" s="26"/>
      <c r="BKG214" s="26"/>
      <c r="BKH214" s="26"/>
      <c r="BKI214" s="26"/>
      <c r="BKJ214" s="26"/>
      <c r="BKK214" s="26"/>
      <c r="BKL214" s="26"/>
      <c r="BKM214" s="26"/>
      <c r="BKN214" s="26"/>
      <c r="BKO214" s="26"/>
      <c r="BKP214" s="26"/>
      <c r="BKQ214" s="26"/>
      <c r="BKR214" s="26"/>
      <c r="BKS214" s="26"/>
      <c r="BKT214" s="26"/>
      <c r="BKU214" s="26"/>
      <c r="BKV214" s="26"/>
      <c r="BKW214" s="26"/>
      <c r="BKX214" s="26"/>
      <c r="BKY214" s="26"/>
      <c r="BKZ214" s="26"/>
      <c r="BLA214" s="26"/>
      <c r="BLB214" s="26"/>
      <c r="BLC214" s="26"/>
      <c r="BLD214" s="26"/>
      <c r="BLE214" s="26"/>
      <c r="BLF214" s="26"/>
      <c r="BLG214" s="26"/>
      <c r="BLH214" s="26"/>
      <c r="BLI214" s="26"/>
      <c r="BLJ214" s="26"/>
      <c r="BLK214" s="26"/>
      <c r="BLL214" s="26"/>
      <c r="BLM214" s="26"/>
      <c r="BLN214" s="26"/>
      <c r="BLO214" s="26"/>
      <c r="BLP214" s="26"/>
      <c r="BLQ214" s="26"/>
      <c r="BLR214" s="26"/>
      <c r="BLS214" s="26"/>
      <c r="BLT214" s="26"/>
      <c r="BLU214" s="26"/>
      <c r="BLV214" s="26"/>
      <c r="BLW214" s="26"/>
      <c r="BLX214" s="26"/>
      <c r="BLY214" s="26"/>
      <c r="BLZ214" s="26"/>
      <c r="BMA214" s="26"/>
      <c r="BMB214" s="26"/>
      <c r="BMC214" s="26"/>
      <c r="BMD214" s="26"/>
      <c r="BME214" s="26"/>
      <c r="BMF214" s="26"/>
      <c r="BMG214" s="26"/>
      <c r="BMH214" s="26"/>
      <c r="BMI214" s="26"/>
      <c r="BMJ214" s="26"/>
      <c r="BMK214" s="26"/>
      <c r="BML214" s="26"/>
      <c r="BMM214" s="26"/>
      <c r="BMN214" s="26"/>
      <c r="BMO214" s="26"/>
      <c r="BMP214" s="26"/>
      <c r="BMQ214" s="26"/>
      <c r="BMR214" s="26"/>
      <c r="BMS214" s="26"/>
      <c r="BMT214" s="26"/>
      <c r="BMU214" s="26"/>
      <c r="BMV214" s="26"/>
      <c r="BMW214" s="26"/>
      <c r="BMX214" s="26"/>
      <c r="BMY214" s="26"/>
      <c r="BMZ214" s="26"/>
      <c r="BNA214" s="26"/>
      <c r="BNB214" s="26"/>
      <c r="BNC214" s="26"/>
      <c r="BND214" s="26"/>
      <c r="BNE214" s="26"/>
      <c r="BNF214" s="26"/>
      <c r="BNG214" s="26"/>
      <c r="BNH214" s="26"/>
      <c r="BNI214" s="26"/>
      <c r="BNJ214" s="26"/>
      <c r="BNK214" s="26"/>
      <c r="BNL214" s="26"/>
      <c r="BNM214" s="26"/>
      <c r="BNN214" s="26"/>
      <c r="BNO214" s="26"/>
      <c r="BNP214" s="26"/>
      <c r="BNQ214" s="26"/>
      <c r="BNR214" s="26"/>
      <c r="BNS214" s="26"/>
      <c r="BNT214" s="26"/>
      <c r="BNU214" s="26"/>
      <c r="BNV214" s="26"/>
      <c r="BNW214" s="26"/>
      <c r="BNX214" s="26"/>
      <c r="BNY214" s="26"/>
      <c r="BNZ214" s="26"/>
      <c r="BOA214" s="26"/>
      <c r="BOB214" s="26"/>
      <c r="BOC214" s="26"/>
      <c r="BOD214" s="26"/>
      <c r="BOE214" s="26"/>
      <c r="BOF214" s="26"/>
      <c r="BOG214" s="26"/>
      <c r="BOH214" s="26"/>
      <c r="BOI214" s="26"/>
      <c r="BOJ214" s="26"/>
      <c r="BOK214" s="26"/>
      <c r="BOL214" s="26"/>
      <c r="BOM214" s="26"/>
      <c r="BON214" s="26"/>
      <c r="BOO214" s="26"/>
      <c r="BOP214" s="26"/>
      <c r="BOQ214" s="26"/>
      <c r="BOR214" s="26"/>
      <c r="BOS214" s="26"/>
      <c r="BOT214" s="26"/>
      <c r="BOU214" s="26"/>
      <c r="BOV214" s="26"/>
      <c r="BOW214" s="26"/>
      <c r="BOX214" s="26"/>
      <c r="BOY214" s="26"/>
      <c r="BOZ214" s="26"/>
      <c r="BPA214" s="26"/>
      <c r="BPB214" s="26"/>
      <c r="BPC214" s="26"/>
      <c r="BPD214" s="26"/>
      <c r="BPE214" s="26"/>
      <c r="BPF214" s="26"/>
      <c r="BPG214" s="26"/>
      <c r="BPH214" s="26"/>
      <c r="BPI214" s="26"/>
      <c r="BPJ214" s="26"/>
      <c r="BPK214" s="26"/>
      <c r="BPL214" s="26"/>
      <c r="BPM214" s="26"/>
      <c r="BPN214" s="26"/>
      <c r="BPO214" s="26"/>
      <c r="BPP214" s="26"/>
      <c r="BPQ214" s="26"/>
      <c r="BPR214" s="26"/>
      <c r="BPS214" s="26"/>
      <c r="BPT214" s="26"/>
      <c r="BPU214" s="26"/>
      <c r="BPV214" s="26"/>
      <c r="BPW214" s="26"/>
      <c r="BPX214" s="26"/>
      <c r="BPY214" s="26"/>
      <c r="BPZ214" s="26"/>
      <c r="BQA214" s="26"/>
      <c r="BQB214" s="26"/>
      <c r="BQC214" s="26"/>
      <c r="BQD214" s="26"/>
      <c r="BQE214" s="26"/>
      <c r="BQF214" s="26"/>
      <c r="BQG214" s="26"/>
      <c r="BQH214" s="26"/>
      <c r="BQI214" s="26"/>
      <c r="BQJ214" s="26"/>
      <c r="BQK214" s="26"/>
      <c r="BQL214" s="26"/>
      <c r="BQM214" s="26"/>
      <c r="BQN214" s="26"/>
      <c r="BQO214" s="26"/>
      <c r="BQP214" s="26"/>
      <c r="BQQ214" s="26"/>
      <c r="BQR214" s="26"/>
      <c r="BQS214" s="26"/>
      <c r="BQT214" s="26"/>
      <c r="BQU214" s="26"/>
      <c r="BQV214" s="26"/>
      <c r="BQW214" s="26"/>
      <c r="BQX214" s="26"/>
      <c r="BQY214" s="26"/>
      <c r="BQZ214" s="26"/>
      <c r="BRA214" s="26"/>
      <c r="BRB214" s="26"/>
      <c r="BRC214" s="26"/>
      <c r="BRD214" s="26"/>
      <c r="BRE214" s="26"/>
      <c r="BRF214" s="26"/>
      <c r="BRG214" s="26"/>
      <c r="BRH214" s="26"/>
      <c r="BRI214" s="26"/>
      <c r="BRJ214" s="26"/>
      <c r="BRK214" s="26"/>
      <c r="BRL214" s="26"/>
      <c r="BRM214" s="26"/>
      <c r="BRN214" s="26"/>
      <c r="BRO214" s="26"/>
      <c r="BRP214" s="26"/>
      <c r="BRQ214" s="26"/>
      <c r="BRR214" s="26"/>
      <c r="BRS214" s="26"/>
      <c r="BRT214" s="26"/>
      <c r="BRU214" s="26"/>
      <c r="BRV214" s="26"/>
      <c r="BRW214" s="26"/>
      <c r="BRX214" s="26"/>
      <c r="BRY214" s="26"/>
      <c r="BRZ214" s="26"/>
      <c r="BSA214" s="26"/>
      <c r="BSB214" s="26"/>
      <c r="BSC214" s="26"/>
      <c r="BSD214" s="26"/>
      <c r="BSE214" s="26"/>
      <c r="BSF214" s="26"/>
      <c r="BSG214" s="26"/>
      <c r="BSH214" s="26"/>
      <c r="BSI214" s="26"/>
      <c r="BSJ214" s="26"/>
      <c r="BSK214" s="26"/>
      <c r="BSL214" s="26"/>
      <c r="BSM214" s="26"/>
      <c r="BSN214" s="26"/>
      <c r="BSO214" s="26"/>
      <c r="BSP214" s="26"/>
      <c r="BSQ214" s="26"/>
      <c r="BSR214" s="26"/>
      <c r="BSS214" s="26"/>
      <c r="BST214" s="26"/>
      <c r="BSU214" s="26"/>
      <c r="BSV214" s="26"/>
      <c r="BSW214" s="26"/>
      <c r="BSX214" s="26"/>
      <c r="BSY214" s="26"/>
      <c r="BSZ214" s="26"/>
      <c r="BTA214" s="26"/>
      <c r="BTB214" s="26"/>
      <c r="BTC214" s="26"/>
      <c r="BTD214" s="26"/>
      <c r="BTE214" s="26"/>
      <c r="BTF214" s="26"/>
      <c r="BTG214" s="26"/>
      <c r="BTH214" s="26"/>
      <c r="BTI214" s="26"/>
      <c r="BTJ214" s="26"/>
      <c r="BTK214" s="26"/>
      <c r="BTL214" s="26"/>
      <c r="BTM214" s="26"/>
      <c r="BTN214" s="26"/>
      <c r="BTO214" s="26"/>
      <c r="BTP214" s="26"/>
      <c r="BTQ214" s="26"/>
      <c r="BTR214" s="26"/>
      <c r="BTS214" s="26"/>
      <c r="BTT214" s="26"/>
      <c r="BTU214" s="26"/>
      <c r="BTV214" s="26"/>
      <c r="BTW214" s="26"/>
      <c r="BTX214" s="26"/>
      <c r="BTY214" s="26"/>
      <c r="BTZ214" s="26"/>
      <c r="BUA214" s="26"/>
      <c r="BUB214" s="26"/>
      <c r="BUC214" s="26"/>
      <c r="BUD214" s="26"/>
      <c r="BUE214" s="26"/>
      <c r="BUF214" s="26"/>
      <c r="BUG214" s="26"/>
      <c r="BUH214" s="26"/>
      <c r="BUI214" s="26"/>
      <c r="BUJ214" s="26"/>
      <c r="BUK214" s="26"/>
      <c r="BUL214" s="26"/>
      <c r="BUM214" s="26"/>
      <c r="BUN214" s="26"/>
      <c r="BUO214" s="26"/>
      <c r="BUP214" s="26"/>
      <c r="BUQ214" s="26"/>
      <c r="BUR214" s="26"/>
      <c r="BUS214" s="26"/>
      <c r="BUT214" s="26"/>
      <c r="BUU214" s="26"/>
      <c r="BUV214" s="26"/>
      <c r="BUW214" s="26"/>
      <c r="BUX214" s="26"/>
      <c r="BUY214" s="26"/>
      <c r="BUZ214" s="26"/>
      <c r="BVA214" s="26"/>
      <c r="BVB214" s="26"/>
      <c r="BVC214" s="26"/>
      <c r="BVD214" s="26"/>
      <c r="BVE214" s="26"/>
      <c r="BVF214" s="26"/>
      <c r="BVG214" s="26"/>
      <c r="BVH214" s="26"/>
      <c r="BVI214" s="26"/>
      <c r="BVJ214" s="26"/>
      <c r="BVK214" s="26"/>
      <c r="BVL214" s="26"/>
      <c r="BVM214" s="26"/>
      <c r="BVN214" s="26"/>
      <c r="BVO214" s="26"/>
      <c r="BVP214" s="26"/>
      <c r="BVQ214" s="26"/>
      <c r="BVR214" s="26"/>
      <c r="BVS214" s="26"/>
      <c r="BVT214" s="26"/>
      <c r="BVU214" s="26"/>
      <c r="BVV214" s="26"/>
      <c r="BVW214" s="26"/>
      <c r="BVX214" s="26"/>
      <c r="BVY214" s="26"/>
      <c r="BVZ214" s="26"/>
      <c r="BWA214" s="26"/>
      <c r="BWB214" s="26"/>
      <c r="BWC214" s="26"/>
      <c r="BWD214" s="26"/>
      <c r="BWE214" s="26"/>
      <c r="BWF214" s="26"/>
      <c r="BWG214" s="26"/>
      <c r="BWH214" s="26"/>
      <c r="BWI214" s="26"/>
      <c r="BWJ214" s="26"/>
      <c r="BWK214" s="26"/>
      <c r="BWL214" s="26"/>
      <c r="BWM214" s="26"/>
      <c r="BWN214" s="26"/>
      <c r="BWO214" s="26"/>
      <c r="BWP214" s="26"/>
      <c r="BWQ214" s="26"/>
      <c r="BWR214" s="26"/>
      <c r="BWS214" s="26"/>
      <c r="BWT214" s="26"/>
      <c r="BWU214" s="26"/>
      <c r="BWV214" s="26"/>
      <c r="BWW214" s="26"/>
      <c r="BWX214" s="26"/>
      <c r="BWY214" s="26"/>
      <c r="BWZ214" s="26"/>
      <c r="BXA214" s="26"/>
      <c r="BXB214" s="26"/>
      <c r="BXC214" s="26"/>
      <c r="BXD214" s="26"/>
      <c r="BXE214" s="26"/>
      <c r="BXF214" s="26"/>
      <c r="BXG214" s="26"/>
      <c r="BXH214" s="26"/>
      <c r="BXI214" s="26"/>
      <c r="BXJ214" s="26"/>
      <c r="BXK214" s="26"/>
      <c r="BXL214" s="26"/>
      <c r="BXM214" s="26"/>
      <c r="BXN214" s="26"/>
      <c r="BXO214" s="26"/>
      <c r="BXP214" s="26"/>
      <c r="BXQ214" s="26"/>
      <c r="BXR214" s="26"/>
      <c r="BXS214" s="26"/>
      <c r="BXT214" s="26"/>
      <c r="BXU214" s="26"/>
      <c r="BXV214" s="26"/>
      <c r="BXW214" s="26"/>
      <c r="BXX214" s="26"/>
      <c r="BXY214" s="26"/>
      <c r="BXZ214" s="26"/>
      <c r="BYA214" s="26"/>
      <c r="BYB214" s="26"/>
      <c r="BYC214" s="26"/>
      <c r="BYD214" s="26"/>
      <c r="BYE214" s="26"/>
      <c r="BYF214" s="26"/>
      <c r="BYG214" s="26"/>
      <c r="BYH214" s="26"/>
      <c r="BYI214" s="26"/>
      <c r="BYJ214" s="26"/>
      <c r="BYK214" s="26"/>
      <c r="BYL214" s="26"/>
      <c r="BYM214" s="26"/>
      <c r="BYN214" s="26"/>
      <c r="BYO214" s="26"/>
      <c r="BYP214" s="26"/>
      <c r="BYQ214" s="26"/>
      <c r="BYR214" s="26"/>
      <c r="BYS214" s="26"/>
      <c r="BYT214" s="26"/>
      <c r="BYU214" s="26"/>
      <c r="BYV214" s="26"/>
      <c r="BYW214" s="26"/>
      <c r="BYX214" s="26"/>
      <c r="BYY214" s="26"/>
      <c r="BYZ214" s="26"/>
      <c r="BZA214" s="26"/>
      <c r="BZB214" s="26"/>
      <c r="BZC214" s="26"/>
      <c r="BZD214" s="26"/>
      <c r="BZE214" s="26"/>
      <c r="BZF214" s="26"/>
      <c r="BZG214" s="26"/>
      <c r="BZH214" s="26"/>
      <c r="BZI214" s="26"/>
      <c r="BZJ214" s="26"/>
      <c r="BZK214" s="26"/>
      <c r="BZL214" s="26"/>
      <c r="BZM214" s="26"/>
      <c r="BZN214" s="26"/>
      <c r="BZO214" s="26"/>
      <c r="BZP214" s="26"/>
      <c r="BZQ214" s="26"/>
      <c r="BZR214" s="26"/>
      <c r="BZS214" s="26"/>
      <c r="BZT214" s="26"/>
      <c r="BZU214" s="26"/>
      <c r="BZV214" s="26"/>
      <c r="BZW214" s="26"/>
      <c r="BZX214" s="26"/>
      <c r="BZY214" s="26"/>
      <c r="BZZ214" s="26"/>
      <c r="CAA214" s="26"/>
      <c r="CAB214" s="26"/>
      <c r="CAC214" s="26"/>
      <c r="CAD214" s="26"/>
      <c r="CAE214" s="26"/>
      <c r="CAF214" s="26"/>
      <c r="CAG214" s="26"/>
      <c r="CAH214" s="26"/>
      <c r="CAI214" s="26"/>
      <c r="CAJ214" s="26"/>
      <c r="CAK214" s="26"/>
      <c r="CAL214" s="26"/>
      <c r="CAM214" s="26"/>
      <c r="CAN214" s="26"/>
      <c r="CAO214" s="26"/>
      <c r="CAP214" s="26"/>
      <c r="CAQ214" s="26"/>
      <c r="CAR214" s="26"/>
      <c r="CAS214" s="26"/>
      <c r="CAT214" s="26"/>
      <c r="CAU214" s="26"/>
      <c r="CAV214" s="26"/>
      <c r="CAW214" s="26"/>
      <c r="CAX214" s="26"/>
      <c r="CAY214" s="26"/>
      <c r="CAZ214" s="26"/>
      <c r="CBA214" s="26"/>
      <c r="CBB214" s="26"/>
      <c r="CBC214" s="26"/>
      <c r="CBD214" s="26"/>
      <c r="CBE214" s="26"/>
      <c r="CBF214" s="26"/>
      <c r="CBG214" s="26"/>
      <c r="CBH214" s="26"/>
      <c r="CBI214" s="26"/>
    </row>
    <row r="215" spans="1:2089" s="65" customFormat="1" ht="14" customHeight="1">
      <c r="A215" s="27">
        <v>214</v>
      </c>
      <c r="B215" s="27" t="s">
        <v>377</v>
      </c>
      <c r="C215" s="27">
        <v>2013</v>
      </c>
      <c r="D215" s="26" t="s">
        <v>142</v>
      </c>
      <c r="E215" s="26" t="s">
        <v>563</v>
      </c>
      <c r="F215" s="77" t="s">
        <v>175</v>
      </c>
      <c r="G215" s="2" t="s">
        <v>105</v>
      </c>
      <c r="H215" s="2" t="s">
        <v>30</v>
      </c>
      <c r="I215" s="2" t="s">
        <v>548</v>
      </c>
      <c r="J215" s="2" t="s">
        <v>604</v>
      </c>
      <c r="K215" s="2" t="s">
        <v>548</v>
      </c>
      <c r="L215" s="2" t="s">
        <v>548</v>
      </c>
      <c r="M215" s="2" t="s">
        <v>175</v>
      </c>
      <c r="N215" s="2" t="s">
        <v>609</v>
      </c>
      <c r="O215" s="2" t="s">
        <v>60</v>
      </c>
      <c r="P215" s="2" t="s">
        <v>609</v>
      </c>
      <c r="Q215" s="2" t="s">
        <v>42</v>
      </c>
      <c r="R215" s="79" t="s">
        <v>613</v>
      </c>
      <c r="S215" s="90">
        <f>1-AC215</f>
        <v>0.66666666666666674</v>
      </c>
      <c r="T215" s="26">
        <v>27</v>
      </c>
      <c r="U215" s="77">
        <v>1</v>
      </c>
      <c r="V215" s="26">
        <v>0</v>
      </c>
      <c r="W215" s="26">
        <v>1</v>
      </c>
      <c r="X215" s="26">
        <v>1</v>
      </c>
      <c r="Y215" s="26">
        <v>0</v>
      </c>
      <c r="Z215" s="26">
        <v>0</v>
      </c>
      <c r="AA215" s="26">
        <v>0</v>
      </c>
      <c r="AB215" s="26">
        <v>0</v>
      </c>
      <c r="AC215" s="45">
        <f>9/27</f>
        <v>0.33333333333333331</v>
      </c>
      <c r="AD215" s="45">
        <f>1/27</f>
        <v>3.7037037037037035E-2</v>
      </c>
      <c r="AE215" s="45">
        <f>17/27</f>
        <v>0.62962962962962965</v>
      </c>
      <c r="AF215" s="45">
        <v>0</v>
      </c>
      <c r="AG215" s="33" t="s">
        <v>70</v>
      </c>
      <c r="AH215" s="33" t="s">
        <v>70</v>
      </c>
      <c r="AI215" s="33" t="s">
        <v>70</v>
      </c>
      <c r="AJ215" s="26" t="s">
        <v>70</v>
      </c>
      <c r="AK215" s="33" t="s">
        <v>70</v>
      </c>
      <c r="AL215" s="33" t="s">
        <v>70</v>
      </c>
      <c r="AM215" s="35" t="s">
        <v>175</v>
      </c>
      <c r="AN215" s="26" t="s">
        <v>617</v>
      </c>
      <c r="AO215" s="35" t="s">
        <v>548</v>
      </c>
      <c r="AP215" s="35" t="s">
        <v>548</v>
      </c>
      <c r="AQ215" s="35" t="s">
        <v>548</v>
      </c>
      <c r="AR215" s="35" t="s">
        <v>548</v>
      </c>
      <c r="AS215" s="26" t="s">
        <v>175</v>
      </c>
      <c r="AT215" s="26" t="s">
        <v>70</v>
      </c>
      <c r="AU215" s="26" t="s">
        <v>70</v>
      </c>
      <c r="AV215" s="26">
        <v>6</v>
      </c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  <c r="GR215" s="26"/>
      <c r="GS215" s="26"/>
      <c r="GT215" s="26"/>
      <c r="GU215" s="26"/>
      <c r="GV215" s="26"/>
      <c r="GW215" s="26"/>
      <c r="GX215" s="26"/>
      <c r="GY215" s="26"/>
      <c r="GZ215" s="26"/>
      <c r="HA215" s="26"/>
      <c r="HB215" s="26"/>
      <c r="HC215" s="26"/>
      <c r="HD215" s="26"/>
      <c r="HE215" s="26"/>
      <c r="HF215" s="26"/>
      <c r="HG215" s="26"/>
      <c r="HH215" s="26"/>
      <c r="HI215" s="26"/>
      <c r="HJ215" s="26"/>
      <c r="HK215" s="26"/>
      <c r="HL215" s="26"/>
      <c r="HM215" s="26"/>
      <c r="HN215" s="26"/>
      <c r="HO215" s="26"/>
      <c r="HP215" s="26"/>
      <c r="HQ215" s="26"/>
      <c r="HR215" s="26"/>
      <c r="HS215" s="26"/>
      <c r="HT215" s="26"/>
      <c r="HU215" s="26"/>
      <c r="HV215" s="26"/>
      <c r="HW215" s="26"/>
      <c r="HX215" s="26"/>
      <c r="HY215" s="26"/>
      <c r="HZ215" s="26"/>
      <c r="IA215" s="26"/>
      <c r="IB215" s="26"/>
      <c r="IC215" s="26"/>
      <c r="ID215" s="26"/>
      <c r="IE215" s="26"/>
      <c r="IF215" s="26"/>
      <c r="IG215" s="26"/>
      <c r="IH215" s="26"/>
      <c r="II215" s="26"/>
      <c r="IJ215" s="26"/>
      <c r="IK215" s="26"/>
      <c r="IL215" s="26"/>
      <c r="IM215" s="26"/>
      <c r="IN215" s="26"/>
      <c r="IO215" s="26"/>
      <c r="IP215" s="26"/>
      <c r="IQ215" s="26"/>
      <c r="IR215" s="26"/>
      <c r="IS215" s="26"/>
      <c r="IT215" s="26"/>
      <c r="IU215" s="26"/>
      <c r="IV215" s="26"/>
      <c r="IW215" s="26"/>
      <c r="IX215" s="26"/>
      <c r="IY215" s="26"/>
      <c r="IZ215" s="26"/>
      <c r="JA215" s="26"/>
      <c r="JB215" s="26"/>
      <c r="JC215" s="26"/>
      <c r="JD215" s="26"/>
      <c r="JE215" s="26"/>
      <c r="JF215" s="26"/>
      <c r="JG215" s="26"/>
      <c r="JH215" s="26"/>
      <c r="JI215" s="26"/>
      <c r="JJ215" s="26"/>
      <c r="JK215" s="26"/>
      <c r="JL215" s="26"/>
      <c r="JM215" s="26"/>
      <c r="JN215" s="26"/>
      <c r="JO215" s="26"/>
      <c r="JP215" s="26"/>
      <c r="JQ215" s="26"/>
      <c r="JR215" s="26"/>
      <c r="JS215" s="26"/>
      <c r="JT215" s="26"/>
      <c r="JU215" s="26"/>
      <c r="JV215" s="26"/>
      <c r="JW215" s="26"/>
      <c r="JX215" s="26"/>
      <c r="JY215" s="26"/>
      <c r="JZ215" s="26"/>
      <c r="KA215" s="26"/>
      <c r="KB215" s="26"/>
      <c r="KC215" s="26"/>
      <c r="KD215" s="26"/>
      <c r="KE215" s="26"/>
      <c r="KF215" s="26"/>
      <c r="KG215" s="26"/>
      <c r="KH215" s="26"/>
      <c r="KI215" s="26"/>
      <c r="KJ215" s="26"/>
      <c r="KK215" s="26"/>
      <c r="KL215" s="26"/>
      <c r="KM215" s="26"/>
      <c r="KN215" s="26"/>
      <c r="KO215" s="26"/>
      <c r="KP215" s="26"/>
      <c r="KQ215" s="26"/>
      <c r="KR215" s="26"/>
      <c r="KS215" s="26"/>
      <c r="KT215" s="26"/>
      <c r="KU215" s="26"/>
      <c r="KV215" s="26"/>
      <c r="KW215" s="26"/>
      <c r="KX215" s="26"/>
      <c r="KY215" s="26"/>
      <c r="KZ215" s="26"/>
      <c r="LA215" s="26"/>
      <c r="LB215" s="26"/>
      <c r="LC215" s="26"/>
      <c r="LD215" s="26"/>
      <c r="LE215" s="26"/>
      <c r="LF215" s="26"/>
      <c r="LG215" s="26"/>
      <c r="LH215" s="26"/>
      <c r="LI215" s="26"/>
      <c r="LJ215" s="26"/>
      <c r="LK215" s="26"/>
      <c r="LL215" s="26"/>
      <c r="LM215" s="26"/>
      <c r="LN215" s="26"/>
      <c r="LO215" s="26"/>
      <c r="LP215" s="26"/>
      <c r="LQ215" s="26"/>
      <c r="LR215" s="26"/>
      <c r="LS215" s="26"/>
      <c r="LT215" s="26"/>
      <c r="LU215" s="26"/>
      <c r="LV215" s="26"/>
      <c r="LW215" s="26"/>
      <c r="LX215" s="26"/>
      <c r="LY215" s="26"/>
      <c r="LZ215" s="26"/>
      <c r="MA215" s="26"/>
      <c r="MB215" s="26"/>
      <c r="MC215" s="26"/>
      <c r="MD215" s="26"/>
      <c r="ME215" s="26"/>
      <c r="MF215" s="26"/>
      <c r="MG215" s="26"/>
      <c r="MH215" s="26"/>
      <c r="MI215" s="26"/>
      <c r="MJ215" s="26"/>
      <c r="MK215" s="26"/>
      <c r="ML215" s="26"/>
      <c r="MM215" s="26"/>
      <c r="MN215" s="26"/>
      <c r="MO215" s="26"/>
      <c r="MP215" s="26"/>
      <c r="MQ215" s="26"/>
      <c r="MR215" s="26"/>
      <c r="MS215" s="26"/>
      <c r="MT215" s="26"/>
      <c r="MU215" s="26"/>
      <c r="MV215" s="26"/>
      <c r="MW215" s="26"/>
      <c r="MX215" s="26"/>
      <c r="MY215" s="26"/>
      <c r="MZ215" s="26"/>
      <c r="NA215" s="26"/>
      <c r="NB215" s="26"/>
      <c r="NC215" s="26"/>
      <c r="ND215" s="26"/>
      <c r="NE215" s="26"/>
      <c r="NF215" s="26"/>
      <c r="NG215" s="26"/>
      <c r="NH215" s="26"/>
      <c r="NI215" s="26"/>
      <c r="NJ215" s="26"/>
      <c r="NK215" s="26"/>
      <c r="NL215" s="26"/>
      <c r="NM215" s="26"/>
      <c r="NN215" s="26"/>
      <c r="NO215" s="26"/>
      <c r="NP215" s="26"/>
      <c r="NQ215" s="26"/>
      <c r="NR215" s="26"/>
      <c r="NS215" s="26"/>
      <c r="NT215" s="26"/>
      <c r="NU215" s="26"/>
      <c r="NV215" s="26"/>
      <c r="NW215" s="26"/>
      <c r="NX215" s="26"/>
      <c r="NY215" s="26"/>
      <c r="NZ215" s="26"/>
      <c r="OA215" s="26"/>
      <c r="OB215" s="26"/>
      <c r="OC215" s="26"/>
      <c r="OD215" s="26"/>
      <c r="OE215" s="26"/>
      <c r="OF215" s="26"/>
      <c r="OG215" s="26"/>
      <c r="OH215" s="26"/>
      <c r="OI215" s="26"/>
      <c r="OJ215" s="26"/>
      <c r="OK215" s="26"/>
      <c r="OL215" s="26"/>
      <c r="OM215" s="26"/>
      <c r="ON215" s="26"/>
      <c r="OO215" s="26"/>
      <c r="OP215" s="26"/>
      <c r="OQ215" s="26"/>
      <c r="OR215" s="26"/>
      <c r="OS215" s="26"/>
      <c r="OT215" s="26"/>
      <c r="OU215" s="26"/>
      <c r="OV215" s="26"/>
      <c r="OW215" s="26"/>
      <c r="OX215" s="26"/>
      <c r="OY215" s="26"/>
      <c r="OZ215" s="26"/>
      <c r="PA215" s="26"/>
      <c r="PB215" s="26"/>
      <c r="PC215" s="26"/>
      <c r="PD215" s="26"/>
      <c r="PE215" s="26"/>
      <c r="PF215" s="26"/>
      <c r="PG215" s="26"/>
      <c r="PH215" s="26"/>
      <c r="PI215" s="26"/>
      <c r="PJ215" s="26"/>
      <c r="PK215" s="26"/>
      <c r="PL215" s="26"/>
      <c r="PM215" s="26"/>
      <c r="PN215" s="26"/>
      <c r="PO215" s="26"/>
      <c r="PP215" s="26"/>
      <c r="PQ215" s="26"/>
      <c r="PR215" s="26"/>
      <c r="PS215" s="26"/>
      <c r="PT215" s="26"/>
      <c r="PU215" s="26"/>
      <c r="PV215" s="26"/>
      <c r="PW215" s="26"/>
      <c r="PX215" s="26"/>
      <c r="PY215" s="26"/>
      <c r="PZ215" s="26"/>
      <c r="QA215" s="26"/>
      <c r="QB215" s="26"/>
      <c r="QC215" s="26"/>
      <c r="QD215" s="26"/>
      <c r="QE215" s="26"/>
      <c r="QF215" s="26"/>
      <c r="QG215" s="26"/>
      <c r="QH215" s="26"/>
      <c r="QI215" s="26"/>
      <c r="QJ215" s="26"/>
      <c r="QK215" s="26"/>
      <c r="QL215" s="26"/>
      <c r="QM215" s="26"/>
      <c r="QN215" s="26"/>
      <c r="QO215" s="26"/>
      <c r="QP215" s="26"/>
      <c r="QQ215" s="26"/>
      <c r="QR215" s="26"/>
      <c r="QS215" s="26"/>
      <c r="QT215" s="26"/>
      <c r="QU215" s="26"/>
      <c r="QV215" s="26"/>
      <c r="QW215" s="26"/>
      <c r="QX215" s="26"/>
      <c r="QY215" s="26"/>
      <c r="QZ215" s="26"/>
      <c r="RA215" s="26"/>
      <c r="RB215" s="26"/>
      <c r="RC215" s="26"/>
      <c r="RD215" s="26"/>
      <c r="RE215" s="26"/>
      <c r="RF215" s="26"/>
      <c r="RG215" s="26"/>
      <c r="RH215" s="26"/>
      <c r="RI215" s="26"/>
      <c r="RJ215" s="26"/>
      <c r="RK215" s="26"/>
      <c r="RL215" s="26"/>
      <c r="RM215" s="26"/>
      <c r="RN215" s="26"/>
      <c r="RO215" s="26"/>
      <c r="RP215" s="26"/>
      <c r="RQ215" s="26"/>
      <c r="RR215" s="26"/>
      <c r="RS215" s="26"/>
      <c r="RT215" s="26"/>
      <c r="RU215" s="26"/>
      <c r="RV215" s="26"/>
      <c r="RW215" s="26"/>
      <c r="RX215" s="26"/>
      <c r="RY215" s="26"/>
      <c r="RZ215" s="26"/>
      <c r="SA215" s="26"/>
      <c r="SB215" s="26"/>
      <c r="SC215" s="26"/>
      <c r="SD215" s="26"/>
      <c r="SE215" s="26"/>
      <c r="SF215" s="26"/>
      <c r="SG215" s="26"/>
      <c r="SH215" s="26"/>
      <c r="SI215" s="26"/>
      <c r="SJ215" s="26"/>
      <c r="SK215" s="26"/>
      <c r="SL215" s="26"/>
      <c r="SM215" s="26"/>
      <c r="SN215" s="26"/>
      <c r="SO215" s="26"/>
      <c r="SP215" s="26"/>
      <c r="SQ215" s="26"/>
      <c r="SR215" s="26"/>
      <c r="SS215" s="26"/>
      <c r="ST215" s="26"/>
      <c r="SU215" s="26"/>
      <c r="SV215" s="26"/>
      <c r="SW215" s="26"/>
      <c r="SX215" s="26"/>
      <c r="SY215" s="26"/>
      <c r="SZ215" s="26"/>
      <c r="TA215" s="26"/>
      <c r="TB215" s="26"/>
      <c r="TC215" s="26"/>
      <c r="TD215" s="26"/>
      <c r="TE215" s="26"/>
      <c r="TF215" s="26"/>
      <c r="TG215" s="26"/>
      <c r="TH215" s="26"/>
      <c r="TI215" s="26"/>
      <c r="TJ215" s="26"/>
      <c r="TK215" s="26"/>
      <c r="TL215" s="26"/>
      <c r="TM215" s="26"/>
      <c r="TN215" s="26"/>
      <c r="TO215" s="26"/>
      <c r="TP215" s="26"/>
      <c r="TQ215" s="26"/>
      <c r="TR215" s="26"/>
      <c r="TS215" s="26"/>
      <c r="TT215" s="26"/>
      <c r="TU215" s="26"/>
      <c r="TV215" s="26"/>
      <c r="TW215" s="26"/>
      <c r="TX215" s="26"/>
      <c r="TY215" s="26"/>
      <c r="TZ215" s="26"/>
      <c r="UA215" s="26"/>
      <c r="UB215" s="26"/>
      <c r="UC215" s="26"/>
      <c r="UD215" s="26"/>
      <c r="UE215" s="26"/>
      <c r="UF215" s="26"/>
      <c r="UG215" s="26"/>
      <c r="UH215" s="26"/>
      <c r="UI215" s="26"/>
      <c r="UJ215" s="26"/>
      <c r="UK215" s="26"/>
      <c r="UL215" s="26"/>
      <c r="UM215" s="26"/>
      <c r="UN215" s="26"/>
      <c r="UO215" s="26"/>
      <c r="UP215" s="26"/>
      <c r="UQ215" s="26"/>
      <c r="UR215" s="26"/>
      <c r="US215" s="26"/>
      <c r="UT215" s="26"/>
      <c r="UU215" s="26"/>
      <c r="UV215" s="26"/>
      <c r="UW215" s="26"/>
      <c r="UX215" s="26"/>
      <c r="UY215" s="26"/>
      <c r="UZ215" s="26"/>
      <c r="VA215" s="26"/>
      <c r="VB215" s="26"/>
      <c r="VC215" s="26"/>
      <c r="VD215" s="26"/>
      <c r="VE215" s="26"/>
      <c r="VF215" s="26"/>
      <c r="VG215" s="26"/>
      <c r="VH215" s="26"/>
      <c r="VI215" s="26"/>
      <c r="VJ215" s="26"/>
      <c r="VK215" s="26"/>
      <c r="VL215" s="26"/>
      <c r="VM215" s="26"/>
      <c r="VN215" s="26"/>
      <c r="VO215" s="26"/>
      <c r="VP215" s="26"/>
      <c r="VQ215" s="26"/>
      <c r="VR215" s="26"/>
      <c r="VS215" s="26"/>
      <c r="VT215" s="26"/>
      <c r="VU215" s="26"/>
      <c r="VV215" s="26"/>
      <c r="VW215" s="26"/>
      <c r="VX215" s="26"/>
      <c r="VY215" s="26"/>
      <c r="VZ215" s="26"/>
      <c r="WA215" s="26"/>
      <c r="WB215" s="26"/>
      <c r="WC215" s="26"/>
      <c r="WD215" s="26"/>
      <c r="WE215" s="26"/>
      <c r="WF215" s="26"/>
      <c r="WG215" s="26"/>
      <c r="WH215" s="26"/>
      <c r="WI215" s="26"/>
      <c r="WJ215" s="26"/>
      <c r="WK215" s="26"/>
      <c r="WL215" s="26"/>
      <c r="WM215" s="26"/>
      <c r="WN215" s="26"/>
      <c r="WO215" s="26"/>
      <c r="WP215" s="26"/>
      <c r="WQ215" s="26"/>
      <c r="WR215" s="26"/>
      <c r="WS215" s="26"/>
      <c r="WT215" s="26"/>
      <c r="WU215" s="26"/>
      <c r="WV215" s="26"/>
      <c r="WW215" s="26"/>
      <c r="WX215" s="26"/>
      <c r="WY215" s="26"/>
      <c r="WZ215" s="26"/>
      <c r="XA215" s="26"/>
      <c r="XB215" s="26"/>
      <c r="XC215" s="26"/>
      <c r="XD215" s="26"/>
      <c r="XE215" s="26"/>
      <c r="XF215" s="26"/>
      <c r="XG215" s="26"/>
      <c r="XH215" s="26"/>
      <c r="XI215" s="26"/>
      <c r="XJ215" s="26"/>
      <c r="XK215" s="26"/>
      <c r="XL215" s="26"/>
      <c r="XM215" s="26"/>
      <c r="XN215" s="26"/>
      <c r="XO215" s="26"/>
      <c r="XP215" s="26"/>
      <c r="XQ215" s="26"/>
      <c r="XR215" s="26"/>
      <c r="XS215" s="26"/>
      <c r="XT215" s="26"/>
      <c r="XU215" s="26"/>
      <c r="XV215" s="26"/>
      <c r="XW215" s="26"/>
      <c r="XX215" s="26"/>
      <c r="XY215" s="26"/>
      <c r="XZ215" s="26"/>
      <c r="YA215" s="26"/>
      <c r="YB215" s="26"/>
      <c r="YC215" s="26"/>
      <c r="YD215" s="26"/>
      <c r="YE215" s="26"/>
      <c r="YF215" s="26"/>
      <c r="YG215" s="26"/>
      <c r="YH215" s="26"/>
      <c r="YI215" s="26"/>
      <c r="YJ215" s="26"/>
      <c r="YK215" s="26"/>
      <c r="YL215" s="26"/>
      <c r="YM215" s="26"/>
      <c r="YN215" s="26"/>
      <c r="YO215" s="26"/>
      <c r="YP215" s="26"/>
      <c r="YQ215" s="26"/>
      <c r="YR215" s="26"/>
      <c r="YS215" s="26"/>
      <c r="YT215" s="26"/>
      <c r="YU215" s="26"/>
      <c r="YV215" s="26"/>
      <c r="YW215" s="26"/>
      <c r="YX215" s="26"/>
      <c r="YY215" s="26"/>
      <c r="YZ215" s="26"/>
      <c r="ZA215" s="26"/>
      <c r="ZB215" s="26"/>
      <c r="ZC215" s="26"/>
      <c r="ZD215" s="26"/>
      <c r="ZE215" s="26"/>
      <c r="ZF215" s="26"/>
      <c r="ZG215" s="26"/>
      <c r="ZH215" s="26"/>
      <c r="ZI215" s="26"/>
      <c r="ZJ215" s="26"/>
      <c r="ZK215" s="26"/>
      <c r="ZL215" s="26"/>
      <c r="ZM215" s="26"/>
      <c r="ZN215" s="26"/>
      <c r="ZO215" s="26"/>
      <c r="ZP215" s="26"/>
      <c r="ZQ215" s="26"/>
      <c r="ZR215" s="26"/>
      <c r="ZS215" s="26"/>
      <c r="ZT215" s="26"/>
      <c r="ZU215" s="26"/>
      <c r="ZV215" s="26"/>
      <c r="ZW215" s="26"/>
      <c r="ZX215" s="26"/>
      <c r="ZY215" s="26"/>
      <c r="ZZ215" s="26"/>
      <c r="AAA215" s="26"/>
      <c r="AAB215" s="26"/>
      <c r="AAC215" s="26"/>
      <c r="AAD215" s="26"/>
      <c r="AAE215" s="26"/>
      <c r="AAF215" s="26"/>
      <c r="AAG215" s="26"/>
      <c r="AAH215" s="26"/>
      <c r="AAI215" s="26"/>
      <c r="AAJ215" s="26"/>
      <c r="AAK215" s="26"/>
      <c r="AAL215" s="26"/>
      <c r="AAM215" s="26"/>
      <c r="AAN215" s="26"/>
      <c r="AAO215" s="26"/>
      <c r="AAP215" s="26"/>
      <c r="AAQ215" s="26"/>
      <c r="AAR215" s="26"/>
      <c r="AAS215" s="26"/>
      <c r="AAT215" s="26"/>
      <c r="AAU215" s="26"/>
      <c r="AAV215" s="26"/>
      <c r="AAW215" s="26"/>
      <c r="AAX215" s="26"/>
      <c r="AAY215" s="26"/>
      <c r="AAZ215" s="26"/>
      <c r="ABA215" s="26"/>
      <c r="ABB215" s="26"/>
      <c r="ABC215" s="26"/>
      <c r="ABD215" s="26"/>
      <c r="ABE215" s="26"/>
      <c r="ABF215" s="26"/>
      <c r="ABG215" s="26"/>
      <c r="ABH215" s="26"/>
      <c r="ABI215" s="26"/>
      <c r="ABJ215" s="26"/>
      <c r="ABK215" s="26"/>
      <c r="ABL215" s="26"/>
      <c r="ABM215" s="26"/>
      <c r="ABN215" s="26"/>
      <c r="ABO215" s="26"/>
      <c r="ABP215" s="26"/>
      <c r="ABQ215" s="26"/>
      <c r="ABR215" s="26"/>
      <c r="ABS215" s="26"/>
      <c r="ABT215" s="26"/>
      <c r="ABU215" s="26"/>
      <c r="ABV215" s="26"/>
      <c r="ABW215" s="26"/>
      <c r="ABX215" s="26"/>
      <c r="ABY215" s="26"/>
      <c r="ABZ215" s="26"/>
      <c r="ACA215" s="26"/>
      <c r="ACB215" s="26"/>
      <c r="ACC215" s="26"/>
      <c r="ACD215" s="26"/>
      <c r="ACE215" s="26"/>
      <c r="ACF215" s="26"/>
      <c r="ACG215" s="26"/>
      <c r="ACH215" s="26"/>
      <c r="ACI215" s="26"/>
      <c r="ACJ215" s="26"/>
      <c r="ACK215" s="26"/>
      <c r="ACL215" s="26"/>
      <c r="ACM215" s="26"/>
      <c r="ACN215" s="26"/>
      <c r="ACO215" s="26"/>
      <c r="ACP215" s="26"/>
      <c r="ACQ215" s="26"/>
      <c r="ACR215" s="26"/>
      <c r="ACS215" s="26"/>
      <c r="ACT215" s="26"/>
      <c r="ACU215" s="26"/>
      <c r="ACV215" s="26"/>
      <c r="ACW215" s="26"/>
      <c r="ACX215" s="26"/>
      <c r="ACY215" s="26"/>
      <c r="ACZ215" s="26"/>
      <c r="ADA215" s="26"/>
      <c r="ADB215" s="26"/>
      <c r="ADC215" s="26"/>
      <c r="ADD215" s="26"/>
      <c r="ADE215" s="26"/>
      <c r="ADF215" s="26"/>
      <c r="ADG215" s="26"/>
      <c r="ADH215" s="26"/>
      <c r="ADI215" s="26"/>
      <c r="ADJ215" s="26"/>
      <c r="ADK215" s="26"/>
      <c r="ADL215" s="26"/>
      <c r="ADM215" s="26"/>
      <c r="ADN215" s="26"/>
      <c r="ADO215" s="26"/>
      <c r="ADP215" s="26"/>
      <c r="ADQ215" s="26"/>
      <c r="ADR215" s="26"/>
      <c r="ADS215" s="26"/>
      <c r="ADT215" s="26"/>
      <c r="ADU215" s="26"/>
      <c r="ADV215" s="26"/>
      <c r="ADW215" s="26"/>
      <c r="ADX215" s="26"/>
      <c r="ADY215" s="26"/>
      <c r="ADZ215" s="26"/>
      <c r="AEA215" s="26"/>
      <c r="AEB215" s="26"/>
      <c r="AEC215" s="26"/>
      <c r="AED215" s="26"/>
      <c r="AEE215" s="26"/>
      <c r="AEF215" s="26"/>
      <c r="AEG215" s="26"/>
      <c r="AEH215" s="26"/>
      <c r="AEI215" s="26"/>
      <c r="AEJ215" s="26"/>
      <c r="AEK215" s="26"/>
      <c r="AEL215" s="26"/>
      <c r="AEM215" s="26"/>
      <c r="AEN215" s="26"/>
      <c r="AEO215" s="26"/>
      <c r="AEP215" s="26"/>
      <c r="AEQ215" s="26"/>
      <c r="AER215" s="26"/>
      <c r="AES215" s="26"/>
      <c r="AET215" s="26"/>
      <c r="AEU215" s="26"/>
      <c r="AEV215" s="26"/>
      <c r="AEW215" s="26"/>
      <c r="AEX215" s="26"/>
      <c r="AEY215" s="26"/>
      <c r="AEZ215" s="26"/>
      <c r="AFA215" s="26"/>
      <c r="AFB215" s="26"/>
      <c r="AFC215" s="26"/>
      <c r="AFD215" s="26"/>
      <c r="AFE215" s="26"/>
      <c r="AFF215" s="26"/>
      <c r="AFG215" s="26"/>
      <c r="AFH215" s="26"/>
      <c r="AFI215" s="26"/>
      <c r="AFJ215" s="26"/>
      <c r="AFK215" s="26"/>
      <c r="AFL215" s="26"/>
      <c r="AFM215" s="26"/>
      <c r="AFN215" s="26"/>
      <c r="AFO215" s="26"/>
      <c r="AFP215" s="26"/>
      <c r="AFQ215" s="26"/>
      <c r="AFR215" s="26"/>
      <c r="AFS215" s="26"/>
      <c r="AFT215" s="26"/>
      <c r="AFU215" s="26"/>
      <c r="AFV215" s="26"/>
      <c r="AFW215" s="26"/>
      <c r="AFX215" s="26"/>
      <c r="AFY215" s="26"/>
      <c r="AFZ215" s="26"/>
      <c r="AGA215" s="26"/>
      <c r="AGB215" s="26"/>
      <c r="AGC215" s="26"/>
      <c r="AGD215" s="26"/>
      <c r="AGE215" s="26"/>
      <c r="AGF215" s="26"/>
      <c r="AGG215" s="26"/>
      <c r="AGH215" s="26"/>
      <c r="AGI215" s="26"/>
      <c r="AGJ215" s="26"/>
      <c r="AGK215" s="26"/>
      <c r="AGL215" s="26"/>
      <c r="AGM215" s="26"/>
      <c r="AGN215" s="26"/>
      <c r="AGO215" s="26"/>
      <c r="AGP215" s="26"/>
      <c r="AGQ215" s="26"/>
      <c r="AGR215" s="26"/>
      <c r="AGS215" s="26"/>
      <c r="AGT215" s="26"/>
      <c r="AGU215" s="26"/>
      <c r="AGV215" s="26"/>
      <c r="AGW215" s="26"/>
      <c r="AGX215" s="26"/>
      <c r="AGY215" s="26"/>
      <c r="AGZ215" s="26"/>
      <c r="AHA215" s="26"/>
      <c r="AHB215" s="26"/>
      <c r="AHC215" s="26"/>
      <c r="AHD215" s="26"/>
      <c r="AHE215" s="26"/>
      <c r="AHF215" s="26"/>
      <c r="AHG215" s="26"/>
      <c r="AHH215" s="26"/>
      <c r="AHI215" s="26"/>
      <c r="AHJ215" s="26"/>
      <c r="AHK215" s="26"/>
      <c r="AHL215" s="26"/>
      <c r="AHM215" s="26"/>
      <c r="AHN215" s="26"/>
      <c r="AHO215" s="26"/>
      <c r="AHP215" s="26"/>
      <c r="AHQ215" s="26"/>
      <c r="AHR215" s="26"/>
      <c r="AHS215" s="26"/>
      <c r="AHT215" s="26"/>
      <c r="AHU215" s="26"/>
      <c r="AHV215" s="26"/>
      <c r="AHW215" s="26"/>
      <c r="AHX215" s="26"/>
      <c r="AHY215" s="26"/>
      <c r="AHZ215" s="26"/>
      <c r="AIA215" s="26"/>
      <c r="AIB215" s="26"/>
      <c r="AIC215" s="26"/>
      <c r="AID215" s="26"/>
      <c r="AIE215" s="26"/>
      <c r="AIF215" s="26"/>
      <c r="AIG215" s="26"/>
      <c r="AIH215" s="26"/>
      <c r="AII215" s="26"/>
      <c r="AIJ215" s="26"/>
      <c r="AIK215" s="26"/>
      <c r="AIL215" s="26"/>
      <c r="AIM215" s="26"/>
      <c r="AIN215" s="26"/>
      <c r="AIO215" s="26"/>
      <c r="AIP215" s="26"/>
      <c r="AIQ215" s="26"/>
      <c r="AIR215" s="26"/>
      <c r="AIS215" s="26"/>
      <c r="AIT215" s="26"/>
      <c r="AIU215" s="26"/>
      <c r="AIV215" s="26"/>
      <c r="AIW215" s="26"/>
      <c r="AIX215" s="26"/>
      <c r="AIY215" s="26"/>
      <c r="AIZ215" s="26"/>
      <c r="AJA215" s="26"/>
      <c r="AJB215" s="26"/>
      <c r="AJC215" s="26"/>
      <c r="AJD215" s="26"/>
      <c r="AJE215" s="26"/>
      <c r="AJF215" s="26"/>
      <c r="AJG215" s="26"/>
      <c r="AJH215" s="26"/>
      <c r="AJI215" s="26"/>
      <c r="AJJ215" s="26"/>
      <c r="AJK215" s="26"/>
      <c r="AJL215" s="26"/>
      <c r="AJM215" s="26"/>
      <c r="AJN215" s="26"/>
      <c r="AJO215" s="26"/>
      <c r="AJP215" s="26"/>
      <c r="AJQ215" s="26"/>
      <c r="AJR215" s="26"/>
      <c r="AJS215" s="26"/>
      <c r="AJT215" s="26"/>
      <c r="AJU215" s="26"/>
      <c r="AJV215" s="26"/>
      <c r="AJW215" s="26"/>
      <c r="AJX215" s="26"/>
      <c r="AJY215" s="26"/>
      <c r="AJZ215" s="26"/>
      <c r="AKA215" s="26"/>
      <c r="AKB215" s="26"/>
      <c r="AKC215" s="26"/>
      <c r="AKD215" s="26"/>
      <c r="AKE215" s="26"/>
      <c r="AKF215" s="26"/>
      <c r="AKG215" s="26"/>
      <c r="AKH215" s="26"/>
      <c r="AKI215" s="26"/>
      <c r="AKJ215" s="26"/>
      <c r="AKK215" s="26"/>
      <c r="AKL215" s="26"/>
      <c r="AKM215" s="26"/>
      <c r="AKN215" s="26"/>
      <c r="AKO215" s="26"/>
      <c r="AKP215" s="26"/>
      <c r="AKQ215" s="26"/>
      <c r="AKR215" s="26"/>
      <c r="AKS215" s="26"/>
      <c r="AKT215" s="26"/>
      <c r="AKU215" s="26"/>
      <c r="AKV215" s="26"/>
      <c r="AKW215" s="26"/>
      <c r="AKX215" s="26"/>
      <c r="AKY215" s="26"/>
      <c r="AKZ215" s="26"/>
      <c r="ALA215" s="26"/>
      <c r="ALB215" s="26"/>
      <c r="ALC215" s="26"/>
      <c r="ALD215" s="26"/>
      <c r="ALE215" s="26"/>
      <c r="ALF215" s="26"/>
      <c r="ALG215" s="26"/>
      <c r="ALH215" s="26"/>
      <c r="ALI215" s="26"/>
      <c r="ALJ215" s="26"/>
      <c r="ALK215" s="26"/>
      <c r="ALL215" s="26"/>
      <c r="ALM215" s="26"/>
      <c r="ALN215" s="26"/>
      <c r="ALO215" s="26"/>
      <c r="ALP215" s="26"/>
      <c r="ALQ215" s="26"/>
      <c r="ALR215" s="26"/>
      <c r="ALS215" s="26"/>
      <c r="ALT215" s="26"/>
      <c r="ALU215" s="26"/>
      <c r="ALV215" s="26"/>
      <c r="ALW215" s="26"/>
      <c r="ALX215" s="26"/>
      <c r="ALY215" s="26"/>
      <c r="ALZ215" s="26"/>
      <c r="AMA215" s="26"/>
      <c r="AMB215" s="26"/>
      <c r="AMC215" s="26"/>
      <c r="AMD215" s="26"/>
      <c r="AME215" s="26"/>
      <c r="AMF215" s="26"/>
      <c r="AMG215" s="26"/>
      <c r="AMH215" s="26"/>
      <c r="AMI215" s="26"/>
      <c r="AMJ215" s="26"/>
      <c r="AMK215" s="26"/>
      <c r="AML215" s="26"/>
      <c r="AMM215" s="26"/>
      <c r="AMN215" s="26"/>
      <c r="AMO215" s="26"/>
      <c r="AMP215" s="26"/>
      <c r="AMQ215" s="26"/>
      <c r="AMR215" s="26"/>
      <c r="AMS215" s="26"/>
      <c r="AMT215" s="26"/>
      <c r="AMU215" s="26"/>
      <c r="AMV215" s="26"/>
      <c r="AMW215" s="26"/>
      <c r="AMX215" s="26"/>
      <c r="AMY215" s="26"/>
      <c r="AMZ215" s="26"/>
      <c r="ANA215" s="26"/>
      <c r="ANB215" s="26"/>
      <c r="ANC215" s="26"/>
      <c r="AND215" s="26"/>
      <c r="ANE215" s="26"/>
      <c r="ANF215" s="26"/>
      <c r="ANG215" s="26"/>
      <c r="ANH215" s="26"/>
      <c r="ANI215" s="26"/>
      <c r="ANJ215" s="26"/>
      <c r="ANK215" s="26"/>
      <c r="ANL215" s="26"/>
      <c r="ANM215" s="26"/>
      <c r="ANN215" s="26"/>
      <c r="ANO215" s="26"/>
      <c r="ANP215" s="26"/>
      <c r="ANQ215" s="26"/>
      <c r="ANR215" s="26"/>
      <c r="ANS215" s="26"/>
      <c r="ANT215" s="26"/>
      <c r="ANU215" s="26"/>
      <c r="ANV215" s="26"/>
      <c r="ANW215" s="26"/>
      <c r="ANX215" s="26"/>
      <c r="ANY215" s="26"/>
      <c r="ANZ215" s="26"/>
      <c r="AOA215" s="26"/>
      <c r="AOB215" s="26"/>
      <c r="AOC215" s="26"/>
      <c r="AOD215" s="26"/>
      <c r="AOE215" s="26"/>
      <c r="AOF215" s="26"/>
      <c r="AOG215" s="26"/>
      <c r="AOH215" s="26"/>
      <c r="AOI215" s="26"/>
      <c r="AOJ215" s="26"/>
      <c r="AOK215" s="26"/>
      <c r="AOL215" s="26"/>
      <c r="AOM215" s="26"/>
      <c r="AON215" s="26"/>
      <c r="AOO215" s="26"/>
      <c r="AOP215" s="26"/>
      <c r="AOQ215" s="26"/>
      <c r="AOR215" s="26"/>
      <c r="AOS215" s="26"/>
      <c r="AOT215" s="26"/>
      <c r="AOU215" s="26"/>
      <c r="AOV215" s="26"/>
      <c r="AOW215" s="26"/>
      <c r="AOX215" s="26"/>
      <c r="AOY215" s="26"/>
      <c r="AOZ215" s="26"/>
      <c r="APA215" s="26"/>
      <c r="APB215" s="26"/>
      <c r="APC215" s="26"/>
      <c r="APD215" s="26"/>
      <c r="APE215" s="26"/>
      <c r="APF215" s="26"/>
      <c r="APG215" s="26"/>
      <c r="APH215" s="26"/>
      <c r="API215" s="26"/>
      <c r="APJ215" s="26"/>
      <c r="APK215" s="26"/>
      <c r="APL215" s="26"/>
      <c r="APM215" s="26"/>
      <c r="APN215" s="26"/>
      <c r="APO215" s="26"/>
      <c r="APP215" s="26"/>
      <c r="APQ215" s="26"/>
      <c r="APR215" s="26"/>
      <c r="APS215" s="26"/>
      <c r="APT215" s="26"/>
      <c r="APU215" s="26"/>
      <c r="APV215" s="26"/>
      <c r="APW215" s="26"/>
      <c r="APX215" s="26"/>
      <c r="APY215" s="26"/>
      <c r="APZ215" s="26"/>
      <c r="AQA215" s="26"/>
      <c r="AQB215" s="26"/>
      <c r="AQC215" s="26"/>
      <c r="AQD215" s="26"/>
      <c r="AQE215" s="26"/>
      <c r="AQF215" s="26"/>
      <c r="AQG215" s="26"/>
      <c r="AQH215" s="26"/>
      <c r="AQI215" s="26"/>
      <c r="AQJ215" s="26"/>
      <c r="AQK215" s="26"/>
      <c r="AQL215" s="26"/>
      <c r="AQM215" s="26"/>
      <c r="AQN215" s="26"/>
      <c r="AQO215" s="26"/>
      <c r="AQP215" s="26"/>
      <c r="AQQ215" s="26"/>
      <c r="AQR215" s="26"/>
      <c r="AQS215" s="26"/>
      <c r="AQT215" s="26"/>
      <c r="AQU215" s="26"/>
      <c r="AQV215" s="26"/>
      <c r="AQW215" s="26"/>
      <c r="AQX215" s="26"/>
      <c r="AQY215" s="26"/>
      <c r="AQZ215" s="26"/>
      <c r="ARA215" s="26"/>
      <c r="ARB215" s="26"/>
      <c r="ARC215" s="26"/>
      <c r="ARD215" s="26"/>
      <c r="ARE215" s="26"/>
      <c r="ARF215" s="26"/>
      <c r="ARG215" s="26"/>
      <c r="ARH215" s="26"/>
      <c r="ARI215" s="26"/>
      <c r="ARJ215" s="26"/>
      <c r="ARK215" s="26"/>
      <c r="ARL215" s="26"/>
      <c r="ARM215" s="26"/>
      <c r="ARN215" s="26"/>
      <c r="ARO215" s="26"/>
      <c r="ARP215" s="26"/>
      <c r="ARQ215" s="26"/>
      <c r="ARR215" s="26"/>
      <c r="ARS215" s="26"/>
      <c r="ART215" s="26"/>
      <c r="ARU215" s="26"/>
      <c r="ARV215" s="26"/>
      <c r="ARW215" s="26"/>
      <c r="ARX215" s="26"/>
      <c r="ARY215" s="26"/>
      <c r="ARZ215" s="26"/>
      <c r="ASA215" s="26"/>
      <c r="ASB215" s="26"/>
      <c r="ASC215" s="26"/>
      <c r="ASD215" s="26"/>
      <c r="ASE215" s="26"/>
      <c r="ASF215" s="26"/>
      <c r="ASG215" s="26"/>
      <c r="ASH215" s="26"/>
      <c r="ASI215" s="26"/>
      <c r="ASJ215" s="26"/>
      <c r="ASK215" s="26"/>
      <c r="ASL215" s="26"/>
      <c r="ASM215" s="26"/>
      <c r="ASN215" s="26"/>
      <c r="ASO215" s="26"/>
      <c r="ASP215" s="26"/>
      <c r="ASQ215" s="26"/>
      <c r="ASR215" s="26"/>
      <c r="ASS215" s="26"/>
      <c r="AST215" s="26"/>
      <c r="ASU215" s="26"/>
      <c r="ASV215" s="26"/>
      <c r="ASW215" s="26"/>
      <c r="ASX215" s="26"/>
      <c r="ASY215" s="26"/>
      <c r="ASZ215" s="26"/>
      <c r="ATA215" s="26"/>
      <c r="ATB215" s="26"/>
      <c r="ATC215" s="26"/>
      <c r="ATD215" s="26"/>
      <c r="ATE215" s="26"/>
      <c r="ATF215" s="26"/>
      <c r="ATG215" s="26"/>
      <c r="ATH215" s="26"/>
      <c r="ATI215" s="26"/>
      <c r="ATJ215" s="26"/>
      <c r="ATK215" s="26"/>
      <c r="ATL215" s="26"/>
      <c r="ATM215" s="26"/>
      <c r="ATN215" s="26"/>
      <c r="ATO215" s="26"/>
      <c r="ATP215" s="26"/>
      <c r="ATQ215" s="26"/>
      <c r="ATR215" s="26"/>
      <c r="ATS215" s="26"/>
      <c r="ATT215" s="26"/>
      <c r="ATU215" s="26"/>
      <c r="ATV215" s="26"/>
      <c r="ATW215" s="26"/>
      <c r="ATX215" s="26"/>
      <c r="ATY215" s="26"/>
      <c r="ATZ215" s="26"/>
      <c r="AUA215" s="26"/>
      <c r="AUB215" s="26"/>
      <c r="AUC215" s="26"/>
      <c r="AUD215" s="26"/>
      <c r="AUE215" s="26"/>
      <c r="AUF215" s="26"/>
      <c r="AUG215" s="26"/>
      <c r="AUH215" s="26"/>
      <c r="AUI215" s="26"/>
      <c r="AUJ215" s="26"/>
      <c r="AUK215" s="26"/>
      <c r="AUL215" s="26"/>
      <c r="AUM215" s="26"/>
      <c r="AUN215" s="26"/>
      <c r="AUO215" s="26"/>
      <c r="AUP215" s="26"/>
      <c r="AUQ215" s="26"/>
      <c r="AUR215" s="26"/>
      <c r="AUS215" s="26"/>
      <c r="AUT215" s="26"/>
      <c r="AUU215" s="26"/>
      <c r="AUV215" s="26"/>
      <c r="AUW215" s="26"/>
      <c r="AUX215" s="26"/>
      <c r="AUY215" s="26"/>
      <c r="AUZ215" s="26"/>
      <c r="AVA215" s="26"/>
      <c r="AVB215" s="26"/>
      <c r="AVC215" s="26"/>
      <c r="AVD215" s="26"/>
      <c r="AVE215" s="26"/>
      <c r="AVF215" s="26"/>
      <c r="AVG215" s="26"/>
      <c r="AVH215" s="26"/>
      <c r="AVI215" s="26"/>
      <c r="AVJ215" s="26"/>
      <c r="AVK215" s="26"/>
      <c r="AVL215" s="26"/>
      <c r="AVM215" s="26"/>
      <c r="AVN215" s="26"/>
      <c r="AVO215" s="26"/>
      <c r="AVP215" s="26"/>
      <c r="AVQ215" s="26"/>
      <c r="AVR215" s="26"/>
      <c r="AVS215" s="26"/>
      <c r="AVT215" s="26"/>
      <c r="AVU215" s="26"/>
      <c r="AVV215" s="26"/>
      <c r="AVW215" s="26"/>
      <c r="AVX215" s="26"/>
      <c r="AVY215" s="26"/>
      <c r="AVZ215" s="26"/>
      <c r="AWA215" s="26"/>
      <c r="AWB215" s="26"/>
      <c r="AWC215" s="26"/>
      <c r="AWD215" s="26"/>
      <c r="AWE215" s="26"/>
      <c r="AWF215" s="26"/>
      <c r="AWG215" s="26"/>
      <c r="AWH215" s="26"/>
      <c r="AWI215" s="26"/>
      <c r="AWJ215" s="26"/>
      <c r="AWK215" s="26"/>
      <c r="AWL215" s="26"/>
      <c r="AWM215" s="26"/>
      <c r="AWN215" s="26"/>
      <c r="AWO215" s="26"/>
      <c r="AWP215" s="26"/>
      <c r="AWQ215" s="26"/>
      <c r="AWR215" s="26"/>
      <c r="AWS215" s="26"/>
      <c r="AWT215" s="26"/>
      <c r="AWU215" s="26"/>
      <c r="AWV215" s="26"/>
      <c r="AWW215" s="26"/>
      <c r="AWX215" s="26"/>
      <c r="AWY215" s="26"/>
      <c r="AWZ215" s="26"/>
      <c r="AXA215" s="26"/>
      <c r="AXB215" s="26"/>
      <c r="AXC215" s="26"/>
      <c r="AXD215" s="26"/>
      <c r="AXE215" s="26"/>
      <c r="AXF215" s="26"/>
      <c r="AXG215" s="26"/>
      <c r="AXH215" s="26"/>
      <c r="AXI215" s="26"/>
      <c r="AXJ215" s="26"/>
      <c r="AXK215" s="26"/>
      <c r="AXL215" s="26"/>
      <c r="AXM215" s="26"/>
      <c r="AXN215" s="26"/>
      <c r="AXO215" s="26"/>
      <c r="AXP215" s="26"/>
      <c r="AXQ215" s="26"/>
      <c r="AXR215" s="26"/>
      <c r="AXS215" s="26"/>
      <c r="AXT215" s="26"/>
      <c r="AXU215" s="26"/>
      <c r="AXV215" s="26"/>
      <c r="AXW215" s="26"/>
      <c r="AXX215" s="26"/>
      <c r="AXY215" s="26"/>
      <c r="AXZ215" s="26"/>
      <c r="AYA215" s="26"/>
      <c r="AYB215" s="26"/>
      <c r="AYC215" s="26"/>
      <c r="AYD215" s="26"/>
      <c r="AYE215" s="26"/>
      <c r="AYF215" s="26"/>
      <c r="AYG215" s="26"/>
      <c r="AYH215" s="26"/>
      <c r="AYI215" s="26"/>
      <c r="AYJ215" s="26"/>
      <c r="AYK215" s="26"/>
      <c r="AYL215" s="26"/>
      <c r="AYM215" s="26"/>
      <c r="AYN215" s="26"/>
      <c r="AYO215" s="26"/>
      <c r="AYP215" s="26"/>
      <c r="AYQ215" s="26"/>
      <c r="AYR215" s="26"/>
      <c r="AYS215" s="26"/>
      <c r="AYT215" s="26"/>
      <c r="AYU215" s="26"/>
      <c r="AYV215" s="26"/>
      <c r="AYW215" s="26"/>
      <c r="AYX215" s="26"/>
      <c r="AYY215" s="26"/>
      <c r="AYZ215" s="26"/>
      <c r="AZA215" s="26"/>
      <c r="AZB215" s="26"/>
      <c r="AZC215" s="26"/>
      <c r="AZD215" s="26"/>
      <c r="AZE215" s="26"/>
      <c r="AZF215" s="26"/>
      <c r="AZG215" s="26"/>
      <c r="AZH215" s="26"/>
      <c r="AZI215" s="26"/>
      <c r="AZJ215" s="26"/>
      <c r="AZK215" s="26"/>
      <c r="AZL215" s="26"/>
      <c r="AZM215" s="26"/>
      <c r="AZN215" s="26"/>
      <c r="AZO215" s="26"/>
      <c r="AZP215" s="26"/>
      <c r="AZQ215" s="26"/>
      <c r="AZR215" s="26"/>
      <c r="AZS215" s="26"/>
      <c r="AZT215" s="26"/>
      <c r="AZU215" s="26"/>
      <c r="AZV215" s="26"/>
      <c r="AZW215" s="26"/>
      <c r="AZX215" s="26"/>
      <c r="AZY215" s="26"/>
      <c r="AZZ215" s="26"/>
      <c r="BAA215" s="26"/>
      <c r="BAB215" s="26"/>
      <c r="BAC215" s="26"/>
      <c r="BAD215" s="26"/>
      <c r="BAE215" s="26"/>
      <c r="BAF215" s="26"/>
      <c r="BAG215" s="26"/>
      <c r="BAH215" s="26"/>
      <c r="BAI215" s="26"/>
      <c r="BAJ215" s="26"/>
      <c r="BAK215" s="26"/>
      <c r="BAL215" s="26"/>
      <c r="BAM215" s="26"/>
      <c r="BAN215" s="26"/>
      <c r="BAO215" s="26"/>
      <c r="BAP215" s="26"/>
      <c r="BAQ215" s="26"/>
      <c r="BAR215" s="26"/>
      <c r="BAS215" s="26"/>
      <c r="BAT215" s="26"/>
      <c r="BAU215" s="26"/>
      <c r="BAV215" s="26"/>
      <c r="BAW215" s="26"/>
      <c r="BAX215" s="26"/>
      <c r="BAY215" s="26"/>
      <c r="BAZ215" s="26"/>
      <c r="BBA215" s="26"/>
      <c r="BBB215" s="26"/>
      <c r="BBC215" s="26"/>
      <c r="BBD215" s="26"/>
      <c r="BBE215" s="26"/>
      <c r="BBF215" s="26"/>
      <c r="BBG215" s="26"/>
      <c r="BBH215" s="26"/>
      <c r="BBI215" s="26"/>
      <c r="BBJ215" s="26"/>
      <c r="BBK215" s="26"/>
      <c r="BBL215" s="26"/>
      <c r="BBM215" s="26"/>
      <c r="BBN215" s="26"/>
      <c r="BBO215" s="26"/>
      <c r="BBP215" s="26"/>
      <c r="BBQ215" s="26"/>
      <c r="BBR215" s="26"/>
      <c r="BBS215" s="26"/>
      <c r="BBT215" s="26"/>
      <c r="BBU215" s="26"/>
      <c r="BBV215" s="26"/>
      <c r="BBW215" s="26"/>
      <c r="BBX215" s="26"/>
      <c r="BBY215" s="26"/>
      <c r="BBZ215" s="26"/>
      <c r="BCA215" s="26"/>
      <c r="BCB215" s="26"/>
      <c r="BCC215" s="26"/>
      <c r="BCD215" s="26"/>
      <c r="BCE215" s="26"/>
      <c r="BCF215" s="26"/>
      <c r="BCG215" s="26"/>
      <c r="BCH215" s="26"/>
      <c r="BCI215" s="26"/>
      <c r="BCJ215" s="26"/>
      <c r="BCK215" s="26"/>
      <c r="BCL215" s="26"/>
      <c r="BCM215" s="26"/>
      <c r="BCN215" s="26"/>
      <c r="BCO215" s="26"/>
      <c r="BCP215" s="26"/>
      <c r="BCQ215" s="26"/>
      <c r="BCR215" s="26"/>
      <c r="BCS215" s="26"/>
      <c r="BCT215" s="26"/>
      <c r="BCU215" s="26"/>
      <c r="BCV215" s="26"/>
      <c r="BCW215" s="26"/>
      <c r="BCX215" s="26"/>
      <c r="BCY215" s="26"/>
      <c r="BCZ215" s="26"/>
      <c r="BDA215" s="26"/>
      <c r="BDB215" s="26"/>
      <c r="BDC215" s="26"/>
      <c r="BDD215" s="26"/>
      <c r="BDE215" s="26"/>
      <c r="BDF215" s="26"/>
      <c r="BDG215" s="26"/>
      <c r="BDH215" s="26"/>
      <c r="BDI215" s="26"/>
      <c r="BDJ215" s="26"/>
      <c r="BDK215" s="26"/>
      <c r="BDL215" s="26"/>
      <c r="BDM215" s="26"/>
      <c r="BDN215" s="26"/>
      <c r="BDO215" s="26"/>
      <c r="BDP215" s="26"/>
      <c r="BDQ215" s="26"/>
      <c r="BDR215" s="26"/>
      <c r="BDS215" s="26"/>
      <c r="BDT215" s="26"/>
      <c r="BDU215" s="26"/>
      <c r="BDV215" s="26"/>
      <c r="BDW215" s="26"/>
      <c r="BDX215" s="26"/>
      <c r="BDY215" s="26"/>
      <c r="BDZ215" s="26"/>
      <c r="BEA215" s="26"/>
      <c r="BEB215" s="26"/>
      <c r="BEC215" s="26"/>
      <c r="BED215" s="26"/>
      <c r="BEE215" s="26"/>
      <c r="BEF215" s="26"/>
      <c r="BEG215" s="26"/>
      <c r="BEH215" s="26"/>
      <c r="BEI215" s="26"/>
      <c r="BEJ215" s="26"/>
      <c r="BEK215" s="26"/>
      <c r="BEL215" s="26"/>
      <c r="BEM215" s="26"/>
      <c r="BEN215" s="26"/>
      <c r="BEO215" s="26"/>
      <c r="BEP215" s="26"/>
      <c r="BEQ215" s="26"/>
      <c r="BER215" s="26"/>
      <c r="BES215" s="26"/>
      <c r="BET215" s="26"/>
      <c r="BEU215" s="26"/>
      <c r="BEV215" s="26"/>
      <c r="BEW215" s="26"/>
      <c r="BEX215" s="26"/>
      <c r="BEY215" s="26"/>
      <c r="BEZ215" s="26"/>
      <c r="BFA215" s="26"/>
      <c r="BFB215" s="26"/>
      <c r="BFC215" s="26"/>
      <c r="BFD215" s="26"/>
      <c r="BFE215" s="26"/>
      <c r="BFF215" s="26"/>
      <c r="BFG215" s="26"/>
      <c r="BFH215" s="26"/>
      <c r="BFI215" s="26"/>
      <c r="BFJ215" s="26"/>
      <c r="BFK215" s="26"/>
      <c r="BFL215" s="26"/>
      <c r="BFM215" s="26"/>
      <c r="BFN215" s="26"/>
      <c r="BFO215" s="26"/>
      <c r="BFP215" s="26"/>
      <c r="BFQ215" s="26"/>
      <c r="BFR215" s="26"/>
      <c r="BFS215" s="26"/>
      <c r="BFT215" s="26"/>
      <c r="BFU215" s="26"/>
      <c r="BFV215" s="26"/>
      <c r="BFW215" s="26"/>
      <c r="BFX215" s="26"/>
      <c r="BFY215" s="26"/>
      <c r="BFZ215" s="26"/>
      <c r="BGA215" s="26"/>
      <c r="BGB215" s="26"/>
      <c r="BGC215" s="26"/>
      <c r="BGD215" s="26"/>
      <c r="BGE215" s="26"/>
      <c r="BGF215" s="26"/>
      <c r="BGG215" s="26"/>
      <c r="BGH215" s="26"/>
      <c r="BGI215" s="26"/>
      <c r="BGJ215" s="26"/>
      <c r="BGK215" s="26"/>
      <c r="BGL215" s="26"/>
      <c r="BGM215" s="26"/>
      <c r="BGN215" s="26"/>
      <c r="BGO215" s="26"/>
      <c r="BGP215" s="26"/>
      <c r="BGQ215" s="26"/>
      <c r="BGR215" s="26"/>
      <c r="BGS215" s="26"/>
      <c r="BGT215" s="26"/>
      <c r="BGU215" s="26"/>
      <c r="BGV215" s="26"/>
      <c r="BGW215" s="26"/>
      <c r="BGX215" s="26"/>
      <c r="BGY215" s="26"/>
      <c r="BGZ215" s="26"/>
      <c r="BHA215" s="26"/>
      <c r="BHB215" s="26"/>
      <c r="BHC215" s="26"/>
      <c r="BHD215" s="26"/>
      <c r="BHE215" s="26"/>
      <c r="BHF215" s="26"/>
      <c r="BHG215" s="26"/>
      <c r="BHH215" s="26"/>
      <c r="BHI215" s="26"/>
      <c r="BHJ215" s="26"/>
      <c r="BHK215" s="26"/>
      <c r="BHL215" s="26"/>
      <c r="BHM215" s="26"/>
      <c r="BHN215" s="26"/>
      <c r="BHO215" s="26"/>
      <c r="BHP215" s="26"/>
      <c r="BHQ215" s="26"/>
      <c r="BHR215" s="26"/>
      <c r="BHS215" s="26"/>
      <c r="BHT215" s="26"/>
      <c r="BHU215" s="26"/>
      <c r="BHV215" s="26"/>
      <c r="BHW215" s="26"/>
      <c r="BHX215" s="26"/>
      <c r="BHY215" s="26"/>
      <c r="BHZ215" s="26"/>
      <c r="BIA215" s="26"/>
      <c r="BIB215" s="26"/>
      <c r="BIC215" s="26"/>
      <c r="BID215" s="26"/>
      <c r="BIE215" s="26"/>
      <c r="BIF215" s="26"/>
      <c r="BIG215" s="26"/>
      <c r="BIH215" s="26"/>
      <c r="BII215" s="26"/>
      <c r="BIJ215" s="26"/>
      <c r="BIK215" s="26"/>
      <c r="BIL215" s="26"/>
      <c r="BIM215" s="26"/>
      <c r="BIN215" s="26"/>
      <c r="BIO215" s="26"/>
      <c r="BIP215" s="26"/>
      <c r="BIQ215" s="26"/>
      <c r="BIR215" s="26"/>
      <c r="BIS215" s="26"/>
      <c r="BIT215" s="26"/>
      <c r="BIU215" s="26"/>
      <c r="BIV215" s="26"/>
      <c r="BIW215" s="26"/>
      <c r="BIX215" s="26"/>
      <c r="BIY215" s="26"/>
      <c r="BIZ215" s="26"/>
      <c r="BJA215" s="26"/>
      <c r="BJB215" s="26"/>
      <c r="BJC215" s="26"/>
      <c r="BJD215" s="26"/>
      <c r="BJE215" s="26"/>
      <c r="BJF215" s="26"/>
      <c r="BJG215" s="26"/>
      <c r="BJH215" s="26"/>
      <c r="BJI215" s="26"/>
      <c r="BJJ215" s="26"/>
      <c r="BJK215" s="26"/>
      <c r="BJL215" s="26"/>
      <c r="BJM215" s="26"/>
      <c r="BJN215" s="26"/>
      <c r="BJO215" s="26"/>
      <c r="BJP215" s="26"/>
      <c r="BJQ215" s="26"/>
      <c r="BJR215" s="26"/>
      <c r="BJS215" s="26"/>
      <c r="BJT215" s="26"/>
      <c r="BJU215" s="26"/>
      <c r="BJV215" s="26"/>
      <c r="BJW215" s="26"/>
      <c r="BJX215" s="26"/>
      <c r="BJY215" s="26"/>
      <c r="BJZ215" s="26"/>
      <c r="BKA215" s="26"/>
      <c r="BKB215" s="26"/>
      <c r="BKC215" s="26"/>
      <c r="BKD215" s="26"/>
      <c r="BKE215" s="26"/>
      <c r="BKF215" s="26"/>
      <c r="BKG215" s="26"/>
      <c r="BKH215" s="26"/>
      <c r="BKI215" s="26"/>
      <c r="BKJ215" s="26"/>
      <c r="BKK215" s="26"/>
      <c r="BKL215" s="26"/>
      <c r="BKM215" s="26"/>
      <c r="BKN215" s="26"/>
      <c r="BKO215" s="26"/>
      <c r="BKP215" s="26"/>
      <c r="BKQ215" s="26"/>
      <c r="BKR215" s="26"/>
      <c r="BKS215" s="26"/>
      <c r="BKT215" s="26"/>
      <c r="BKU215" s="26"/>
      <c r="BKV215" s="26"/>
      <c r="BKW215" s="26"/>
      <c r="BKX215" s="26"/>
      <c r="BKY215" s="26"/>
      <c r="BKZ215" s="26"/>
      <c r="BLA215" s="26"/>
      <c r="BLB215" s="26"/>
      <c r="BLC215" s="26"/>
      <c r="BLD215" s="26"/>
      <c r="BLE215" s="26"/>
      <c r="BLF215" s="26"/>
      <c r="BLG215" s="26"/>
      <c r="BLH215" s="26"/>
      <c r="BLI215" s="26"/>
      <c r="BLJ215" s="26"/>
      <c r="BLK215" s="26"/>
      <c r="BLL215" s="26"/>
      <c r="BLM215" s="26"/>
      <c r="BLN215" s="26"/>
      <c r="BLO215" s="26"/>
      <c r="BLP215" s="26"/>
      <c r="BLQ215" s="26"/>
      <c r="BLR215" s="26"/>
      <c r="BLS215" s="26"/>
      <c r="BLT215" s="26"/>
      <c r="BLU215" s="26"/>
      <c r="BLV215" s="26"/>
      <c r="BLW215" s="26"/>
      <c r="BLX215" s="26"/>
      <c r="BLY215" s="26"/>
      <c r="BLZ215" s="26"/>
      <c r="BMA215" s="26"/>
      <c r="BMB215" s="26"/>
      <c r="BMC215" s="26"/>
      <c r="BMD215" s="26"/>
      <c r="BME215" s="26"/>
      <c r="BMF215" s="26"/>
      <c r="BMG215" s="26"/>
      <c r="BMH215" s="26"/>
      <c r="BMI215" s="26"/>
      <c r="BMJ215" s="26"/>
      <c r="BMK215" s="26"/>
      <c r="BML215" s="26"/>
      <c r="BMM215" s="26"/>
      <c r="BMN215" s="26"/>
      <c r="BMO215" s="26"/>
      <c r="BMP215" s="26"/>
      <c r="BMQ215" s="26"/>
      <c r="BMR215" s="26"/>
      <c r="BMS215" s="26"/>
      <c r="BMT215" s="26"/>
      <c r="BMU215" s="26"/>
      <c r="BMV215" s="26"/>
      <c r="BMW215" s="26"/>
      <c r="BMX215" s="26"/>
      <c r="BMY215" s="26"/>
      <c r="BMZ215" s="26"/>
      <c r="BNA215" s="26"/>
      <c r="BNB215" s="26"/>
      <c r="BNC215" s="26"/>
      <c r="BND215" s="26"/>
      <c r="BNE215" s="26"/>
      <c r="BNF215" s="26"/>
      <c r="BNG215" s="26"/>
      <c r="BNH215" s="26"/>
      <c r="BNI215" s="26"/>
      <c r="BNJ215" s="26"/>
      <c r="BNK215" s="26"/>
      <c r="BNL215" s="26"/>
      <c r="BNM215" s="26"/>
      <c r="BNN215" s="26"/>
      <c r="BNO215" s="26"/>
      <c r="BNP215" s="26"/>
      <c r="BNQ215" s="26"/>
      <c r="BNR215" s="26"/>
      <c r="BNS215" s="26"/>
      <c r="BNT215" s="26"/>
      <c r="BNU215" s="26"/>
      <c r="BNV215" s="26"/>
      <c r="BNW215" s="26"/>
      <c r="BNX215" s="26"/>
      <c r="BNY215" s="26"/>
      <c r="BNZ215" s="26"/>
      <c r="BOA215" s="26"/>
      <c r="BOB215" s="26"/>
      <c r="BOC215" s="26"/>
      <c r="BOD215" s="26"/>
      <c r="BOE215" s="26"/>
      <c r="BOF215" s="26"/>
      <c r="BOG215" s="26"/>
      <c r="BOH215" s="26"/>
      <c r="BOI215" s="26"/>
      <c r="BOJ215" s="26"/>
      <c r="BOK215" s="26"/>
      <c r="BOL215" s="26"/>
      <c r="BOM215" s="26"/>
      <c r="BON215" s="26"/>
      <c r="BOO215" s="26"/>
      <c r="BOP215" s="26"/>
      <c r="BOQ215" s="26"/>
      <c r="BOR215" s="26"/>
      <c r="BOS215" s="26"/>
      <c r="BOT215" s="26"/>
      <c r="BOU215" s="26"/>
      <c r="BOV215" s="26"/>
      <c r="BOW215" s="26"/>
      <c r="BOX215" s="26"/>
      <c r="BOY215" s="26"/>
      <c r="BOZ215" s="26"/>
      <c r="BPA215" s="26"/>
      <c r="BPB215" s="26"/>
      <c r="BPC215" s="26"/>
      <c r="BPD215" s="26"/>
      <c r="BPE215" s="26"/>
      <c r="BPF215" s="26"/>
      <c r="BPG215" s="26"/>
      <c r="BPH215" s="26"/>
      <c r="BPI215" s="26"/>
      <c r="BPJ215" s="26"/>
      <c r="BPK215" s="26"/>
      <c r="BPL215" s="26"/>
      <c r="BPM215" s="26"/>
      <c r="BPN215" s="26"/>
      <c r="BPO215" s="26"/>
      <c r="BPP215" s="26"/>
      <c r="BPQ215" s="26"/>
      <c r="BPR215" s="26"/>
      <c r="BPS215" s="26"/>
      <c r="BPT215" s="26"/>
      <c r="BPU215" s="26"/>
      <c r="BPV215" s="26"/>
      <c r="BPW215" s="26"/>
      <c r="BPX215" s="26"/>
      <c r="BPY215" s="26"/>
      <c r="BPZ215" s="26"/>
      <c r="BQA215" s="26"/>
      <c r="BQB215" s="26"/>
      <c r="BQC215" s="26"/>
      <c r="BQD215" s="26"/>
      <c r="BQE215" s="26"/>
      <c r="BQF215" s="26"/>
      <c r="BQG215" s="26"/>
      <c r="BQH215" s="26"/>
      <c r="BQI215" s="26"/>
      <c r="BQJ215" s="26"/>
      <c r="BQK215" s="26"/>
      <c r="BQL215" s="26"/>
      <c r="BQM215" s="26"/>
      <c r="BQN215" s="26"/>
      <c r="BQO215" s="26"/>
      <c r="BQP215" s="26"/>
      <c r="BQQ215" s="26"/>
      <c r="BQR215" s="26"/>
      <c r="BQS215" s="26"/>
      <c r="BQT215" s="26"/>
      <c r="BQU215" s="26"/>
      <c r="BQV215" s="26"/>
      <c r="BQW215" s="26"/>
      <c r="BQX215" s="26"/>
      <c r="BQY215" s="26"/>
      <c r="BQZ215" s="26"/>
      <c r="BRA215" s="26"/>
      <c r="BRB215" s="26"/>
      <c r="BRC215" s="26"/>
      <c r="BRD215" s="26"/>
      <c r="BRE215" s="26"/>
      <c r="BRF215" s="26"/>
      <c r="BRG215" s="26"/>
      <c r="BRH215" s="26"/>
      <c r="BRI215" s="26"/>
      <c r="BRJ215" s="26"/>
      <c r="BRK215" s="26"/>
      <c r="BRL215" s="26"/>
      <c r="BRM215" s="26"/>
      <c r="BRN215" s="26"/>
      <c r="BRO215" s="26"/>
      <c r="BRP215" s="26"/>
      <c r="BRQ215" s="26"/>
      <c r="BRR215" s="26"/>
      <c r="BRS215" s="26"/>
      <c r="BRT215" s="26"/>
      <c r="BRU215" s="26"/>
      <c r="BRV215" s="26"/>
      <c r="BRW215" s="26"/>
      <c r="BRX215" s="26"/>
      <c r="BRY215" s="26"/>
      <c r="BRZ215" s="26"/>
      <c r="BSA215" s="26"/>
      <c r="BSB215" s="26"/>
      <c r="BSC215" s="26"/>
      <c r="BSD215" s="26"/>
      <c r="BSE215" s="26"/>
      <c r="BSF215" s="26"/>
      <c r="BSG215" s="26"/>
      <c r="BSH215" s="26"/>
      <c r="BSI215" s="26"/>
      <c r="BSJ215" s="26"/>
      <c r="BSK215" s="26"/>
      <c r="BSL215" s="26"/>
      <c r="BSM215" s="26"/>
      <c r="BSN215" s="26"/>
      <c r="BSO215" s="26"/>
      <c r="BSP215" s="26"/>
      <c r="BSQ215" s="26"/>
      <c r="BSR215" s="26"/>
      <c r="BSS215" s="26"/>
      <c r="BST215" s="26"/>
      <c r="BSU215" s="26"/>
      <c r="BSV215" s="26"/>
      <c r="BSW215" s="26"/>
      <c r="BSX215" s="26"/>
      <c r="BSY215" s="26"/>
      <c r="BSZ215" s="26"/>
      <c r="BTA215" s="26"/>
      <c r="BTB215" s="26"/>
      <c r="BTC215" s="26"/>
      <c r="BTD215" s="26"/>
      <c r="BTE215" s="26"/>
      <c r="BTF215" s="26"/>
      <c r="BTG215" s="26"/>
      <c r="BTH215" s="26"/>
      <c r="BTI215" s="26"/>
      <c r="BTJ215" s="26"/>
      <c r="BTK215" s="26"/>
      <c r="BTL215" s="26"/>
      <c r="BTM215" s="26"/>
      <c r="BTN215" s="26"/>
      <c r="BTO215" s="26"/>
      <c r="BTP215" s="26"/>
      <c r="BTQ215" s="26"/>
      <c r="BTR215" s="26"/>
      <c r="BTS215" s="26"/>
      <c r="BTT215" s="26"/>
      <c r="BTU215" s="26"/>
      <c r="BTV215" s="26"/>
      <c r="BTW215" s="26"/>
      <c r="BTX215" s="26"/>
      <c r="BTY215" s="26"/>
      <c r="BTZ215" s="26"/>
      <c r="BUA215" s="26"/>
      <c r="BUB215" s="26"/>
      <c r="BUC215" s="26"/>
      <c r="BUD215" s="26"/>
      <c r="BUE215" s="26"/>
      <c r="BUF215" s="26"/>
      <c r="BUG215" s="26"/>
      <c r="BUH215" s="26"/>
      <c r="BUI215" s="26"/>
      <c r="BUJ215" s="26"/>
      <c r="BUK215" s="26"/>
      <c r="BUL215" s="26"/>
      <c r="BUM215" s="26"/>
      <c r="BUN215" s="26"/>
      <c r="BUO215" s="26"/>
      <c r="BUP215" s="26"/>
      <c r="BUQ215" s="26"/>
      <c r="BUR215" s="26"/>
      <c r="BUS215" s="26"/>
      <c r="BUT215" s="26"/>
      <c r="BUU215" s="26"/>
      <c r="BUV215" s="26"/>
      <c r="BUW215" s="26"/>
      <c r="BUX215" s="26"/>
      <c r="BUY215" s="26"/>
      <c r="BUZ215" s="26"/>
      <c r="BVA215" s="26"/>
      <c r="BVB215" s="26"/>
      <c r="BVC215" s="26"/>
      <c r="BVD215" s="26"/>
      <c r="BVE215" s="26"/>
      <c r="BVF215" s="26"/>
      <c r="BVG215" s="26"/>
      <c r="BVH215" s="26"/>
      <c r="BVI215" s="26"/>
      <c r="BVJ215" s="26"/>
      <c r="BVK215" s="26"/>
      <c r="BVL215" s="26"/>
      <c r="BVM215" s="26"/>
      <c r="BVN215" s="26"/>
      <c r="BVO215" s="26"/>
      <c r="BVP215" s="26"/>
      <c r="BVQ215" s="26"/>
      <c r="BVR215" s="26"/>
      <c r="BVS215" s="26"/>
      <c r="BVT215" s="26"/>
      <c r="BVU215" s="26"/>
      <c r="BVV215" s="26"/>
      <c r="BVW215" s="26"/>
      <c r="BVX215" s="26"/>
      <c r="BVY215" s="26"/>
      <c r="BVZ215" s="26"/>
      <c r="BWA215" s="26"/>
      <c r="BWB215" s="26"/>
      <c r="BWC215" s="26"/>
      <c r="BWD215" s="26"/>
      <c r="BWE215" s="26"/>
      <c r="BWF215" s="26"/>
      <c r="BWG215" s="26"/>
      <c r="BWH215" s="26"/>
      <c r="BWI215" s="26"/>
      <c r="BWJ215" s="26"/>
      <c r="BWK215" s="26"/>
      <c r="BWL215" s="26"/>
      <c r="BWM215" s="26"/>
      <c r="BWN215" s="26"/>
      <c r="BWO215" s="26"/>
      <c r="BWP215" s="26"/>
      <c r="BWQ215" s="26"/>
      <c r="BWR215" s="26"/>
      <c r="BWS215" s="26"/>
      <c r="BWT215" s="26"/>
      <c r="BWU215" s="26"/>
      <c r="BWV215" s="26"/>
      <c r="BWW215" s="26"/>
      <c r="BWX215" s="26"/>
      <c r="BWY215" s="26"/>
      <c r="BWZ215" s="26"/>
      <c r="BXA215" s="26"/>
      <c r="BXB215" s="26"/>
      <c r="BXC215" s="26"/>
      <c r="BXD215" s="26"/>
      <c r="BXE215" s="26"/>
      <c r="BXF215" s="26"/>
      <c r="BXG215" s="26"/>
      <c r="BXH215" s="26"/>
      <c r="BXI215" s="26"/>
      <c r="BXJ215" s="26"/>
      <c r="BXK215" s="26"/>
      <c r="BXL215" s="26"/>
      <c r="BXM215" s="26"/>
      <c r="BXN215" s="26"/>
      <c r="BXO215" s="26"/>
      <c r="BXP215" s="26"/>
      <c r="BXQ215" s="26"/>
      <c r="BXR215" s="26"/>
      <c r="BXS215" s="26"/>
      <c r="BXT215" s="26"/>
      <c r="BXU215" s="26"/>
      <c r="BXV215" s="26"/>
      <c r="BXW215" s="26"/>
      <c r="BXX215" s="26"/>
      <c r="BXY215" s="26"/>
      <c r="BXZ215" s="26"/>
      <c r="BYA215" s="26"/>
      <c r="BYB215" s="26"/>
      <c r="BYC215" s="26"/>
      <c r="BYD215" s="26"/>
      <c r="BYE215" s="26"/>
      <c r="BYF215" s="26"/>
      <c r="BYG215" s="26"/>
      <c r="BYH215" s="26"/>
      <c r="BYI215" s="26"/>
      <c r="BYJ215" s="26"/>
      <c r="BYK215" s="26"/>
      <c r="BYL215" s="26"/>
      <c r="BYM215" s="26"/>
      <c r="BYN215" s="26"/>
      <c r="BYO215" s="26"/>
      <c r="BYP215" s="26"/>
      <c r="BYQ215" s="26"/>
      <c r="BYR215" s="26"/>
      <c r="BYS215" s="26"/>
      <c r="BYT215" s="26"/>
      <c r="BYU215" s="26"/>
      <c r="BYV215" s="26"/>
      <c r="BYW215" s="26"/>
      <c r="BYX215" s="26"/>
      <c r="BYY215" s="26"/>
      <c r="BYZ215" s="26"/>
      <c r="BZA215" s="26"/>
      <c r="BZB215" s="26"/>
      <c r="BZC215" s="26"/>
      <c r="BZD215" s="26"/>
      <c r="BZE215" s="26"/>
      <c r="BZF215" s="26"/>
      <c r="BZG215" s="26"/>
      <c r="BZH215" s="26"/>
      <c r="BZI215" s="26"/>
      <c r="BZJ215" s="26"/>
      <c r="BZK215" s="26"/>
      <c r="BZL215" s="26"/>
      <c r="BZM215" s="26"/>
      <c r="BZN215" s="26"/>
      <c r="BZO215" s="26"/>
      <c r="BZP215" s="26"/>
      <c r="BZQ215" s="26"/>
      <c r="BZR215" s="26"/>
      <c r="BZS215" s="26"/>
      <c r="BZT215" s="26"/>
      <c r="BZU215" s="26"/>
      <c r="BZV215" s="26"/>
      <c r="BZW215" s="26"/>
      <c r="BZX215" s="26"/>
      <c r="BZY215" s="26"/>
      <c r="BZZ215" s="26"/>
      <c r="CAA215" s="26"/>
      <c r="CAB215" s="26"/>
      <c r="CAC215" s="26"/>
      <c r="CAD215" s="26"/>
      <c r="CAE215" s="26"/>
      <c r="CAF215" s="26"/>
      <c r="CAG215" s="26"/>
      <c r="CAH215" s="26"/>
      <c r="CAI215" s="26"/>
      <c r="CAJ215" s="26"/>
      <c r="CAK215" s="26"/>
      <c r="CAL215" s="26"/>
      <c r="CAM215" s="26"/>
      <c r="CAN215" s="26"/>
      <c r="CAO215" s="26"/>
      <c r="CAP215" s="26"/>
      <c r="CAQ215" s="26"/>
      <c r="CAR215" s="26"/>
      <c r="CAS215" s="26"/>
      <c r="CAT215" s="26"/>
      <c r="CAU215" s="26"/>
      <c r="CAV215" s="26"/>
      <c r="CAW215" s="26"/>
      <c r="CAX215" s="26"/>
      <c r="CAY215" s="26"/>
      <c r="CAZ215" s="26"/>
      <c r="CBA215" s="26"/>
      <c r="CBB215" s="26"/>
      <c r="CBC215" s="26"/>
      <c r="CBD215" s="26"/>
      <c r="CBE215" s="26"/>
      <c r="CBF215" s="26"/>
      <c r="CBG215" s="26"/>
      <c r="CBH215" s="26"/>
      <c r="CBI215" s="26"/>
    </row>
    <row r="216" spans="1:2089" s="41" customFormat="1" ht="14" customHeight="1">
      <c r="A216" s="27">
        <v>215</v>
      </c>
      <c r="B216" s="27" t="s">
        <v>378</v>
      </c>
      <c r="C216" s="27">
        <v>2006</v>
      </c>
      <c r="D216" s="26" t="s">
        <v>27</v>
      </c>
      <c r="E216" s="26" t="s">
        <v>563</v>
      </c>
      <c r="F216" s="77" t="s">
        <v>175</v>
      </c>
      <c r="G216" s="2" t="s">
        <v>84</v>
      </c>
      <c r="H216" s="2" t="s">
        <v>24</v>
      </c>
      <c r="I216" s="2" t="s">
        <v>548</v>
      </c>
      <c r="J216" s="2" t="s">
        <v>604</v>
      </c>
      <c r="K216" s="2" t="s">
        <v>548</v>
      </c>
      <c r="L216" s="2" t="s">
        <v>548</v>
      </c>
      <c r="M216" s="2" t="s">
        <v>175</v>
      </c>
      <c r="N216" s="2" t="s">
        <v>51</v>
      </c>
      <c r="O216" s="2" t="s">
        <v>43</v>
      </c>
      <c r="P216" s="2" t="s">
        <v>51</v>
      </c>
      <c r="Q216" s="2" t="s">
        <v>42</v>
      </c>
      <c r="R216" s="79" t="s">
        <v>613</v>
      </c>
      <c r="S216" s="2">
        <v>0</v>
      </c>
      <c r="T216" s="26">
        <v>66</v>
      </c>
      <c r="U216" s="77">
        <v>1</v>
      </c>
      <c r="V216" s="26">
        <v>0</v>
      </c>
      <c r="W216" s="26">
        <v>1</v>
      </c>
      <c r="X216" s="26">
        <v>0</v>
      </c>
      <c r="Y216" s="26">
        <v>1</v>
      </c>
      <c r="Z216" s="26">
        <v>1</v>
      </c>
      <c r="AA216" s="26">
        <v>0</v>
      </c>
      <c r="AB216" s="26">
        <v>0</v>
      </c>
      <c r="AC216" s="26" t="s">
        <v>70</v>
      </c>
      <c r="AD216" s="26" t="s">
        <v>70</v>
      </c>
      <c r="AE216" s="26" t="s">
        <v>70</v>
      </c>
      <c r="AF216" s="26" t="s">
        <v>70</v>
      </c>
      <c r="AG216" s="26" t="s">
        <v>70</v>
      </c>
      <c r="AH216" s="26" t="s">
        <v>70</v>
      </c>
      <c r="AI216" s="26" t="s">
        <v>70</v>
      </c>
      <c r="AJ216" s="26" t="s">
        <v>70</v>
      </c>
      <c r="AK216" s="26" t="s">
        <v>70</v>
      </c>
      <c r="AL216" s="26" t="s">
        <v>70</v>
      </c>
      <c r="AM216" s="35" t="s">
        <v>548</v>
      </c>
      <c r="AN216" s="26" t="s">
        <v>274</v>
      </c>
      <c r="AO216" s="35" t="s">
        <v>548</v>
      </c>
      <c r="AP216" s="35" t="s">
        <v>548</v>
      </c>
      <c r="AQ216" s="35" t="s">
        <v>548</v>
      </c>
      <c r="AR216" s="35" t="s">
        <v>548</v>
      </c>
      <c r="AS216" s="26" t="s">
        <v>175</v>
      </c>
      <c r="AT216" s="26" t="s">
        <v>70</v>
      </c>
      <c r="AU216" s="26" t="s">
        <v>70</v>
      </c>
      <c r="AV216" s="26">
        <v>6</v>
      </c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  <c r="GR216" s="26"/>
      <c r="GS216" s="26"/>
      <c r="GT216" s="26"/>
      <c r="GU216" s="26"/>
      <c r="GV216" s="26"/>
      <c r="GW216" s="26"/>
      <c r="GX216" s="26"/>
      <c r="GY216" s="26"/>
      <c r="GZ216" s="26"/>
      <c r="HA216" s="26"/>
      <c r="HB216" s="26"/>
      <c r="HC216" s="26"/>
      <c r="HD216" s="26"/>
      <c r="HE216" s="26"/>
      <c r="HF216" s="26"/>
      <c r="HG216" s="26"/>
      <c r="HH216" s="26"/>
      <c r="HI216" s="26"/>
      <c r="HJ216" s="26"/>
      <c r="HK216" s="26"/>
      <c r="HL216" s="26"/>
      <c r="HM216" s="26"/>
      <c r="HN216" s="26"/>
      <c r="HO216" s="26"/>
      <c r="HP216" s="26"/>
      <c r="HQ216" s="26"/>
      <c r="HR216" s="26"/>
      <c r="HS216" s="26"/>
      <c r="HT216" s="26"/>
      <c r="HU216" s="26"/>
      <c r="HV216" s="26"/>
      <c r="HW216" s="26"/>
      <c r="HX216" s="26"/>
      <c r="HY216" s="26"/>
      <c r="HZ216" s="26"/>
      <c r="IA216" s="26"/>
      <c r="IB216" s="26"/>
      <c r="IC216" s="26"/>
      <c r="ID216" s="26"/>
      <c r="IE216" s="26"/>
      <c r="IF216" s="26"/>
      <c r="IG216" s="26"/>
      <c r="IH216" s="26"/>
      <c r="II216" s="26"/>
      <c r="IJ216" s="26"/>
      <c r="IK216" s="26"/>
      <c r="IL216" s="26"/>
      <c r="IM216" s="26"/>
      <c r="IN216" s="26"/>
      <c r="IO216" s="26"/>
      <c r="IP216" s="26"/>
      <c r="IQ216" s="26"/>
      <c r="IR216" s="26"/>
      <c r="IS216" s="26"/>
      <c r="IT216" s="26"/>
      <c r="IU216" s="26"/>
      <c r="IV216" s="26"/>
      <c r="IW216" s="26"/>
      <c r="IX216" s="26"/>
      <c r="IY216" s="26"/>
      <c r="IZ216" s="26"/>
      <c r="JA216" s="26"/>
      <c r="JB216" s="26"/>
      <c r="JC216" s="26"/>
      <c r="JD216" s="26"/>
      <c r="JE216" s="26"/>
      <c r="JF216" s="26"/>
      <c r="JG216" s="26"/>
      <c r="JH216" s="26"/>
      <c r="JI216" s="26"/>
      <c r="JJ216" s="26"/>
      <c r="JK216" s="26"/>
      <c r="JL216" s="26"/>
      <c r="JM216" s="26"/>
      <c r="JN216" s="26"/>
      <c r="JO216" s="26"/>
      <c r="JP216" s="26"/>
      <c r="JQ216" s="26"/>
      <c r="JR216" s="26"/>
      <c r="JS216" s="26"/>
      <c r="JT216" s="26"/>
      <c r="JU216" s="26"/>
      <c r="JV216" s="26"/>
      <c r="JW216" s="26"/>
      <c r="JX216" s="26"/>
      <c r="JY216" s="26"/>
      <c r="JZ216" s="26"/>
      <c r="KA216" s="26"/>
      <c r="KB216" s="26"/>
      <c r="KC216" s="26"/>
      <c r="KD216" s="26"/>
      <c r="KE216" s="26"/>
      <c r="KF216" s="26"/>
      <c r="KG216" s="26"/>
      <c r="KH216" s="26"/>
      <c r="KI216" s="26"/>
      <c r="KJ216" s="26"/>
      <c r="KK216" s="26"/>
      <c r="KL216" s="26"/>
      <c r="KM216" s="26"/>
      <c r="KN216" s="26"/>
      <c r="KO216" s="26"/>
      <c r="KP216" s="26"/>
      <c r="KQ216" s="26"/>
      <c r="KR216" s="26"/>
      <c r="KS216" s="26"/>
      <c r="KT216" s="26"/>
      <c r="KU216" s="26"/>
      <c r="KV216" s="26"/>
      <c r="KW216" s="26"/>
      <c r="KX216" s="26"/>
      <c r="KY216" s="26"/>
      <c r="KZ216" s="26"/>
      <c r="LA216" s="26"/>
      <c r="LB216" s="26"/>
      <c r="LC216" s="26"/>
      <c r="LD216" s="26"/>
      <c r="LE216" s="26"/>
      <c r="LF216" s="26"/>
      <c r="LG216" s="26"/>
      <c r="LH216" s="26"/>
      <c r="LI216" s="26"/>
      <c r="LJ216" s="26"/>
      <c r="LK216" s="26"/>
      <c r="LL216" s="26"/>
      <c r="LM216" s="26"/>
      <c r="LN216" s="26"/>
      <c r="LO216" s="26"/>
      <c r="LP216" s="26"/>
      <c r="LQ216" s="26"/>
      <c r="LR216" s="26"/>
      <c r="LS216" s="26"/>
      <c r="LT216" s="26"/>
      <c r="LU216" s="26"/>
      <c r="LV216" s="26"/>
      <c r="LW216" s="26"/>
      <c r="LX216" s="26"/>
      <c r="LY216" s="26"/>
      <c r="LZ216" s="26"/>
      <c r="MA216" s="26"/>
      <c r="MB216" s="26"/>
      <c r="MC216" s="26"/>
      <c r="MD216" s="26"/>
      <c r="ME216" s="26"/>
      <c r="MF216" s="26"/>
      <c r="MG216" s="26"/>
      <c r="MH216" s="26"/>
      <c r="MI216" s="26"/>
      <c r="MJ216" s="26"/>
      <c r="MK216" s="26"/>
      <c r="ML216" s="26"/>
      <c r="MM216" s="26"/>
      <c r="MN216" s="26"/>
      <c r="MO216" s="26"/>
      <c r="MP216" s="26"/>
      <c r="MQ216" s="26"/>
      <c r="MR216" s="26"/>
      <c r="MS216" s="26"/>
      <c r="MT216" s="26"/>
      <c r="MU216" s="26"/>
      <c r="MV216" s="26"/>
      <c r="MW216" s="26"/>
      <c r="MX216" s="26"/>
      <c r="MY216" s="26"/>
      <c r="MZ216" s="26"/>
      <c r="NA216" s="26"/>
      <c r="NB216" s="26"/>
      <c r="NC216" s="26"/>
      <c r="ND216" s="26"/>
      <c r="NE216" s="26"/>
      <c r="NF216" s="26"/>
      <c r="NG216" s="26"/>
      <c r="NH216" s="26"/>
      <c r="NI216" s="26"/>
      <c r="NJ216" s="26"/>
      <c r="NK216" s="26"/>
      <c r="NL216" s="26"/>
      <c r="NM216" s="26"/>
      <c r="NN216" s="26"/>
      <c r="NO216" s="26"/>
      <c r="NP216" s="26"/>
      <c r="NQ216" s="26"/>
      <c r="NR216" s="26"/>
      <c r="NS216" s="26"/>
      <c r="NT216" s="26"/>
      <c r="NU216" s="26"/>
      <c r="NV216" s="26"/>
      <c r="NW216" s="26"/>
      <c r="NX216" s="26"/>
      <c r="NY216" s="26"/>
      <c r="NZ216" s="26"/>
      <c r="OA216" s="26"/>
      <c r="OB216" s="26"/>
      <c r="OC216" s="26"/>
      <c r="OD216" s="26"/>
      <c r="OE216" s="26"/>
      <c r="OF216" s="26"/>
      <c r="OG216" s="26"/>
      <c r="OH216" s="26"/>
      <c r="OI216" s="26"/>
      <c r="OJ216" s="26"/>
      <c r="OK216" s="26"/>
      <c r="OL216" s="26"/>
      <c r="OM216" s="26"/>
      <c r="ON216" s="26"/>
      <c r="OO216" s="26"/>
      <c r="OP216" s="26"/>
      <c r="OQ216" s="26"/>
      <c r="OR216" s="26"/>
      <c r="OS216" s="26"/>
      <c r="OT216" s="26"/>
      <c r="OU216" s="26"/>
      <c r="OV216" s="26"/>
      <c r="OW216" s="26"/>
      <c r="OX216" s="26"/>
      <c r="OY216" s="26"/>
      <c r="OZ216" s="26"/>
      <c r="PA216" s="26"/>
      <c r="PB216" s="26"/>
      <c r="PC216" s="26"/>
      <c r="PD216" s="26"/>
      <c r="PE216" s="26"/>
      <c r="PF216" s="26"/>
      <c r="PG216" s="26"/>
      <c r="PH216" s="26"/>
      <c r="PI216" s="26"/>
      <c r="PJ216" s="26"/>
      <c r="PK216" s="26"/>
      <c r="PL216" s="26"/>
      <c r="PM216" s="26"/>
      <c r="PN216" s="26"/>
      <c r="PO216" s="26"/>
      <c r="PP216" s="26"/>
      <c r="PQ216" s="26"/>
      <c r="PR216" s="26"/>
      <c r="PS216" s="26"/>
      <c r="PT216" s="26"/>
      <c r="PU216" s="26"/>
      <c r="PV216" s="26"/>
      <c r="PW216" s="26"/>
      <c r="PX216" s="26"/>
      <c r="PY216" s="26"/>
      <c r="PZ216" s="26"/>
      <c r="QA216" s="26"/>
      <c r="QB216" s="26"/>
      <c r="QC216" s="26"/>
      <c r="QD216" s="26"/>
      <c r="QE216" s="26"/>
      <c r="QF216" s="26"/>
      <c r="QG216" s="26"/>
      <c r="QH216" s="26"/>
      <c r="QI216" s="26"/>
      <c r="QJ216" s="26"/>
      <c r="QK216" s="26"/>
      <c r="QL216" s="26"/>
      <c r="QM216" s="26"/>
      <c r="QN216" s="26"/>
      <c r="QO216" s="26"/>
      <c r="QP216" s="26"/>
      <c r="QQ216" s="26"/>
      <c r="QR216" s="26"/>
      <c r="QS216" s="26"/>
      <c r="QT216" s="26"/>
      <c r="QU216" s="26"/>
      <c r="QV216" s="26"/>
      <c r="QW216" s="26"/>
      <c r="QX216" s="26"/>
      <c r="QY216" s="26"/>
      <c r="QZ216" s="26"/>
      <c r="RA216" s="26"/>
      <c r="RB216" s="26"/>
      <c r="RC216" s="26"/>
      <c r="RD216" s="26"/>
      <c r="RE216" s="26"/>
      <c r="RF216" s="26"/>
      <c r="RG216" s="26"/>
      <c r="RH216" s="26"/>
      <c r="RI216" s="26"/>
      <c r="RJ216" s="26"/>
      <c r="RK216" s="26"/>
      <c r="RL216" s="26"/>
      <c r="RM216" s="26"/>
      <c r="RN216" s="26"/>
      <c r="RO216" s="26"/>
      <c r="RP216" s="26"/>
      <c r="RQ216" s="26"/>
      <c r="RR216" s="26"/>
      <c r="RS216" s="26"/>
      <c r="RT216" s="26"/>
      <c r="RU216" s="26"/>
      <c r="RV216" s="26"/>
      <c r="RW216" s="26"/>
      <c r="RX216" s="26"/>
      <c r="RY216" s="26"/>
      <c r="RZ216" s="26"/>
      <c r="SA216" s="26"/>
      <c r="SB216" s="26"/>
      <c r="SC216" s="26"/>
      <c r="SD216" s="26"/>
      <c r="SE216" s="26"/>
      <c r="SF216" s="26"/>
      <c r="SG216" s="26"/>
      <c r="SH216" s="26"/>
      <c r="SI216" s="26"/>
      <c r="SJ216" s="26"/>
      <c r="SK216" s="26"/>
      <c r="SL216" s="26"/>
      <c r="SM216" s="26"/>
      <c r="SN216" s="26"/>
      <c r="SO216" s="26"/>
      <c r="SP216" s="26"/>
      <c r="SQ216" s="26"/>
      <c r="SR216" s="26"/>
      <c r="SS216" s="26"/>
      <c r="ST216" s="26"/>
      <c r="SU216" s="26"/>
      <c r="SV216" s="26"/>
      <c r="SW216" s="26"/>
      <c r="SX216" s="26"/>
      <c r="SY216" s="26"/>
      <c r="SZ216" s="26"/>
      <c r="TA216" s="26"/>
      <c r="TB216" s="26"/>
      <c r="TC216" s="26"/>
      <c r="TD216" s="26"/>
      <c r="TE216" s="26"/>
      <c r="TF216" s="26"/>
      <c r="TG216" s="26"/>
      <c r="TH216" s="26"/>
      <c r="TI216" s="26"/>
      <c r="TJ216" s="26"/>
      <c r="TK216" s="26"/>
      <c r="TL216" s="26"/>
      <c r="TM216" s="26"/>
      <c r="TN216" s="26"/>
      <c r="TO216" s="26"/>
      <c r="TP216" s="26"/>
      <c r="TQ216" s="26"/>
      <c r="TR216" s="26"/>
      <c r="TS216" s="26"/>
      <c r="TT216" s="26"/>
      <c r="TU216" s="26"/>
      <c r="TV216" s="26"/>
      <c r="TW216" s="26"/>
      <c r="TX216" s="26"/>
      <c r="TY216" s="26"/>
      <c r="TZ216" s="26"/>
      <c r="UA216" s="26"/>
      <c r="UB216" s="26"/>
      <c r="UC216" s="26"/>
      <c r="UD216" s="26"/>
      <c r="UE216" s="26"/>
      <c r="UF216" s="26"/>
      <c r="UG216" s="26"/>
      <c r="UH216" s="26"/>
      <c r="UI216" s="26"/>
      <c r="UJ216" s="26"/>
      <c r="UK216" s="26"/>
      <c r="UL216" s="26"/>
      <c r="UM216" s="26"/>
      <c r="UN216" s="26"/>
      <c r="UO216" s="26"/>
      <c r="UP216" s="26"/>
      <c r="UQ216" s="26"/>
      <c r="UR216" s="26"/>
      <c r="US216" s="26"/>
      <c r="UT216" s="26"/>
      <c r="UU216" s="26"/>
      <c r="UV216" s="26"/>
      <c r="UW216" s="26"/>
      <c r="UX216" s="26"/>
      <c r="UY216" s="26"/>
      <c r="UZ216" s="26"/>
      <c r="VA216" s="26"/>
      <c r="VB216" s="26"/>
      <c r="VC216" s="26"/>
      <c r="VD216" s="26"/>
      <c r="VE216" s="26"/>
      <c r="VF216" s="26"/>
      <c r="VG216" s="26"/>
      <c r="VH216" s="26"/>
      <c r="VI216" s="26"/>
      <c r="VJ216" s="26"/>
      <c r="VK216" s="26"/>
      <c r="VL216" s="26"/>
      <c r="VM216" s="26"/>
      <c r="VN216" s="26"/>
      <c r="VO216" s="26"/>
      <c r="VP216" s="26"/>
      <c r="VQ216" s="26"/>
      <c r="VR216" s="26"/>
      <c r="VS216" s="26"/>
      <c r="VT216" s="26"/>
      <c r="VU216" s="26"/>
      <c r="VV216" s="26"/>
      <c r="VW216" s="26"/>
      <c r="VX216" s="26"/>
      <c r="VY216" s="26"/>
      <c r="VZ216" s="26"/>
      <c r="WA216" s="26"/>
      <c r="WB216" s="26"/>
      <c r="WC216" s="26"/>
      <c r="WD216" s="26"/>
      <c r="WE216" s="26"/>
      <c r="WF216" s="26"/>
      <c r="WG216" s="26"/>
      <c r="WH216" s="26"/>
      <c r="WI216" s="26"/>
      <c r="WJ216" s="26"/>
      <c r="WK216" s="26"/>
      <c r="WL216" s="26"/>
      <c r="WM216" s="26"/>
      <c r="WN216" s="26"/>
      <c r="WO216" s="26"/>
      <c r="WP216" s="26"/>
      <c r="WQ216" s="26"/>
      <c r="WR216" s="26"/>
      <c r="WS216" s="26"/>
      <c r="WT216" s="26"/>
      <c r="WU216" s="26"/>
      <c r="WV216" s="26"/>
      <c r="WW216" s="26"/>
      <c r="WX216" s="26"/>
      <c r="WY216" s="26"/>
      <c r="WZ216" s="26"/>
      <c r="XA216" s="26"/>
      <c r="XB216" s="26"/>
      <c r="XC216" s="26"/>
      <c r="XD216" s="26"/>
      <c r="XE216" s="26"/>
      <c r="XF216" s="26"/>
      <c r="XG216" s="26"/>
      <c r="XH216" s="26"/>
      <c r="XI216" s="26"/>
      <c r="XJ216" s="26"/>
      <c r="XK216" s="26"/>
      <c r="XL216" s="26"/>
      <c r="XM216" s="26"/>
      <c r="XN216" s="26"/>
      <c r="XO216" s="26"/>
      <c r="XP216" s="26"/>
      <c r="XQ216" s="26"/>
      <c r="XR216" s="26"/>
      <c r="XS216" s="26"/>
      <c r="XT216" s="26"/>
      <c r="XU216" s="26"/>
      <c r="XV216" s="26"/>
      <c r="XW216" s="26"/>
      <c r="XX216" s="26"/>
      <c r="XY216" s="26"/>
      <c r="XZ216" s="26"/>
      <c r="YA216" s="26"/>
      <c r="YB216" s="26"/>
      <c r="YC216" s="26"/>
      <c r="YD216" s="26"/>
      <c r="YE216" s="26"/>
      <c r="YF216" s="26"/>
      <c r="YG216" s="26"/>
      <c r="YH216" s="26"/>
      <c r="YI216" s="26"/>
      <c r="YJ216" s="26"/>
      <c r="YK216" s="26"/>
      <c r="YL216" s="26"/>
      <c r="YM216" s="26"/>
      <c r="YN216" s="26"/>
      <c r="YO216" s="26"/>
      <c r="YP216" s="26"/>
      <c r="YQ216" s="26"/>
      <c r="YR216" s="26"/>
      <c r="YS216" s="26"/>
      <c r="YT216" s="26"/>
      <c r="YU216" s="26"/>
      <c r="YV216" s="26"/>
      <c r="YW216" s="26"/>
      <c r="YX216" s="26"/>
      <c r="YY216" s="26"/>
      <c r="YZ216" s="26"/>
      <c r="ZA216" s="26"/>
      <c r="ZB216" s="26"/>
      <c r="ZC216" s="26"/>
      <c r="ZD216" s="26"/>
      <c r="ZE216" s="26"/>
      <c r="ZF216" s="26"/>
      <c r="ZG216" s="26"/>
      <c r="ZH216" s="26"/>
      <c r="ZI216" s="26"/>
      <c r="ZJ216" s="26"/>
      <c r="ZK216" s="26"/>
      <c r="ZL216" s="26"/>
      <c r="ZM216" s="26"/>
      <c r="ZN216" s="26"/>
      <c r="ZO216" s="26"/>
      <c r="ZP216" s="26"/>
      <c r="ZQ216" s="26"/>
      <c r="ZR216" s="26"/>
      <c r="ZS216" s="26"/>
      <c r="ZT216" s="26"/>
      <c r="ZU216" s="26"/>
      <c r="ZV216" s="26"/>
      <c r="ZW216" s="26"/>
      <c r="ZX216" s="26"/>
      <c r="ZY216" s="26"/>
      <c r="ZZ216" s="26"/>
      <c r="AAA216" s="26"/>
      <c r="AAB216" s="26"/>
      <c r="AAC216" s="26"/>
      <c r="AAD216" s="26"/>
      <c r="AAE216" s="26"/>
      <c r="AAF216" s="26"/>
      <c r="AAG216" s="26"/>
      <c r="AAH216" s="26"/>
      <c r="AAI216" s="26"/>
      <c r="AAJ216" s="26"/>
      <c r="AAK216" s="26"/>
      <c r="AAL216" s="26"/>
      <c r="AAM216" s="26"/>
      <c r="AAN216" s="26"/>
      <c r="AAO216" s="26"/>
      <c r="AAP216" s="26"/>
      <c r="AAQ216" s="26"/>
      <c r="AAR216" s="26"/>
      <c r="AAS216" s="26"/>
      <c r="AAT216" s="26"/>
      <c r="AAU216" s="26"/>
      <c r="AAV216" s="26"/>
      <c r="AAW216" s="26"/>
      <c r="AAX216" s="26"/>
      <c r="AAY216" s="26"/>
      <c r="AAZ216" s="26"/>
      <c r="ABA216" s="26"/>
      <c r="ABB216" s="26"/>
      <c r="ABC216" s="26"/>
      <c r="ABD216" s="26"/>
      <c r="ABE216" s="26"/>
      <c r="ABF216" s="26"/>
      <c r="ABG216" s="26"/>
      <c r="ABH216" s="26"/>
      <c r="ABI216" s="26"/>
      <c r="ABJ216" s="26"/>
      <c r="ABK216" s="26"/>
      <c r="ABL216" s="26"/>
      <c r="ABM216" s="26"/>
      <c r="ABN216" s="26"/>
      <c r="ABO216" s="26"/>
      <c r="ABP216" s="26"/>
      <c r="ABQ216" s="26"/>
      <c r="ABR216" s="26"/>
      <c r="ABS216" s="26"/>
      <c r="ABT216" s="26"/>
      <c r="ABU216" s="26"/>
      <c r="ABV216" s="26"/>
      <c r="ABW216" s="26"/>
      <c r="ABX216" s="26"/>
      <c r="ABY216" s="26"/>
      <c r="ABZ216" s="26"/>
      <c r="ACA216" s="26"/>
      <c r="ACB216" s="26"/>
      <c r="ACC216" s="26"/>
      <c r="ACD216" s="26"/>
      <c r="ACE216" s="26"/>
      <c r="ACF216" s="26"/>
      <c r="ACG216" s="26"/>
      <c r="ACH216" s="26"/>
      <c r="ACI216" s="26"/>
      <c r="ACJ216" s="26"/>
      <c r="ACK216" s="26"/>
      <c r="ACL216" s="26"/>
      <c r="ACM216" s="26"/>
      <c r="ACN216" s="26"/>
      <c r="ACO216" s="26"/>
      <c r="ACP216" s="26"/>
      <c r="ACQ216" s="26"/>
      <c r="ACR216" s="26"/>
      <c r="ACS216" s="26"/>
      <c r="ACT216" s="26"/>
      <c r="ACU216" s="26"/>
      <c r="ACV216" s="26"/>
      <c r="ACW216" s="26"/>
      <c r="ACX216" s="26"/>
      <c r="ACY216" s="26"/>
      <c r="ACZ216" s="26"/>
      <c r="ADA216" s="26"/>
      <c r="ADB216" s="26"/>
      <c r="ADC216" s="26"/>
      <c r="ADD216" s="26"/>
      <c r="ADE216" s="26"/>
      <c r="ADF216" s="26"/>
      <c r="ADG216" s="26"/>
      <c r="ADH216" s="26"/>
      <c r="ADI216" s="26"/>
      <c r="ADJ216" s="26"/>
      <c r="ADK216" s="26"/>
      <c r="ADL216" s="26"/>
      <c r="ADM216" s="26"/>
      <c r="ADN216" s="26"/>
      <c r="ADO216" s="26"/>
      <c r="ADP216" s="26"/>
      <c r="ADQ216" s="26"/>
      <c r="ADR216" s="26"/>
      <c r="ADS216" s="26"/>
      <c r="ADT216" s="26"/>
      <c r="ADU216" s="26"/>
      <c r="ADV216" s="26"/>
      <c r="ADW216" s="26"/>
      <c r="ADX216" s="26"/>
      <c r="ADY216" s="26"/>
      <c r="ADZ216" s="26"/>
      <c r="AEA216" s="26"/>
      <c r="AEB216" s="26"/>
      <c r="AEC216" s="26"/>
      <c r="AED216" s="26"/>
      <c r="AEE216" s="26"/>
      <c r="AEF216" s="26"/>
      <c r="AEG216" s="26"/>
      <c r="AEH216" s="26"/>
      <c r="AEI216" s="26"/>
      <c r="AEJ216" s="26"/>
      <c r="AEK216" s="26"/>
      <c r="AEL216" s="26"/>
      <c r="AEM216" s="26"/>
      <c r="AEN216" s="26"/>
      <c r="AEO216" s="26"/>
      <c r="AEP216" s="26"/>
      <c r="AEQ216" s="26"/>
      <c r="AER216" s="26"/>
      <c r="AES216" s="26"/>
      <c r="AET216" s="26"/>
      <c r="AEU216" s="26"/>
      <c r="AEV216" s="26"/>
      <c r="AEW216" s="26"/>
      <c r="AEX216" s="26"/>
      <c r="AEY216" s="26"/>
      <c r="AEZ216" s="26"/>
      <c r="AFA216" s="26"/>
      <c r="AFB216" s="26"/>
      <c r="AFC216" s="26"/>
      <c r="AFD216" s="26"/>
      <c r="AFE216" s="26"/>
      <c r="AFF216" s="26"/>
      <c r="AFG216" s="26"/>
      <c r="AFH216" s="26"/>
      <c r="AFI216" s="26"/>
      <c r="AFJ216" s="26"/>
      <c r="AFK216" s="26"/>
      <c r="AFL216" s="26"/>
      <c r="AFM216" s="26"/>
      <c r="AFN216" s="26"/>
      <c r="AFO216" s="26"/>
      <c r="AFP216" s="26"/>
      <c r="AFQ216" s="26"/>
      <c r="AFR216" s="26"/>
      <c r="AFS216" s="26"/>
      <c r="AFT216" s="26"/>
      <c r="AFU216" s="26"/>
      <c r="AFV216" s="26"/>
      <c r="AFW216" s="26"/>
      <c r="AFX216" s="26"/>
      <c r="AFY216" s="26"/>
      <c r="AFZ216" s="26"/>
      <c r="AGA216" s="26"/>
      <c r="AGB216" s="26"/>
      <c r="AGC216" s="26"/>
      <c r="AGD216" s="26"/>
      <c r="AGE216" s="26"/>
      <c r="AGF216" s="26"/>
      <c r="AGG216" s="26"/>
      <c r="AGH216" s="26"/>
      <c r="AGI216" s="26"/>
      <c r="AGJ216" s="26"/>
      <c r="AGK216" s="26"/>
      <c r="AGL216" s="26"/>
      <c r="AGM216" s="26"/>
      <c r="AGN216" s="26"/>
      <c r="AGO216" s="26"/>
      <c r="AGP216" s="26"/>
      <c r="AGQ216" s="26"/>
      <c r="AGR216" s="26"/>
      <c r="AGS216" s="26"/>
      <c r="AGT216" s="26"/>
      <c r="AGU216" s="26"/>
      <c r="AGV216" s="26"/>
      <c r="AGW216" s="26"/>
      <c r="AGX216" s="26"/>
      <c r="AGY216" s="26"/>
      <c r="AGZ216" s="26"/>
      <c r="AHA216" s="26"/>
      <c r="AHB216" s="26"/>
      <c r="AHC216" s="26"/>
      <c r="AHD216" s="26"/>
      <c r="AHE216" s="26"/>
      <c r="AHF216" s="26"/>
      <c r="AHG216" s="26"/>
      <c r="AHH216" s="26"/>
      <c r="AHI216" s="26"/>
      <c r="AHJ216" s="26"/>
      <c r="AHK216" s="26"/>
      <c r="AHL216" s="26"/>
      <c r="AHM216" s="26"/>
      <c r="AHN216" s="26"/>
      <c r="AHO216" s="26"/>
      <c r="AHP216" s="26"/>
      <c r="AHQ216" s="26"/>
      <c r="AHR216" s="26"/>
      <c r="AHS216" s="26"/>
      <c r="AHT216" s="26"/>
      <c r="AHU216" s="26"/>
      <c r="AHV216" s="26"/>
      <c r="AHW216" s="26"/>
      <c r="AHX216" s="26"/>
      <c r="AHY216" s="26"/>
      <c r="AHZ216" s="26"/>
      <c r="AIA216" s="26"/>
      <c r="AIB216" s="26"/>
      <c r="AIC216" s="26"/>
      <c r="AID216" s="26"/>
      <c r="AIE216" s="26"/>
      <c r="AIF216" s="26"/>
      <c r="AIG216" s="26"/>
      <c r="AIH216" s="26"/>
      <c r="AII216" s="26"/>
      <c r="AIJ216" s="26"/>
      <c r="AIK216" s="26"/>
      <c r="AIL216" s="26"/>
      <c r="AIM216" s="26"/>
      <c r="AIN216" s="26"/>
      <c r="AIO216" s="26"/>
      <c r="AIP216" s="26"/>
      <c r="AIQ216" s="26"/>
      <c r="AIR216" s="26"/>
      <c r="AIS216" s="26"/>
      <c r="AIT216" s="26"/>
      <c r="AIU216" s="26"/>
      <c r="AIV216" s="26"/>
      <c r="AIW216" s="26"/>
      <c r="AIX216" s="26"/>
      <c r="AIY216" s="26"/>
      <c r="AIZ216" s="26"/>
      <c r="AJA216" s="26"/>
      <c r="AJB216" s="26"/>
      <c r="AJC216" s="26"/>
      <c r="AJD216" s="26"/>
      <c r="AJE216" s="26"/>
      <c r="AJF216" s="26"/>
      <c r="AJG216" s="26"/>
      <c r="AJH216" s="26"/>
      <c r="AJI216" s="26"/>
      <c r="AJJ216" s="26"/>
      <c r="AJK216" s="26"/>
      <c r="AJL216" s="26"/>
      <c r="AJM216" s="26"/>
      <c r="AJN216" s="26"/>
      <c r="AJO216" s="26"/>
      <c r="AJP216" s="26"/>
      <c r="AJQ216" s="26"/>
      <c r="AJR216" s="26"/>
      <c r="AJS216" s="26"/>
      <c r="AJT216" s="26"/>
      <c r="AJU216" s="26"/>
      <c r="AJV216" s="26"/>
      <c r="AJW216" s="26"/>
      <c r="AJX216" s="26"/>
      <c r="AJY216" s="26"/>
      <c r="AJZ216" s="26"/>
      <c r="AKA216" s="26"/>
      <c r="AKB216" s="26"/>
      <c r="AKC216" s="26"/>
      <c r="AKD216" s="26"/>
      <c r="AKE216" s="26"/>
      <c r="AKF216" s="26"/>
      <c r="AKG216" s="26"/>
      <c r="AKH216" s="26"/>
      <c r="AKI216" s="26"/>
      <c r="AKJ216" s="26"/>
      <c r="AKK216" s="26"/>
      <c r="AKL216" s="26"/>
      <c r="AKM216" s="26"/>
      <c r="AKN216" s="26"/>
      <c r="AKO216" s="26"/>
      <c r="AKP216" s="26"/>
      <c r="AKQ216" s="26"/>
      <c r="AKR216" s="26"/>
      <c r="AKS216" s="26"/>
      <c r="AKT216" s="26"/>
      <c r="AKU216" s="26"/>
      <c r="AKV216" s="26"/>
      <c r="AKW216" s="26"/>
      <c r="AKX216" s="26"/>
      <c r="AKY216" s="26"/>
      <c r="AKZ216" s="26"/>
      <c r="ALA216" s="26"/>
      <c r="ALB216" s="26"/>
      <c r="ALC216" s="26"/>
      <c r="ALD216" s="26"/>
      <c r="ALE216" s="26"/>
      <c r="ALF216" s="26"/>
      <c r="ALG216" s="26"/>
      <c r="ALH216" s="26"/>
      <c r="ALI216" s="26"/>
      <c r="ALJ216" s="26"/>
      <c r="ALK216" s="26"/>
      <c r="ALL216" s="26"/>
      <c r="ALM216" s="26"/>
      <c r="ALN216" s="26"/>
      <c r="ALO216" s="26"/>
      <c r="ALP216" s="26"/>
      <c r="ALQ216" s="26"/>
      <c r="ALR216" s="26"/>
      <c r="ALS216" s="26"/>
      <c r="ALT216" s="26"/>
      <c r="ALU216" s="26"/>
      <c r="ALV216" s="26"/>
      <c r="ALW216" s="26"/>
      <c r="ALX216" s="26"/>
      <c r="ALY216" s="26"/>
      <c r="ALZ216" s="26"/>
      <c r="AMA216" s="26"/>
      <c r="AMB216" s="26"/>
      <c r="AMC216" s="26"/>
      <c r="AMD216" s="26"/>
      <c r="AME216" s="26"/>
      <c r="AMF216" s="26"/>
      <c r="AMG216" s="26"/>
      <c r="AMH216" s="26"/>
      <c r="AMI216" s="26"/>
      <c r="AMJ216" s="26"/>
      <c r="AMK216" s="26"/>
      <c r="AML216" s="26"/>
      <c r="AMM216" s="26"/>
      <c r="AMN216" s="26"/>
      <c r="AMO216" s="26"/>
      <c r="AMP216" s="26"/>
      <c r="AMQ216" s="26"/>
      <c r="AMR216" s="26"/>
      <c r="AMS216" s="26"/>
      <c r="AMT216" s="26"/>
      <c r="AMU216" s="26"/>
      <c r="AMV216" s="26"/>
      <c r="AMW216" s="26"/>
      <c r="AMX216" s="26"/>
      <c r="AMY216" s="26"/>
      <c r="AMZ216" s="26"/>
      <c r="ANA216" s="26"/>
      <c r="ANB216" s="26"/>
      <c r="ANC216" s="26"/>
      <c r="AND216" s="26"/>
      <c r="ANE216" s="26"/>
      <c r="ANF216" s="26"/>
      <c r="ANG216" s="26"/>
      <c r="ANH216" s="26"/>
      <c r="ANI216" s="26"/>
      <c r="ANJ216" s="26"/>
      <c r="ANK216" s="26"/>
      <c r="ANL216" s="26"/>
      <c r="ANM216" s="26"/>
      <c r="ANN216" s="26"/>
      <c r="ANO216" s="26"/>
      <c r="ANP216" s="26"/>
      <c r="ANQ216" s="26"/>
      <c r="ANR216" s="26"/>
      <c r="ANS216" s="26"/>
      <c r="ANT216" s="26"/>
      <c r="ANU216" s="26"/>
      <c r="ANV216" s="26"/>
      <c r="ANW216" s="26"/>
      <c r="ANX216" s="26"/>
      <c r="ANY216" s="26"/>
      <c r="ANZ216" s="26"/>
      <c r="AOA216" s="26"/>
      <c r="AOB216" s="26"/>
      <c r="AOC216" s="26"/>
      <c r="AOD216" s="26"/>
      <c r="AOE216" s="26"/>
      <c r="AOF216" s="26"/>
      <c r="AOG216" s="26"/>
      <c r="AOH216" s="26"/>
      <c r="AOI216" s="26"/>
      <c r="AOJ216" s="26"/>
      <c r="AOK216" s="26"/>
      <c r="AOL216" s="26"/>
      <c r="AOM216" s="26"/>
      <c r="AON216" s="26"/>
      <c r="AOO216" s="26"/>
      <c r="AOP216" s="26"/>
      <c r="AOQ216" s="26"/>
      <c r="AOR216" s="26"/>
      <c r="AOS216" s="26"/>
      <c r="AOT216" s="26"/>
      <c r="AOU216" s="26"/>
      <c r="AOV216" s="26"/>
      <c r="AOW216" s="26"/>
      <c r="AOX216" s="26"/>
      <c r="AOY216" s="26"/>
      <c r="AOZ216" s="26"/>
      <c r="APA216" s="26"/>
      <c r="APB216" s="26"/>
      <c r="APC216" s="26"/>
      <c r="APD216" s="26"/>
      <c r="APE216" s="26"/>
      <c r="APF216" s="26"/>
      <c r="APG216" s="26"/>
      <c r="APH216" s="26"/>
      <c r="API216" s="26"/>
      <c r="APJ216" s="26"/>
      <c r="APK216" s="26"/>
      <c r="APL216" s="26"/>
      <c r="APM216" s="26"/>
      <c r="APN216" s="26"/>
      <c r="APO216" s="26"/>
      <c r="APP216" s="26"/>
      <c r="APQ216" s="26"/>
      <c r="APR216" s="26"/>
      <c r="APS216" s="26"/>
      <c r="APT216" s="26"/>
      <c r="APU216" s="26"/>
      <c r="APV216" s="26"/>
      <c r="APW216" s="26"/>
      <c r="APX216" s="26"/>
      <c r="APY216" s="26"/>
      <c r="APZ216" s="26"/>
      <c r="AQA216" s="26"/>
      <c r="AQB216" s="26"/>
      <c r="AQC216" s="26"/>
      <c r="AQD216" s="26"/>
      <c r="AQE216" s="26"/>
      <c r="AQF216" s="26"/>
      <c r="AQG216" s="26"/>
      <c r="AQH216" s="26"/>
      <c r="AQI216" s="26"/>
      <c r="AQJ216" s="26"/>
      <c r="AQK216" s="26"/>
      <c r="AQL216" s="26"/>
      <c r="AQM216" s="26"/>
      <c r="AQN216" s="26"/>
      <c r="AQO216" s="26"/>
      <c r="AQP216" s="26"/>
      <c r="AQQ216" s="26"/>
      <c r="AQR216" s="26"/>
      <c r="AQS216" s="26"/>
      <c r="AQT216" s="26"/>
      <c r="AQU216" s="26"/>
      <c r="AQV216" s="26"/>
      <c r="AQW216" s="26"/>
      <c r="AQX216" s="26"/>
      <c r="AQY216" s="26"/>
      <c r="AQZ216" s="26"/>
      <c r="ARA216" s="26"/>
      <c r="ARB216" s="26"/>
      <c r="ARC216" s="26"/>
      <c r="ARD216" s="26"/>
      <c r="ARE216" s="26"/>
      <c r="ARF216" s="26"/>
      <c r="ARG216" s="26"/>
      <c r="ARH216" s="26"/>
      <c r="ARI216" s="26"/>
      <c r="ARJ216" s="26"/>
      <c r="ARK216" s="26"/>
      <c r="ARL216" s="26"/>
      <c r="ARM216" s="26"/>
      <c r="ARN216" s="26"/>
      <c r="ARO216" s="26"/>
      <c r="ARP216" s="26"/>
      <c r="ARQ216" s="26"/>
      <c r="ARR216" s="26"/>
      <c r="ARS216" s="26"/>
      <c r="ART216" s="26"/>
      <c r="ARU216" s="26"/>
      <c r="ARV216" s="26"/>
      <c r="ARW216" s="26"/>
      <c r="ARX216" s="26"/>
      <c r="ARY216" s="26"/>
      <c r="ARZ216" s="26"/>
      <c r="ASA216" s="26"/>
      <c r="ASB216" s="26"/>
      <c r="ASC216" s="26"/>
      <c r="ASD216" s="26"/>
      <c r="ASE216" s="26"/>
      <c r="ASF216" s="26"/>
      <c r="ASG216" s="26"/>
      <c r="ASH216" s="26"/>
      <c r="ASI216" s="26"/>
      <c r="ASJ216" s="26"/>
      <c r="ASK216" s="26"/>
      <c r="ASL216" s="26"/>
      <c r="ASM216" s="26"/>
      <c r="ASN216" s="26"/>
      <c r="ASO216" s="26"/>
      <c r="ASP216" s="26"/>
      <c r="ASQ216" s="26"/>
      <c r="ASR216" s="26"/>
      <c r="ASS216" s="26"/>
      <c r="AST216" s="26"/>
      <c r="ASU216" s="26"/>
      <c r="ASV216" s="26"/>
      <c r="ASW216" s="26"/>
      <c r="ASX216" s="26"/>
      <c r="ASY216" s="26"/>
      <c r="ASZ216" s="26"/>
      <c r="ATA216" s="26"/>
      <c r="ATB216" s="26"/>
      <c r="ATC216" s="26"/>
      <c r="ATD216" s="26"/>
      <c r="ATE216" s="26"/>
      <c r="ATF216" s="26"/>
      <c r="ATG216" s="26"/>
      <c r="ATH216" s="26"/>
      <c r="ATI216" s="26"/>
      <c r="ATJ216" s="26"/>
      <c r="ATK216" s="26"/>
      <c r="ATL216" s="26"/>
      <c r="ATM216" s="26"/>
      <c r="ATN216" s="26"/>
      <c r="ATO216" s="26"/>
      <c r="ATP216" s="26"/>
      <c r="ATQ216" s="26"/>
      <c r="ATR216" s="26"/>
      <c r="ATS216" s="26"/>
      <c r="ATT216" s="26"/>
      <c r="ATU216" s="26"/>
      <c r="ATV216" s="26"/>
      <c r="ATW216" s="26"/>
      <c r="ATX216" s="26"/>
      <c r="ATY216" s="26"/>
      <c r="ATZ216" s="26"/>
      <c r="AUA216" s="26"/>
      <c r="AUB216" s="26"/>
      <c r="AUC216" s="26"/>
      <c r="AUD216" s="26"/>
      <c r="AUE216" s="26"/>
      <c r="AUF216" s="26"/>
      <c r="AUG216" s="26"/>
      <c r="AUH216" s="26"/>
      <c r="AUI216" s="26"/>
      <c r="AUJ216" s="26"/>
      <c r="AUK216" s="26"/>
      <c r="AUL216" s="26"/>
      <c r="AUM216" s="26"/>
      <c r="AUN216" s="26"/>
      <c r="AUO216" s="26"/>
      <c r="AUP216" s="26"/>
      <c r="AUQ216" s="26"/>
      <c r="AUR216" s="26"/>
      <c r="AUS216" s="26"/>
      <c r="AUT216" s="26"/>
      <c r="AUU216" s="26"/>
      <c r="AUV216" s="26"/>
      <c r="AUW216" s="26"/>
      <c r="AUX216" s="26"/>
      <c r="AUY216" s="26"/>
      <c r="AUZ216" s="26"/>
      <c r="AVA216" s="26"/>
      <c r="AVB216" s="26"/>
      <c r="AVC216" s="26"/>
      <c r="AVD216" s="26"/>
      <c r="AVE216" s="26"/>
      <c r="AVF216" s="26"/>
      <c r="AVG216" s="26"/>
      <c r="AVH216" s="26"/>
      <c r="AVI216" s="26"/>
      <c r="AVJ216" s="26"/>
      <c r="AVK216" s="26"/>
      <c r="AVL216" s="26"/>
      <c r="AVM216" s="26"/>
      <c r="AVN216" s="26"/>
      <c r="AVO216" s="26"/>
      <c r="AVP216" s="26"/>
      <c r="AVQ216" s="26"/>
      <c r="AVR216" s="26"/>
      <c r="AVS216" s="26"/>
      <c r="AVT216" s="26"/>
      <c r="AVU216" s="26"/>
      <c r="AVV216" s="26"/>
      <c r="AVW216" s="26"/>
      <c r="AVX216" s="26"/>
      <c r="AVY216" s="26"/>
      <c r="AVZ216" s="26"/>
      <c r="AWA216" s="26"/>
      <c r="AWB216" s="26"/>
      <c r="AWC216" s="26"/>
      <c r="AWD216" s="26"/>
      <c r="AWE216" s="26"/>
      <c r="AWF216" s="26"/>
      <c r="AWG216" s="26"/>
      <c r="AWH216" s="26"/>
      <c r="AWI216" s="26"/>
      <c r="AWJ216" s="26"/>
      <c r="AWK216" s="26"/>
      <c r="AWL216" s="26"/>
      <c r="AWM216" s="26"/>
      <c r="AWN216" s="26"/>
      <c r="AWO216" s="26"/>
      <c r="AWP216" s="26"/>
      <c r="AWQ216" s="26"/>
      <c r="AWR216" s="26"/>
      <c r="AWS216" s="26"/>
      <c r="AWT216" s="26"/>
      <c r="AWU216" s="26"/>
      <c r="AWV216" s="26"/>
      <c r="AWW216" s="26"/>
      <c r="AWX216" s="26"/>
      <c r="AWY216" s="26"/>
      <c r="AWZ216" s="26"/>
      <c r="AXA216" s="26"/>
      <c r="AXB216" s="26"/>
      <c r="AXC216" s="26"/>
      <c r="AXD216" s="26"/>
      <c r="AXE216" s="26"/>
      <c r="AXF216" s="26"/>
      <c r="AXG216" s="26"/>
      <c r="AXH216" s="26"/>
      <c r="AXI216" s="26"/>
      <c r="AXJ216" s="26"/>
      <c r="AXK216" s="26"/>
      <c r="AXL216" s="26"/>
      <c r="AXM216" s="26"/>
      <c r="AXN216" s="26"/>
      <c r="AXO216" s="26"/>
      <c r="AXP216" s="26"/>
      <c r="AXQ216" s="26"/>
      <c r="AXR216" s="26"/>
      <c r="AXS216" s="26"/>
      <c r="AXT216" s="26"/>
      <c r="AXU216" s="26"/>
      <c r="AXV216" s="26"/>
      <c r="AXW216" s="26"/>
      <c r="AXX216" s="26"/>
      <c r="AXY216" s="26"/>
      <c r="AXZ216" s="26"/>
      <c r="AYA216" s="26"/>
      <c r="AYB216" s="26"/>
      <c r="AYC216" s="26"/>
      <c r="AYD216" s="26"/>
      <c r="AYE216" s="26"/>
      <c r="AYF216" s="26"/>
      <c r="AYG216" s="26"/>
      <c r="AYH216" s="26"/>
      <c r="AYI216" s="26"/>
      <c r="AYJ216" s="26"/>
      <c r="AYK216" s="26"/>
      <c r="AYL216" s="26"/>
      <c r="AYM216" s="26"/>
      <c r="AYN216" s="26"/>
      <c r="AYO216" s="26"/>
      <c r="AYP216" s="26"/>
      <c r="AYQ216" s="26"/>
      <c r="AYR216" s="26"/>
      <c r="AYS216" s="26"/>
      <c r="AYT216" s="26"/>
      <c r="AYU216" s="26"/>
      <c r="AYV216" s="26"/>
      <c r="AYW216" s="26"/>
      <c r="AYX216" s="26"/>
      <c r="AYY216" s="26"/>
      <c r="AYZ216" s="26"/>
      <c r="AZA216" s="26"/>
      <c r="AZB216" s="26"/>
      <c r="AZC216" s="26"/>
      <c r="AZD216" s="26"/>
      <c r="AZE216" s="26"/>
      <c r="AZF216" s="26"/>
      <c r="AZG216" s="26"/>
      <c r="AZH216" s="26"/>
      <c r="AZI216" s="26"/>
      <c r="AZJ216" s="26"/>
      <c r="AZK216" s="26"/>
      <c r="AZL216" s="26"/>
      <c r="AZM216" s="26"/>
      <c r="AZN216" s="26"/>
      <c r="AZO216" s="26"/>
      <c r="AZP216" s="26"/>
      <c r="AZQ216" s="26"/>
      <c r="AZR216" s="26"/>
      <c r="AZS216" s="26"/>
      <c r="AZT216" s="26"/>
      <c r="AZU216" s="26"/>
      <c r="AZV216" s="26"/>
      <c r="AZW216" s="26"/>
      <c r="AZX216" s="26"/>
      <c r="AZY216" s="26"/>
      <c r="AZZ216" s="26"/>
      <c r="BAA216" s="26"/>
      <c r="BAB216" s="26"/>
      <c r="BAC216" s="26"/>
      <c r="BAD216" s="26"/>
      <c r="BAE216" s="26"/>
      <c r="BAF216" s="26"/>
      <c r="BAG216" s="26"/>
      <c r="BAH216" s="26"/>
      <c r="BAI216" s="26"/>
      <c r="BAJ216" s="26"/>
      <c r="BAK216" s="26"/>
      <c r="BAL216" s="26"/>
      <c r="BAM216" s="26"/>
      <c r="BAN216" s="26"/>
      <c r="BAO216" s="26"/>
      <c r="BAP216" s="26"/>
      <c r="BAQ216" s="26"/>
      <c r="BAR216" s="26"/>
      <c r="BAS216" s="26"/>
      <c r="BAT216" s="26"/>
      <c r="BAU216" s="26"/>
      <c r="BAV216" s="26"/>
      <c r="BAW216" s="26"/>
      <c r="BAX216" s="26"/>
      <c r="BAY216" s="26"/>
      <c r="BAZ216" s="26"/>
      <c r="BBA216" s="26"/>
      <c r="BBB216" s="26"/>
      <c r="BBC216" s="26"/>
      <c r="BBD216" s="26"/>
      <c r="BBE216" s="26"/>
      <c r="BBF216" s="26"/>
      <c r="BBG216" s="26"/>
      <c r="BBH216" s="26"/>
      <c r="BBI216" s="26"/>
      <c r="BBJ216" s="26"/>
      <c r="BBK216" s="26"/>
      <c r="BBL216" s="26"/>
      <c r="BBM216" s="26"/>
      <c r="BBN216" s="26"/>
      <c r="BBO216" s="26"/>
      <c r="BBP216" s="26"/>
      <c r="BBQ216" s="26"/>
      <c r="BBR216" s="26"/>
      <c r="BBS216" s="26"/>
      <c r="BBT216" s="26"/>
      <c r="BBU216" s="26"/>
      <c r="BBV216" s="26"/>
      <c r="BBW216" s="26"/>
      <c r="BBX216" s="26"/>
      <c r="BBY216" s="26"/>
      <c r="BBZ216" s="26"/>
      <c r="BCA216" s="26"/>
      <c r="BCB216" s="26"/>
      <c r="BCC216" s="26"/>
      <c r="BCD216" s="26"/>
      <c r="BCE216" s="26"/>
      <c r="BCF216" s="26"/>
      <c r="BCG216" s="26"/>
      <c r="BCH216" s="26"/>
      <c r="BCI216" s="26"/>
      <c r="BCJ216" s="26"/>
      <c r="BCK216" s="26"/>
      <c r="BCL216" s="26"/>
      <c r="BCM216" s="26"/>
      <c r="BCN216" s="26"/>
      <c r="BCO216" s="26"/>
      <c r="BCP216" s="26"/>
      <c r="BCQ216" s="26"/>
      <c r="BCR216" s="26"/>
      <c r="BCS216" s="26"/>
      <c r="BCT216" s="26"/>
      <c r="BCU216" s="26"/>
      <c r="BCV216" s="26"/>
      <c r="BCW216" s="26"/>
      <c r="BCX216" s="26"/>
      <c r="BCY216" s="26"/>
      <c r="BCZ216" s="26"/>
      <c r="BDA216" s="26"/>
      <c r="BDB216" s="26"/>
      <c r="BDC216" s="26"/>
      <c r="BDD216" s="26"/>
      <c r="BDE216" s="26"/>
      <c r="BDF216" s="26"/>
      <c r="BDG216" s="26"/>
      <c r="BDH216" s="26"/>
      <c r="BDI216" s="26"/>
      <c r="BDJ216" s="26"/>
      <c r="BDK216" s="26"/>
      <c r="BDL216" s="26"/>
      <c r="BDM216" s="26"/>
      <c r="BDN216" s="26"/>
      <c r="BDO216" s="26"/>
      <c r="BDP216" s="26"/>
      <c r="BDQ216" s="26"/>
      <c r="BDR216" s="26"/>
      <c r="BDS216" s="26"/>
      <c r="BDT216" s="26"/>
      <c r="BDU216" s="26"/>
      <c r="BDV216" s="26"/>
      <c r="BDW216" s="26"/>
      <c r="BDX216" s="26"/>
      <c r="BDY216" s="26"/>
      <c r="BDZ216" s="26"/>
      <c r="BEA216" s="26"/>
      <c r="BEB216" s="26"/>
      <c r="BEC216" s="26"/>
      <c r="BED216" s="26"/>
      <c r="BEE216" s="26"/>
      <c r="BEF216" s="26"/>
      <c r="BEG216" s="26"/>
      <c r="BEH216" s="26"/>
      <c r="BEI216" s="26"/>
      <c r="BEJ216" s="26"/>
      <c r="BEK216" s="26"/>
      <c r="BEL216" s="26"/>
      <c r="BEM216" s="26"/>
      <c r="BEN216" s="26"/>
      <c r="BEO216" s="26"/>
      <c r="BEP216" s="26"/>
      <c r="BEQ216" s="26"/>
      <c r="BER216" s="26"/>
      <c r="BES216" s="26"/>
      <c r="BET216" s="26"/>
      <c r="BEU216" s="26"/>
      <c r="BEV216" s="26"/>
      <c r="BEW216" s="26"/>
      <c r="BEX216" s="26"/>
      <c r="BEY216" s="26"/>
      <c r="BEZ216" s="26"/>
      <c r="BFA216" s="26"/>
      <c r="BFB216" s="26"/>
      <c r="BFC216" s="26"/>
      <c r="BFD216" s="26"/>
      <c r="BFE216" s="26"/>
      <c r="BFF216" s="26"/>
      <c r="BFG216" s="26"/>
      <c r="BFH216" s="26"/>
      <c r="BFI216" s="26"/>
      <c r="BFJ216" s="26"/>
      <c r="BFK216" s="26"/>
      <c r="BFL216" s="26"/>
      <c r="BFM216" s="26"/>
      <c r="BFN216" s="26"/>
      <c r="BFO216" s="26"/>
      <c r="BFP216" s="26"/>
      <c r="BFQ216" s="26"/>
      <c r="BFR216" s="26"/>
      <c r="BFS216" s="26"/>
      <c r="BFT216" s="26"/>
      <c r="BFU216" s="26"/>
      <c r="BFV216" s="26"/>
      <c r="BFW216" s="26"/>
      <c r="BFX216" s="26"/>
      <c r="BFY216" s="26"/>
      <c r="BFZ216" s="26"/>
      <c r="BGA216" s="26"/>
      <c r="BGB216" s="26"/>
      <c r="BGC216" s="26"/>
      <c r="BGD216" s="26"/>
      <c r="BGE216" s="26"/>
      <c r="BGF216" s="26"/>
      <c r="BGG216" s="26"/>
      <c r="BGH216" s="26"/>
      <c r="BGI216" s="26"/>
      <c r="BGJ216" s="26"/>
      <c r="BGK216" s="26"/>
      <c r="BGL216" s="26"/>
      <c r="BGM216" s="26"/>
      <c r="BGN216" s="26"/>
      <c r="BGO216" s="26"/>
      <c r="BGP216" s="26"/>
      <c r="BGQ216" s="26"/>
      <c r="BGR216" s="26"/>
      <c r="BGS216" s="26"/>
      <c r="BGT216" s="26"/>
      <c r="BGU216" s="26"/>
      <c r="BGV216" s="26"/>
      <c r="BGW216" s="26"/>
      <c r="BGX216" s="26"/>
      <c r="BGY216" s="26"/>
      <c r="BGZ216" s="26"/>
      <c r="BHA216" s="26"/>
      <c r="BHB216" s="26"/>
      <c r="BHC216" s="26"/>
      <c r="BHD216" s="26"/>
      <c r="BHE216" s="26"/>
      <c r="BHF216" s="26"/>
      <c r="BHG216" s="26"/>
      <c r="BHH216" s="26"/>
      <c r="BHI216" s="26"/>
      <c r="BHJ216" s="26"/>
      <c r="BHK216" s="26"/>
      <c r="BHL216" s="26"/>
      <c r="BHM216" s="26"/>
      <c r="BHN216" s="26"/>
      <c r="BHO216" s="26"/>
      <c r="BHP216" s="26"/>
      <c r="BHQ216" s="26"/>
      <c r="BHR216" s="26"/>
      <c r="BHS216" s="26"/>
      <c r="BHT216" s="26"/>
      <c r="BHU216" s="26"/>
      <c r="BHV216" s="26"/>
      <c r="BHW216" s="26"/>
      <c r="BHX216" s="26"/>
      <c r="BHY216" s="26"/>
      <c r="BHZ216" s="26"/>
      <c r="BIA216" s="26"/>
      <c r="BIB216" s="26"/>
      <c r="BIC216" s="26"/>
      <c r="BID216" s="26"/>
      <c r="BIE216" s="26"/>
      <c r="BIF216" s="26"/>
      <c r="BIG216" s="26"/>
      <c r="BIH216" s="26"/>
      <c r="BII216" s="26"/>
      <c r="BIJ216" s="26"/>
      <c r="BIK216" s="26"/>
      <c r="BIL216" s="26"/>
      <c r="BIM216" s="26"/>
      <c r="BIN216" s="26"/>
      <c r="BIO216" s="26"/>
      <c r="BIP216" s="26"/>
      <c r="BIQ216" s="26"/>
      <c r="BIR216" s="26"/>
      <c r="BIS216" s="26"/>
      <c r="BIT216" s="26"/>
      <c r="BIU216" s="26"/>
      <c r="BIV216" s="26"/>
      <c r="BIW216" s="26"/>
      <c r="BIX216" s="26"/>
      <c r="BIY216" s="26"/>
      <c r="BIZ216" s="26"/>
      <c r="BJA216" s="26"/>
      <c r="BJB216" s="26"/>
      <c r="BJC216" s="26"/>
      <c r="BJD216" s="26"/>
      <c r="BJE216" s="26"/>
      <c r="BJF216" s="26"/>
      <c r="BJG216" s="26"/>
      <c r="BJH216" s="26"/>
      <c r="BJI216" s="26"/>
      <c r="BJJ216" s="26"/>
      <c r="BJK216" s="26"/>
      <c r="BJL216" s="26"/>
      <c r="BJM216" s="26"/>
      <c r="BJN216" s="26"/>
      <c r="BJO216" s="26"/>
      <c r="BJP216" s="26"/>
      <c r="BJQ216" s="26"/>
      <c r="BJR216" s="26"/>
      <c r="BJS216" s="26"/>
      <c r="BJT216" s="26"/>
      <c r="BJU216" s="26"/>
      <c r="BJV216" s="26"/>
      <c r="BJW216" s="26"/>
      <c r="BJX216" s="26"/>
      <c r="BJY216" s="26"/>
      <c r="BJZ216" s="26"/>
      <c r="BKA216" s="26"/>
      <c r="BKB216" s="26"/>
      <c r="BKC216" s="26"/>
      <c r="BKD216" s="26"/>
      <c r="BKE216" s="26"/>
      <c r="BKF216" s="26"/>
      <c r="BKG216" s="26"/>
      <c r="BKH216" s="26"/>
      <c r="BKI216" s="26"/>
      <c r="BKJ216" s="26"/>
      <c r="BKK216" s="26"/>
      <c r="BKL216" s="26"/>
      <c r="BKM216" s="26"/>
      <c r="BKN216" s="26"/>
      <c r="BKO216" s="26"/>
      <c r="BKP216" s="26"/>
      <c r="BKQ216" s="26"/>
      <c r="BKR216" s="26"/>
      <c r="BKS216" s="26"/>
      <c r="BKT216" s="26"/>
      <c r="BKU216" s="26"/>
      <c r="BKV216" s="26"/>
      <c r="BKW216" s="26"/>
      <c r="BKX216" s="26"/>
      <c r="BKY216" s="26"/>
      <c r="BKZ216" s="26"/>
      <c r="BLA216" s="26"/>
      <c r="BLB216" s="26"/>
      <c r="BLC216" s="26"/>
      <c r="BLD216" s="26"/>
      <c r="BLE216" s="26"/>
      <c r="BLF216" s="26"/>
      <c r="BLG216" s="26"/>
      <c r="BLH216" s="26"/>
      <c r="BLI216" s="26"/>
      <c r="BLJ216" s="26"/>
      <c r="BLK216" s="26"/>
      <c r="BLL216" s="26"/>
      <c r="BLM216" s="26"/>
      <c r="BLN216" s="26"/>
      <c r="BLO216" s="26"/>
      <c r="BLP216" s="26"/>
      <c r="BLQ216" s="26"/>
      <c r="BLR216" s="26"/>
      <c r="BLS216" s="26"/>
      <c r="BLT216" s="26"/>
      <c r="BLU216" s="26"/>
      <c r="BLV216" s="26"/>
      <c r="BLW216" s="26"/>
      <c r="BLX216" s="26"/>
      <c r="BLY216" s="26"/>
      <c r="BLZ216" s="26"/>
      <c r="BMA216" s="26"/>
      <c r="BMB216" s="26"/>
      <c r="BMC216" s="26"/>
      <c r="BMD216" s="26"/>
      <c r="BME216" s="26"/>
      <c r="BMF216" s="26"/>
      <c r="BMG216" s="26"/>
      <c r="BMH216" s="26"/>
      <c r="BMI216" s="26"/>
      <c r="BMJ216" s="26"/>
      <c r="BMK216" s="26"/>
      <c r="BML216" s="26"/>
      <c r="BMM216" s="26"/>
      <c r="BMN216" s="26"/>
      <c r="BMO216" s="26"/>
      <c r="BMP216" s="26"/>
      <c r="BMQ216" s="26"/>
      <c r="BMR216" s="26"/>
      <c r="BMS216" s="26"/>
      <c r="BMT216" s="26"/>
      <c r="BMU216" s="26"/>
      <c r="BMV216" s="26"/>
      <c r="BMW216" s="26"/>
      <c r="BMX216" s="26"/>
      <c r="BMY216" s="26"/>
      <c r="BMZ216" s="26"/>
      <c r="BNA216" s="26"/>
      <c r="BNB216" s="26"/>
      <c r="BNC216" s="26"/>
      <c r="BND216" s="26"/>
      <c r="BNE216" s="26"/>
      <c r="BNF216" s="26"/>
      <c r="BNG216" s="26"/>
      <c r="BNH216" s="26"/>
      <c r="BNI216" s="26"/>
      <c r="BNJ216" s="26"/>
      <c r="BNK216" s="26"/>
      <c r="BNL216" s="26"/>
      <c r="BNM216" s="26"/>
      <c r="BNN216" s="26"/>
      <c r="BNO216" s="26"/>
      <c r="BNP216" s="26"/>
      <c r="BNQ216" s="26"/>
      <c r="BNR216" s="26"/>
      <c r="BNS216" s="26"/>
      <c r="BNT216" s="26"/>
      <c r="BNU216" s="26"/>
      <c r="BNV216" s="26"/>
      <c r="BNW216" s="26"/>
      <c r="BNX216" s="26"/>
      <c r="BNY216" s="26"/>
      <c r="BNZ216" s="26"/>
      <c r="BOA216" s="26"/>
      <c r="BOB216" s="26"/>
      <c r="BOC216" s="26"/>
      <c r="BOD216" s="26"/>
      <c r="BOE216" s="26"/>
      <c r="BOF216" s="26"/>
      <c r="BOG216" s="26"/>
      <c r="BOH216" s="26"/>
      <c r="BOI216" s="26"/>
      <c r="BOJ216" s="26"/>
      <c r="BOK216" s="26"/>
      <c r="BOL216" s="26"/>
      <c r="BOM216" s="26"/>
      <c r="BON216" s="26"/>
      <c r="BOO216" s="26"/>
      <c r="BOP216" s="26"/>
      <c r="BOQ216" s="26"/>
      <c r="BOR216" s="26"/>
      <c r="BOS216" s="26"/>
      <c r="BOT216" s="26"/>
      <c r="BOU216" s="26"/>
      <c r="BOV216" s="26"/>
      <c r="BOW216" s="26"/>
      <c r="BOX216" s="26"/>
      <c r="BOY216" s="26"/>
      <c r="BOZ216" s="26"/>
      <c r="BPA216" s="26"/>
      <c r="BPB216" s="26"/>
      <c r="BPC216" s="26"/>
      <c r="BPD216" s="26"/>
      <c r="BPE216" s="26"/>
      <c r="BPF216" s="26"/>
      <c r="BPG216" s="26"/>
      <c r="BPH216" s="26"/>
      <c r="BPI216" s="26"/>
      <c r="BPJ216" s="26"/>
      <c r="BPK216" s="26"/>
      <c r="BPL216" s="26"/>
      <c r="BPM216" s="26"/>
      <c r="BPN216" s="26"/>
      <c r="BPO216" s="26"/>
      <c r="BPP216" s="26"/>
      <c r="BPQ216" s="26"/>
      <c r="BPR216" s="26"/>
      <c r="BPS216" s="26"/>
      <c r="BPT216" s="26"/>
      <c r="BPU216" s="26"/>
      <c r="BPV216" s="26"/>
      <c r="BPW216" s="26"/>
      <c r="BPX216" s="26"/>
      <c r="BPY216" s="26"/>
      <c r="BPZ216" s="26"/>
      <c r="BQA216" s="26"/>
      <c r="BQB216" s="26"/>
      <c r="BQC216" s="26"/>
      <c r="BQD216" s="26"/>
      <c r="BQE216" s="26"/>
      <c r="BQF216" s="26"/>
      <c r="BQG216" s="26"/>
      <c r="BQH216" s="26"/>
      <c r="BQI216" s="26"/>
      <c r="BQJ216" s="26"/>
      <c r="BQK216" s="26"/>
      <c r="BQL216" s="26"/>
      <c r="BQM216" s="26"/>
      <c r="BQN216" s="26"/>
      <c r="BQO216" s="26"/>
      <c r="BQP216" s="26"/>
      <c r="BQQ216" s="26"/>
      <c r="BQR216" s="26"/>
      <c r="BQS216" s="26"/>
      <c r="BQT216" s="26"/>
      <c r="BQU216" s="26"/>
      <c r="BQV216" s="26"/>
      <c r="BQW216" s="26"/>
      <c r="BQX216" s="26"/>
      <c r="BQY216" s="26"/>
      <c r="BQZ216" s="26"/>
      <c r="BRA216" s="26"/>
      <c r="BRB216" s="26"/>
      <c r="BRC216" s="26"/>
      <c r="BRD216" s="26"/>
      <c r="BRE216" s="26"/>
      <c r="BRF216" s="26"/>
      <c r="BRG216" s="26"/>
      <c r="BRH216" s="26"/>
      <c r="BRI216" s="26"/>
      <c r="BRJ216" s="26"/>
      <c r="BRK216" s="26"/>
      <c r="BRL216" s="26"/>
      <c r="BRM216" s="26"/>
      <c r="BRN216" s="26"/>
      <c r="BRO216" s="26"/>
      <c r="BRP216" s="26"/>
      <c r="BRQ216" s="26"/>
      <c r="BRR216" s="26"/>
      <c r="BRS216" s="26"/>
      <c r="BRT216" s="26"/>
      <c r="BRU216" s="26"/>
      <c r="BRV216" s="26"/>
      <c r="BRW216" s="26"/>
      <c r="BRX216" s="26"/>
      <c r="BRY216" s="26"/>
      <c r="BRZ216" s="26"/>
      <c r="BSA216" s="26"/>
      <c r="BSB216" s="26"/>
      <c r="BSC216" s="26"/>
      <c r="BSD216" s="26"/>
      <c r="BSE216" s="26"/>
      <c r="BSF216" s="26"/>
      <c r="BSG216" s="26"/>
      <c r="BSH216" s="26"/>
      <c r="BSI216" s="26"/>
      <c r="BSJ216" s="26"/>
      <c r="BSK216" s="26"/>
      <c r="BSL216" s="26"/>
      <c r="BSM216" s="26"/>
      <c r="BSN216" s="26"/>
      <c r="BSO216" s="26"/>
      <c r="BSP216" s="26"/>
      <c r="BSQ216" s="26"/>
      <c r="BSR216" s="26"/>
      <c r="BSS216" s="26"/>
      <c r="BST216" s="26"/>
      <c r="BSU216" s="26"/>
      <c r="BSV216" s="26"/>
      <c r="BSW216" s="26"/>
      <c r="BSX216" s="26"/>
      <c r="BSY216" s="26"/>
      <c r="BSZ216" s="26"/>
      <c r="BTA216" s="26"/>
      <c r="BTB216" s="26"/>
      <c r="BTC216" s="26"/>
      <c r="BTD216" s="26"/>
      <c r="BTE216" s="26"/>
      <c r="BTF216" s="26"/>
      <c r="BTG216" s="26"/>
      <c r="BTH216" s="26"/>
      <c r="BTI216" s="26"/>
      <c r="BTJ216" s="26"/>
      <c r="BTK216" s="26"/>
      <c r="BTL216" s="26"/>
      <c r="BTM216" s="26"/>
      <c r="BTN216" s="26"/>
      <c r="BTO216" s="26"/>
      <c r="BTP216" s="26"/>
      <c r="BTQ216" s="26"/>
      <c r="BTR216" s="26"/>
      <c r="BTS216" s="26"/>
      <c r="BTT216" s="26"/>
      <c r="BTU216" s="26"/>
      <c r="BTV216" s="26"/>
      <c r="BTW216" s="26"/>
      <c r="BTX216" s="26"/>
      <c r="BTY216" s="26"/>
      <c r="BTZ216" s="26"/>
      <c r="BUA216" s="26"/>
      <c r="BUB216" s="26"/>
      <c r="BUC216" s="26"/>
      <c r="BUD216" s="26"/>
      <c r="BUE216" s="26"/>
      <c r="BUF216" s="26"/>
      <c r="BUG216" s="26"/>
      <c r="BUH216" s="26"/>
      <c r="BUI216" s="26"/>
      <c r="BUJ216" s="26"/>
      <c r="BUK216" s="26"/>
      <c r="BUL216" s="26"/>
      <c r="BUM216" s="26"/>
      <c r="BUN216" s="26"/>
      <c r="BUO216" s="26"/>
      <c r="BUP216" s="26"/>
      <c r="BUQ216" s="26"/>
      <c r="BUR216" s="26"/>
      <c r="BUS216" s="26"/>
      <c r="BUT216" s="26"/>
      <c r="BUU216" s="26"/>
      <c r="BUV216" s="26"/>
      <c r="BUW216" s="26"/>
      <c r="BUX216" s="26"/>
      <c r="BUY216" s="26"/>
      <c r="BUZ216" s="26"/>
      <c r="BVA216" s="26"/>
      <c r="BVB216" s="26"/>
      <c r="BVC216" s="26"/>
      <c r="BVD216" s="26"/>
      <c r="BVE216" s="26"/>
      <c r="BVF216" s="26"/>
      <c r="BVG216" s="26"/>
      <c r="BVH216" s="26"/>
      <c r="BVI216" s="26"/>
      <c r="BVJ216" s="26"/>
      <c r="BVK216" s="26"/>
      <c r="BVL216" s="26"/>
      <c r="BVM216" s="26"/>
      <c r="BVN216" s="26"/>
      <c r="BVO216" s="26"/>
      <c r="BVP216" s="26"/>
      <c r="BVQ216" s="26"/>
      <c r="BVR216" s="26"/>
      <c r="BVS216" s="26"/>
      <c r="BVT216" s="26"/>
      <c r="BVU216" s="26"/>
      <c r="BVV216" s="26"/>
      <c r="BVW216" s="26"/>
      <c r="BVX216" s="26"/>
      <c r="BVY216" s="26"/>
      <c r="BVZ216" s="26"/>
      <c r="BWA216" s="26"/>
      <c r="BWB216" s="26"/>
      <c r="BWC216" s="26"/>
      <c r="BWD216" s="26"/>
      <c r="BWE216" s="26"/>
      <c r="BWF216" s="26"/>
      <c r="BWG216" s="26"/>
      <c r="BWH216" s="26"/>
      <c r="BWI216" s="26"/>
      <c r="BWJ216" s="26"/>
      <c r="BWK216" s="26"/>
      <c r="BWL216" s="26"/>
      <c r="BWM216" s="26"/>
      <c r="BWN216" s="26"/>
      <c r="BWO216" s="26"/>
      <c r="BWP216" s="26"/>
      <c r="BWQ216" s="26"/>
      <c r="BWR216" s="26"/>
      <c r="BWS216" s="26"/>
      <c r="BWT216" s="26"/>
      <c r="BWU216" s="26"/>
      <c r="BWV216" s="26"/>
      <c r="BWW216" s="26"/>
      <c r="BWX216" s="26"/>
      <c r="BWY216" s="26"/>
      <c r="BWZ216" s="26"/>
      <c r="BXA216" s="26"/>
      <c r="BXB216" s="26"/>
      <c r="BXC216" s="26"/>
      <c r="BXD216" s="26"/>
      <c r="BXE216" s="26"/>
      <c r="BXF216" s="26"/>
      <c r="BXG216" s="26"/>
      <c r="BXH216" s="26"/>
      <c r="BXI216" s="26"/>
      <c r="BXJ216" s="26"/>
      <c r="BXK216" s="26"/>
      <c r="BXL216" s="26"/>
      <c r="BXM216" s="26"/>
      <c r="BXN216" s="26"/>
      <c r="BXO216" s="26"/>
      <c r="BXP216" s="26"/>
      <c r="BXQ216" s="26"/>
      <c r="BXR216" s="26"/>
      <c r="BXS216" s="26"/>
      <c r="BXT216" s="26"/>
      <c r="BXU216" s="26"/>
      <c r="BXV216" s="26"/>
      <c r="BXW216" s="26"/>
      <c r="BXX216" s="26"/>
      <c r="BXY216" s="26"/>
      <c r="BXZ216" s="26"/>
      <c r="BYA216" s="26"/>
      <c r="BYB216" s="26"/>
      <c r="BYC216" s="26"/>
      <c r="BYD216" s="26"/>
      <c r="BYE216" s="26"/>
      <c r="BYF216" s="26"/>
      <c r="BYG216" s="26"/>
      <c r="BYH216" s="26"/>
      <c r="BYI216" s="26"/>
      <c r="BYJ216" s="26"/>
      <c r="BYK216" s="26"/>
      <c r="BYL216" s="26"/>
      <c r="BYM216" s="26"/>
      <c r="BYN216" s="26"/>
      <c r="BYO216" s="26"/>
      <c r="BYP216" s="26"/>
      <c r="BYQ216" s="26"/>
      <c r="BYR216" s="26"/>
      <c r="BYS216" s="26"/>
      <c r="BYT216" s="26"/>
      <c r="BYU216" s="26"/>
      <c r="BYV216" s="26"/>
      <c r="BYW216" s="26"/>
      <c r="BYX216" s="26"/>
      <c r="BYY216" s="26"/>
      <c r="BYZ216" s="26"/>
      <c r="BZA216" s="26"/>
      <c r="BZB216" s="26"/>
      <c r="BZC216" s="26"/>
      <c r="BZD216" s="26"/>
      <c r="BZE216" s="26"/>
      <c r="BZF216" s="26"/>
      <c r="BZG216" s="26"/>
      <c r="BZH216" s="26"/>
      <c r="BZI216" s="26"/>
      <c r="BZJ216" s="26"/>
      <c r="BZK216" s="26"/>
      <c r="BZL216" s="26"/>
      <c r="BZM216" s="26"/>
      <c r="BZN216" s="26"/>
      <c r="BZO216" s="26"/>
      <c r="BZP216" s="26"/>
      <c r="BZQ216" s="26"/>
      <c r="BZR216" s="26"/>
      <c r="BZS216" s="26"/>
      <c r="BZT216" s="26"/>
      <c r="BZU216" s="26"/>
      <c r="BZV216" s="26"/>
      <c r="BZW216" s="26"/>
      <c r="BZX216" s="26"/>
      <c r="BZY216" s="26"/>
      <c r="BZZ216" s="26"/>
      <c r="CAA216" s="26"/>
      <c r="CAB216" s="26"/>
      <c r="CAC216" s="26"/>
      <c r="CAD216" s="26"/>
      <c r="CAE216" s="26"/>
      <c r="CAF216" s="26"/>
      <c r="CAG216" s="26"/>
      <c r="CAH216" s="26"/>
      <c r="CAI216" s="26"/>
      <c r="CAJ216" s="26"/>
      <c r="CAK216" s="26"/>
      <c r="CAL216" s="26"/>
      <c r="CAM216" s="26"/>
      <c r="CAN216" s="26"/>
      <c r="CAO216" s="26"/>
      <c r="CAP216" s="26"/>
      <c r="CAQ216" s="26"/>
      <c r="CAR216" s="26"/>
      <c r="CAS216" s="26"/>
      <c r="CAT216" s="26"/>
      <c r="CAU216" s="26"/>
      <c r="CAV216" s="26"/>
      <c r="CAW216" s="26"/>
      <c r="CAX216" s="26"/>
      <c r="CAY216" s="26"/>
      <c r="CAZ216" s="26"/>
      <c r="CBA216" s="26"/>
      <c r="CBB216" s="26"/>
      <c r="CBC216" s="26"/>
      <c r="CBD216" s="26"/>
      <c r="CBE216" s="26"/>
      <c r="CBF216" s="26"/>
      <c r="CBG216" s="26"/>
      <c r="CBH216" s="26"/>
      <c r="CBI216" s="26"/>
    </row>
    <row r="217" spans="1:2089" ht="14" customHeight="1">
      <c r="A217" s="27">
        <v>216</v>
      </c>
      <c r="B217" s="27" t="s">
        <v>379</v>
      </c>
      <c r="C217" s="26">
        <v>2001</v>
      </c>
      <c r="D217" s="26" t="s">
        <v>13</v>
      </c>
      <c r="E217" s="26" t="s">
        <v>566</v>
      </c>
      <c r="F217" s="77" t="s">
        <v>175</v>
      </c>
      <c r="G217" s="2" t="s">
        <v>105</v>
      </c>
      <c r="H217" s="2" t="s">
        <v>30</v>
      </c>
      <c r="I217" s="2" t="s">
        <v>175</v>
      </c>
      <c r="J217" s="2" t="s">
        <v>604</v>
      </c>
      <c r="K217" s="2" t="s">
        <v>175</v>
      </c>
      <c r="L217" s="2" t="s">
        <v>548</v>
      </c>
      <c r="M217" s="2" t="s">
        <v>175</v>
      </c>
      <c r="N217" s="2" t="s">
        <v>62</v>
      </c>
      <c r="O217" s="2" t="s">
        <v>43</v>
      </c>
      <c r="P217" s="2" t="s">
        <v>62</v>
      </c>
      <c r="Q217" s="26" t="s">
        <v>247</v>
      </c>
      <c r="R217" s="102" t="s">
        <v>614</v>
      </c>
      <c r="S217" s="88">
        <v>0.41660000000000003</v>
      </c>
      <c r="T217" s="61">
        <v>144</v>
      </c>
      <c r="U217" s="77">
        <v>1</v>
      </c>
      <c r="V217" s="26">
        <v>0</v>
      </c>
      <c r="W217" s="26">
        <v>1</v>
      </c>
      <c r="X217" s="26">
        <v>1</v>
      </c>
      <c r="Y217" s="26">
        <v>0</v>
      </c>
      <c r="Z217" s="26">
        <v>0</v>
      </c>
      <c r="AA217" s="26">
        <v>0</v>
      </c>
      <c r="AB217" s="26">
        <v>0</v>
      </c>
      <c r="AC217" s="26" t="s">
        <v>70</v>
      </c>
      <c r="AD217" s="26" t="s">
        <v>70</v>
      </c>
      <c r="AE217" s="26" t="s">
        <v>70</v>
      </c>
      <c r="AF217" s="26" t="s">
        <v>70</v>
      </c>
      <c r="AG217" s="33" t="s">
        <v>70</v>
      </c>
      <c r="AH217" s="26" t="s">
        <v>70</v>
      </c>
      <c r="AI217" s="26" t="s">
        <v>70</v>
      </c>
      <c r="AJ217" s="26" t="s">
        <v>70</v>
      </c>
      <c r="AK217" s="26" t="s">
        <v>70</v>
      </c>
      <c r="AL217" s="26" t="s">
        <v>70</v>
      </c>
      <c r="AM217" s="61" t="s">
        <v>548</v>
      </c>
      <c r="AN217" s="26" t="s">
        <v>274</v>
      </c>
      <c r="AO217" s="35" t="s">
        <v>548</v>
      </c>
      <c r="AP217" s="35" t="s">
        <v>548</v>
      </c>
      <c r="AQ217" s="35" t="s">
        <v>548</v>
      </c>
      <c r="AR217" s="35" t="s">
        <v>548</v>
      </c>
      <c r="AS217" s="26" t="s">
        <v>175</v>
      </c>
      <c r="AT217" s="26" t="s">
        <v>70</v>
      </c>
      <c r="AU217" s="26" t="s">
        <v>70</v>
      </c>
      <c r="AV217" s="26">
        <v>7</v>
      </c>
    </row>
    <row r="218" spans="1:2089" ht="14" customHeight="1">
      <c r="A218" s="27">
        <v>217</v>
      </c>
      <c r="B218" s="27" t="s">
        <v>572</v>
      </c>
      <c r="C218" s="27">
        <v>2011</v>
      </c>
      <c r="D218" s="26" t="s">
        <v>575</v>
      </c>
      <c r="E218" s="26" t="s">
        <v>564</v>
      </c>
      <c r="F218" s="77" t="s">
        <v>548</v>
      </c>
      <c r="G218" s="2" t="s">
        <v>149</v>
      </c>
      <c r="H218" s="2" t="s">
        <v>275</v>
      </c>
      <c r="I218" s="2" t="s">
        <v>548</v>
      </c>
      <c r="J218" s="2" t="s">
        <v>604</v>
      </c>
      <c r="K218" s="2" t="s">
        <v>548</v>
      </c>
      <c r="L218" s="2" t="s">
        <v>548</v>
      </c>
      <c r="M218" s="2" t="s">
        <v>548</v>
      </c>
      <c r="N218" s="2" t="s">
        <v>70</v>
      </c>
      <c r="O218" s="2" t="s">
        <v>209</v>
      </c>
      <c r="P218" s="2" t="s">
        <v>612</v>
      </c>
      <c r="Q218" s="2" t="s">
        <v>42</v>
      </c>
      <c r="R218" s="102" t="s">
        <v>614</v>
      </c>
      <c r="S218" s="88">
        <f>6/39</f>
        <v>0.15384615384615385</v>
      </c>
      <c r="T218" s="61">
        <v>39</v>
      </c>
      <c r="U218" s="77">
        <v>0</v>
      </c>
      <c r="V218" s="26">
        <v>0</v>
      </c>
      <c r="W218" s="26">
        <v>1</v>
      </c>
      <c r="X218" s="26">
        <v>0</v>
      </c>
      <c r="Y218" s="26">
        <v>0</v>
      </c>
      <c r="Z218" s="26">
        <v>0</v>
      </c>
      <c r="AA218" s="26">
        <v>0</v>
      </c>
      <c r="AB218" s="26">
        <v>0</v>
      </c>
      <c r="AC218" s="26" t="s">
        <v>70</v>
      </c>
      <c r="AD218" s="26" t="s">
        <v>70</v>
      </c>
      <c r="AE218" s="26" t="s">
        <v>70</v>
      </c>
      <c r="AF218" s="26" t="s">
        <v>70</v>
      </c>
      <c r="AG218" s="26" t="s">
        <v>70</v>
      </c>
      <c r="AH218" s="26" t="s">
        <v>70</v>
      </c>
      <c r="AI218" s="26" t="s">
        <v>70</v>
      </c>
      <c r="AJ218" s="26" t="s">
        <v>70</v>
      </c>
      <c r="AK218" s="26" t="s">
        <v>70</v>
      </c>
      <c r="AL218" s="26" t="s">
        <v>70</v>
      </c>
      <c r="AM218" s="61" t="s">
        <v>175</v>
      </c>
      <c r="AN218" s="32" t="s">
        <v>9</v>
      </c>
      <c r="AO218" s="35" t="s">
        <v>548</v>
      </c>
      <c r="AP218" s="35" t="s">
        <v>548</v>
      </c>
      <c r="AQ218" s="35" t="s">
        <v>548</v>
      </c>
      <c r="AR218" s="35" t="s">
        <v>175</v>
      </c>
      <c r="AS218" s="26" t="s">
        <v>175</v>
      </c>
      <c r="AT218" s="26" t="s">
        <v>70</v>
      </c>
      <c r="AU218" s="26" t="s">
        <v>70</v>
      </c>
      <c r="AV218" s="26">
        <v>3</v>
      </c>
    </row>
    <row r="219" spans="1:2089" ht="14" customHeight="1">
      <c r="A219" s="27">
        <v>218</v>
      </c>
      <c r="B219" s="27" t="s">
        <v>380</v>
      </c>
      <c r="C219" s="28">
        <v>2012</v>
      </c>
      <c r="D219" s="26" t="s">
        <v>111</v>
      </c>
      <c r="E219" s="26" t="s">
        <v>563</v>
      </c>
      <c r="F219" s="2" t="s">
        <v>175</v>
      </c>
      <c r="G219" s="2" t="s">
        <v>105</v>
      </c>
      <c r="H219" s="2" t="s">
        <v>24</v>
      </c>
      <c r="I219" s="2" t="s">
        <v>175</v>
      </c>
      <c r="J219" s="2" t="s">
        <v>604</v>
      </c>
      <c r="K219" s="2" t="s">
        <v>175</v>
      </c>
      <c r="L219" s="2" t="s">
        <v>175</v>
      </c>
      <c r="M219" s="2" t="s">
        <v>175</v>
      </c>
      <c r="N219" s="2" t="s">
        <v>210</v>
      </c>
      <c r="O219" s="2" t="s">
        <v>43</v>
      </c>
      <c r="P219" s="2" t="s">
        <v>210</v>
      </c>
      <c r="Q219" s="2" t="s">
        <v>42</v>
      </c>
      <c r="R219" s="102" t="s">
        <v>614</v>
      </c>
      <c r="S219" s="88">
        <v>0</v>
      </c>
      <c r="T219" s="61">
        <v>17</v>
      </c>
      <c r="U219" s="2">
        <v>1</v>
      </c>
      <c r="V219" s="26">
        <v>1</v>
      </c>
      <c r="W219" s="26">
        <v>1</v>
      </c>
      <c r="X219" s="26">
        <v>1</v>
      </c>
      <c r="Y219" s="26">
        <v>0</v>
      </c>
      <c r="Z219" s="26">
        <v>0</v>
      </c>
      <c r="AA219" s="26">
        <v>0</v>
      </c>
      <c r="AB219" s="26">
        <v>0</v>
      </c>
      <c r="AC219" s="26" t="s">
        <v>70</v>
      </c>
      <c r="AD219" s="26" t="s">
        <v>70</v>
      </c>
      <c r="AE219" s="26" t="s">
        <v>70</v>
      </c>
      <c r="AF219" s="26" t="s">
        <v>70</v>
      </c>
      <c r="AG219" s="33">
        <v>9.4E-2</v>
      </c>
      <c r="AH219" s="33" t="s">
        <v>70</v>
      </c>
      <c r="AI219" s="33" t="s">
        <v>70</v>
      </c>
      <c r="AJ219" s="26" t="s">
        <v>70</v>
      </c>
      <c r="AK219" s="33" t="s">
        <v>70</v>
      </c>
      <c r="AL219" s="33" t="s">
        <v>70</v>
      </c>
      <c r="AM219" s="61" t="s">
        <v>548</v>
      </c>
      <c r="AN219" s="26" t="s">
        <v>274</v>
      </c>
      <c r="AO219" s="26" t="s">
        <v>548</v>
      </c>
      <c r="AP219" s="26" t="s">
        <v>548</v>
      </c>
      <c r="AQ219" s="26" t="s">
        <v>548</v>
      </c>
      <c r="AR219" s="26" t="s">
        <v>175</v>
      </c>
      <c r="AS219" s="26" t="s">
        <v>175</v>
      </c>
      <c r="AT219" s="26" t="s">
        <v>70</v>
      </c>
      <c r="AU219" s="26" t="s">
        <v>70</v>
      </c>
      <c r="AV219" s="26">
        <v>9</v>
      </c>
    </row>
    <row r="220" spans="1:2089" s="53" customFormat="1" ht="14" customHeight="1">
      <c r="A220" s="27">
        <v>219</v>
      </c>
      <c r="B220" s="27" t="s">
        <v>381</v>
      </c>
      <c r="C220" s="40">
        <v>2010</v>
      </c>
      <c r="D220" s="40" t="s">
        <v>27</v>
      </c>
      <c r="E220" s="26" t="s">
        <v>563</v>
      </c>
      <c r="F220" s="74" t="s">
        <v>548</v>
      </c>
      <c r="G220" s="74" t="s">
        <v>84</v>
      </c>
      <c r="H220" s="2" t="s">
        <v>24</v>
      </c>
      <c r="I220" s="74" t="s">
        <v>175</v>
      </c>
      <c r="J220" s="74" t="s">
        <v>604</v>
      </c>
      <c r="K220" s="74" t="s">
        <v>175</v>
      </c>
      <c r="L220" s="74" t="s">
        <v>548</v>
      </c>
      <c r="M220" s="74" t="s">
        <v>175</v>
      </c>
      <c r="N220" s="2" t="s">
        <v>608</v>
      </c>
      <c r="O220" s="2" t="s">
        <v>43</v>
      </c>
      <c r="P220" s="2" t="s">
        <v>608</v>
      </c>
      <c r="Q220" s="2" t="s">
        <v>42</v>
      </c>
      <c r="R220" s="102" t="s">
        <v>614</v>
      </c>
      <c r="S220" s="92">
        <v>0.11</v>
      </c>
      <c r="T220" s="71">
        <v>308</v>
      </c>
      <c r="U220" s="74">
        <v>0</v>
      </c>
      <c r="V220" s="40">
        <v>0</v>
      </c>
      <c r="W220" s="40">
        <v>1</v>
      </c>
      <c r="X220" s="40">
        <v>1</v>
      </c>
      <c r="Y220" s="40">
        <v>0</v>
      </c>
      <c r="Z220" s="40">
        <v>0</v>
      </c>
      <c r="AA220" s="40">
        <v>0</v>
      </c>
      <c r="AB220" s="40">
        <v>0</v>
      </c>
      <c r="AC220" s="40" t="s">
        <v>70</v>
      </c>
      <c r="AD220" s="40" t="s">
        <v>70</v>
      </c>
      <c r="AE220" s="40" t="s">
        <v>70</v>
      </c>
      <c r="AF220" s="40" t="s">
        <v>70</v>
      </c>
      <c r="AG220" s="70" t="s">
        <v>70</v>
      </c>
      <c r="AH220" s="70" t="s">
        <v>70</v>
      </c>
      <c r="AI220" s="70">
        <v>0</v>
      </c>
      <c r="AJ220" s="40" t="s">
        <v>159</v>
      </c>
      <c r="AK220" s="70" t="s">
        <v>70</v>
      </c>
      <c r="AL220" s="70" t="s">
        <v>70</v>
      </c>
      <c r="AM220" s="71" t="s">
        <v>175</v>
      </c>
      <c r="AN220" s="26" t="s">
        <v>274</v>
      </c>
      <c r="AO220" s="40" t="s">
        <v>548</v>
      </c>
      <c r="AP220" s="40" t="s">
        <v>175</v>
      </c>
      <c r="AQ220" s="40" t="s">
        <v>548</v>
      </c>
      <c r="AR220" s="40" t="s">
        <v>548</v>
      </c>
      <c r="AS220" s="40" t="s">
        <v>175</v>
      </c>
      <c r="AT220" s="26" t="s">
        <v>175</v>
      </c>
      <c r="AU220" s="40" t="s">
        <v>274</v>
      </c>
      <c r="AV220" s="26">
        <v>7</v>
      </c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  <c r="GR220" s="26"/>
      <c r="GS220" s="26"/>
      <c r="GT220" s="26"/>
      <c r="GU220" s="26"/>
      <c r="GV220" s="26"/>
      <c r="GW220" s="26"/>
      <c r="GX220" s="26"/>
      <c r="GY220" s="26"/>
      <c r="GZ220" s="26"/>
      <c r="HA220" s="26"/>
      <c r="HB220" s="26"/>
      <c r="HC220" s="26"/>
      <c r="HD220" s="26"/>
      <c r="HE220" s="26"/>
      <c r="HF220" s="26"/>
      <c r="HG220" s="26"/>
      <c r="HH220" s="26"/>
      <c r="HI220" s="26"/>
      <c r="HJ220" s="26"/>
      <c r="HK220" s="26"/>
      <c r="HL220" s="26"/>
      <c r="HM220" s="26"/>
      <c r="HN220" s="26"/>
      <c r="HO220" s="26"/>
      <c r="HP220" s="26"/>
      <c r="HQ220" s="26"/>
      <c r="HR220" s="26"/>
      <c r="HS220" s="26"/>
      <c r="HT220" s="26"/>
      <c r="HU220" s="26"/>
      <c r="HV220" s="26"/>
      <c r="HW220" s="26"/>
      <c r="HX220" s="26"/>
      <c r="HY220" s="26"/>
      <c r="HZ220" s="26"/>
      <c r="IA220" s="26"/>
      <c r="IB220" s="26"/>
      <c r="IC220" s="26"/>
      <c r="ID220" s="26"/>
      <c r="IE220" s="26"/>
      <c r="IF220" s="26"/>
      <c r="IG220" s="26"/>
      <c r="IH220" s="26"/>
      <c r="II220" s="26"/>
      <c r="IJ220" s="26"/>
      <c r="IK220" s="26"/>
      <c r="IL220" s="26"/>
      <c r="IM220" s="26"/>
      <c r="IN220" s="26"/>
      <c r="IO220" s="26"/>
      <c r="IP220" s="26"/>
      <c r="IQ220" s="26"/>
      <c r="IR220" s="26"/>
      <c r="IS220" s="26"/>
      <c r="IT220" s="26"/>
      <c r="IU220" s="26"/>
      <c r="IV220" s="26"/>
      <c r="IW220" s="26"/>
      <c r="IX220" s="26"/>
      <c r="IY220" s="26"/>
      <c r="IZ220" s="26"/>
      <c r="JA220" s="26"/>
      <c r="JB220" s="26"/>
      <c r="JC220" s="26"/>
      <c r="JD220" s="26"/>
      <c r="JE220" s="26"/>
      <c r="JF220" s="26"/>
      <c r="JG220" s="26"/>
      <c r="JH220" s="26"/>
      <c r="JI220" s="26"/>
      <c r="JJ220" s="26"/>
      <c r="JK220" s="26"/>
      <c r="JL220" s="26"/>
      <c r="JM220" s="26"/>
      <c r="JN220" s="26"/>
      <c r="JO220" s="26"/>
      <c r="JP220" s="26"/>
      <c r="JQ220" s="26"/>
      <c r="JR220" s="26"/>
      <c r="JS220" s="26"/>
      <c r="JT220" s="26"/>
      <c r="JU220" s="26"/>
      <c r="JV220" s="26"/>
      <c r="JW220" s="26"/>
      <c r="JX220" s="26"/>
      <c r="JY220" s="26"/>
      <c r="JZ220" s="26"/>
      <c r="KA220" s="26"/>
      <c r="KB220" s="26"/>
      <c r="KC220" s="26"/>
      <c r="KD220" s="26"/>
      <c r="KE220" s="26"/>
      <c r="KF220" s="26"/>
      <c r="KG220" s="26"/>
      <c r="KH220" s="26"/>
      <c r="KI220" s="26"/>
      <c r="KJ220" s="26"/>
      <c r="KK220" s="26"/>
      <c r="KL220" s="26"/>
      <c r="KM220" s="26"/>
      <c r="KN220" s="26"/>
      <c r="KO220" s="26"/>
      <c r="KP220" s="26"/>
      <c r="KQ220" s="26"/>
      <c r="KR220" s="26"/>
      <c r="KS220" s="26"/>
      <c r="KT220" s="26"/>
      <c r="KU220" s="26"/>
      <c r="KV220" s="26"/>
      <c r="KW220" s="26"/>
      <c r="KX220" s="26"/>
      <c r="KY220" s="26"/>
      <c r="KZ220" s="26"/>
      <c r="LA220" s="26"/>
      <c r="LB220" s="26"/>
      <c r="LC220" s="26"/>
      <c r="LD220" s="26"/>
      <c r="LE220" s="26"/>
      <c r="LF220" s="26"/>
      <c r="LG220" s="26"/>
      <c r="LH220" s="26"/>
      <c r="LI220" s="26"/>
      <c r="LJ220" s="26"/>
      <c r="LK220" s="26"/>
      <c r="LL220" s="26"/>
      <c r="LM220" s="26"/>
      <c r="LN220" s="26"/>
      <c r="LO220" s="26"/>
      <c r="LP220" s="26"/>
      <c r="LQ220" s="26"/>
      <c r="LR220" s="26"/>
      <c r="LS220" s="26"/>
      <c r="LT220" s="26"/>
      <c r="LU220" s="26"/>
      <c r="LV220" s="26"/>
      <c r="LW220" s="26"/>
      <c r="LX220" s="26"/>
      <c r="LY220" s="26"/>
      <c r="LZ220" s="26"/>
      <c r="MA220" s="26"/>
      <c r="MB220" s="26"/>
      <c r="MC220" s="26"/>
      <c r="MD220" s="26"/>
      <c r="ME220" s="26"/>
      <c r="MF220" s="26"/>
      <c r="MG220" s="26"/>
      <c r="MH220" s="26"/>
      <c r="MI220" s="26"/>
      <c r="MJ220" s="26"/>
      <c r="MK220" s="26"/>
      <c r="ML220" s="26"/>
      <c r="MM220" s="26"/>
      <c r="MN220" s="26"/>
      <c r="MO220" s="26"/>
      <c r="MP220" s="26"/>
      <c r="MQ220" s="26"/>
      <c r="MR220" s="26"/>
      <c r="MS220" s="26"/>
      <c r="MT220" s="26"/>
      <c r="MU220" s="26"/>
      <c r="MV220" s="26"/>
      <c r="MW220" s="26"/>
      <c r="MX220" s="26"/>
      <c r="MY220" s="26"/>
      <c r="MZ220" s="26"/>
      <c r="NA220" s="26"/>
      <c r="NB220" s="26"/>
      <c r="NC220" s="26"/>
      <c r="ND220" s="26"/>
      <c r="NE220" s="26"/>
      <c r="NF220" s="26"/>
      <c r="NG220" s="26"/>
      <c r="NH220" s="26"/>
      <c r="NI220" s="26"/>
      <c r="NJ220" s="26"/>
      <c r="NK220" s="26"/>
      <c r="NL220" s="26"/>
      <c r="NM220" s="26"/>
      <c r="NN220" s="26"/>
      <c r="NO220" s="26"/>
      <c r="NP220" s="26"/>
      <c r="NQ220" s="26"/>
      <c r="NR220" s="26"/>
      <c r="NS220" s="26"/>
      <c r="NT220" s="26"/>
      <c r="NU220" s="26"/>
      <c r="NV220" s="26"/>
      <c r="NW220" s="26"/>
      <c r="NX220" s="26"/>
      <c r="NY220" s="26"/>
      <c r="NZ220" s="26"/>
      <c r="OA220" s="26"/>
      <c r="OB220" s="26"/>
      <c r="OC220" s="26"/>
      <c r="OD220" s="26"/>
      <c r="OE220" s="26"/>
      <c r="OF220" s="26"/>
      <c r="OG220" s="26"/>
      <c r="OH220" s="26"/>
      <c r="OI220" s="26"/>
      <c r="OJ220" s="26"/>
      <c r="OK220" s="26"/>
      <c r="OL220" s="26"/>
      <c r="OM220" s="26"/>
      <c r="ON220" s="26"/>
      <c r="OO220" s="26"/>
      <c r="OP220" s="26"/>
      <c r="OQ220" s="26"/>
      <c r="OR220" s="26"/>
      <c r="OS220" s="26"/>
      <c r="OT220" s="26"/>
      <c r="OU220" s="26"/>
      <c r="OV220" s="26"/>
      <c r="OW220" s="26"/>
      <c r="OX220" s="26"/>
      <c r="OY220" s="26"/>
      <c r="OZ220" s="26"/>
      <c r="PA220" s="26"/>
      <c r="PB220" s="26"/>
      <c r="PC220" s="26"/>
      <c r="PD220" s="26"/>
      <c r="PE220" s="26"/>
      <c r="PF220" s="26"/>
      <c r="PG220" s="26"/>
      <c r="PH220" s="26"/>
      <c r="PI220" s="26"/>
      <c r="PJ220" s="26"/>
      <c r="PK220" s="26"/>
      <c r="PL220" s="26"/>
      <c r="PM220" s="26"/>
      <c r="PN220" s="26"/>
      <c r="PO220" s="26"/>
      <c r="PP220" s="26"/>
      <c r="PQ220" s="26"/>
      <c r="PR220" s="26"/>
      <c r="PS220" s="26"/>
      <c r="PT220" s="26"/>
      <c r="PU220" s="26"/>
      <c r="PV220" s="26"/>
      <c r="PW220" s="26"/>
      <c r="PX220" s="26"/>
      <c r="PY220" s="26"/>
      <c r="PZ220" s="26"/>
      <c r="QA220" s="26"/>
      <c r="QB220" s="26"/>
      <c r="QC220" s="26"/>
      <c r="QD220" s="26"/>
      <c r="QE220" s="26"/>
      <c r="QF220" s="26"/>
      <c r="QG220" s="26"/>
      <c r="QH220" s="26"/>
      <c r="QI220" s="26"/>
      <c r="QJ220" s="26"/>
      <c r="QK220" s="26"/>
      <c r="QL220" s="26"/>
      <c r="QM220" s="26"/>
      <c r="QN220" s="26"/>
      <c r="QO220" s="26"/>
      <c r="QP220" s="26"/>
      <c r="QQ220" s="26"/>
      <c r="QR220" s="26"/>
      <c r="QS220" s="26"/>
      <c r="QT220" s="26"/>
      <c r="QU220" s="26"/>
      <c r="QV220" s="26"/>
      <c r="QW220" s="26"/>
      <c r="QX220" s="26"/>
      <c r="QY220" s="26"/>
      <c r="QZ220" s="26"/>
      <c r="RA220" s="26"/>
      <c r="RB220" s="26"/>
      <c r="RC220" s="26"/>
      <c r="RD220" s="26"/>
      <c r="RE220" s="26"/>
      <c r="RF220" s="26"/>
      <c r="RG220" s="26"/>
      <c r="RH220" s="26"/>
      <c r="RI220" s="26"/>
      <c r="RJ220" s="26"/>
      <c r="RK220" s="26"/>
      <c r="RL220" s="26"/>
      <c r="RM220" s="26"/>
      <c r="RN220" s="26"/>
      <c r="RO220" s="26"/>
      <c r="RP220" s="26"/>
      <c r="RQ220" s="26"/>
      <c r="RR220" s="26"/>
      <c r="RS220" s="26"/>
      <c r="RT220" s="26"/>
      <c r="RU220" s="26"/>
      <c r="RV220" s="26"/>
      <c r="RW220" s="26"/>
      <c r="RX220" s="26"/>
      <c r="RY220" s="26"/>
      <c r="RZ220" s="26"/>
      <c r="SA220" s="26"/>
      <c r="SB220" s="26"/>
      <c r="SC220" s="26"/>
      <c r="SD220" s="26"/>
      <c r="SE220" s="26"/>
      <c r="SF220" s="26"/>
      <c r="SG220" s="26"/>
      <c r="SH220" s="26"/>
      <c r="SI220" s="26"/>
      <c r="SJ220" s="26"/>
      <c r="SK220" s="26"/>
      <c r="SL220" s="26"/>
      <c r="SM220" s="26"/>
      <c r="SN220" s="26"/>
      <c r="SO220" s="26"/>
      <c r="SP220" s="26"/>
      <c r="SQ220" s="26"/>
      <c r="SR220" s="26"/>
      <c r="SS220" s="26"/>
      <c r="ST220" s="26"/>
      <c r="SU220" s="26"/>
      <c r="SV220" s="26"/>
      <c r="SW220" s="26"/>
      <c r="SX220" s="26"/>
      <c r="SY220" s="26"/>
      <c r="SZ220" s="26"/>
      <c r="TA220" s="26"/>
      <c r="TB220" s="26"/>
      <c r="TC220" s="26"/>
      <c r="TD220" s="26"/>
      <c r="TE220" s="26"/>
      <c r="TF220" s="26"/>
      <c r="TG220" s="26"/>
      <c r="TH220" s="26"/>
      <c r="TI220" s="26"/>
      <c r="TJ220" s="26"/>
      <c r="TK220" s="26"/>
      <c r="TL220" s="26"/>
      <c r="TM220" s="26"/>
      <c r="TN220" s="26"/>
      <c r="TO220" s="26"/>
      <c r="TP220" s="26"/>
      <c r="TQ220" s="26"/>
      <c r="TR220" s="26"/>
      <c r="TS220" s="26"/>
      <c r="TT220" s="26"/>
      <c r="TU220" s="26"/>
      <c r="TV220" s="26"/>
      <c r="TW220" s="26"/>
      <c r="TX220" s="26"/>
      <c r="TY220" s="26"/>
      <c r="TZ220" s="26"/>
      <c r="UA220" s="26"/>
      <c r="UB220" s="26"/>
      <c r="UC220" s="26"/>
      <c r="UD220" s="26"/>
      <c r="UE220" s="26"/>
      <c r="UF220" s="26"/>
      <c r="UG220" s="26"/>
      <c r="UH220" s="26"/>
      <c r="UI220" s="26"/>
      <c r="UJ220" s="26"/>
      <c r="UK220" s="26"/>
      <c r="UL220" s="26"/>
      <c r="UM220" s="26"/>
      <c r="UN220" s="26"/>
      <c r="UO220" s="26"/>
      <c r="UP220" s="26"/>
      <c r="UQ220" s="26"/>
      <c r="UR220" s="26"/>
      <c r="US220" s="26"/>
      <c r="UT220" s="26"/>
      <c r="UU220" s="26"/>
      <c r="UV220" s="26"/>
      <c r="UW220" s="26"/>
      <c r="UX220" s="26"/>
      <c r="UY220" s="26"/>
      <c r="UZ220" s="26"/>
      <c r="VA220" s="26"/>
      <c r="VB220" s="26"/>
      <c r="VC220" s="26"/>
      <c r="VD220" s="26"/>
      <c r="VE220" s="26"/>
      <c r="VF220" s="26"/>
      <c r="VG220" s="26"/>
      <c r="VH220" s="26"/>
      <c r="VI220" s="26"/>
      <c r="VJ220" s="26"/>
      <c r="VK220" s="26"/>
      <c r="VL220" s="26"/>
      <c r="VM220" s="26"/>
      <c r="VN220" s="26"/>
      <c r="VO220" s="26"/>
      <c r="VP220" s="26"/>
      <c r="VQ220" s="26"/>
      <c r="VR220" s="26"/>
      <c r="VS220" s="26"/>
      <c r="VT220" s="26"/>
      <c r="VU220" s="26"/>
      <c r="VV220" s="26"/>
      <c r="VW220" s="26"/>
      <c r="VX220" s="26"/>
      <c r="VY220" s="26"/>
      <c r="VZ220" s="26"/>
      <c r="WA220" s="26"/>
      <c r="WB220" s="26"/>
      <c r="WC220" s="26"/>
      <c r="WD220" s="26"/>
      <c r="WE220" s="26"/>
      <c r="WF220" s="26"/>
      <c r="WG220" s="26"/>
      <c r="WH220" s="26"/>
      <c r="WI220" s="26"/>
      <c r="WJ220" s="26"/>
      <c r="WK220" s="26"/>
      <c r="WL220" s="26"/>
      <c r="WM220" s="26"/>
      <c r="WN220" s="26"/>
      <c r="WO220" s="26"/>
      <c r="WP220" s="26"/>
      <c r="WQ220" s="26"/>
      <c r="WR220" s="26"/>
      <c r="WS220" s="26"/>
      <c r="WT220" s="26"/>
      <c r="WU220" s="26"/>
      <c r="WV220" s="26"/>
      <c r="WW220" s="26"/>
      <c r="WX220" s="26"/>
      <c r="WY220" s="26"/>
      <c r="WZ220" s="26"/>
      <c r="XA220" s="26"/>
      <c r="XB220" s="26"/>
      <c r="XC220" s="26"/>
      <c r="XD220" s="26"/>
      <c r="XE220" s="26"/>
      <c r="XF220" s="26"/>
      <c r="XG220" s="26"/>
      <c r="XH220" s="26"/>
      <c r="XI220" s="26"/>
      <c r="XJ220" s="26"/>
      <c r="XK220" s="26"/>
      <c r="XL220" s="26"/>
      <c r="XM220" s="26"/>
      <c r="XN220" s="26"/>
      <c r="XO220" s="26"/>
      <c r="XP220" s="26"/>
      <c r="XQ220" s="26"/>
      <c r="XR220" s="26"/>
      <c r="XS220" s="26"/>
      <c r="XT220" s="26"/>
      <c r="XU220" s="26"/>
      <c r="XV220" s="26"/>
      <c r="XW220" s="26"/>
      <c r="XX220" s="26"/>
      <c r="XY220" s="26"/>
      <c r="XZ220" s="26"/>
      <c r="YA220" s="26"/>
      <c r="YB220" s="26"/>
      <c r="YC220" s="26"/>
      <c r="YD220" s="26"/>
      <c r="YE220" s="26"/>
      <c r="YF220" s="26"/>
      <c r="YG220" s="26"/>
      <c r="YH220" s="26"/>
      <c r="YI220" s="26"/>
      <c r="YJ220" s="26"/>
      <c r="YK220" s="26"/>
      <c r="YL220" s="26"/>
      <c r="YM220" s="26"/>
      <c r="YN220" s="26"/>
      <c r="YO220" s="26"/>
      <c r="YP220" s="26"/>
      <c r="YQ220" s="26"/>
      <c r="YR220" s="26"/>
      <c r="YS220" s="26"/>
      <c r="YT220" s="26"/>
      <c r="YU220" s="26"/>
      <c r="YV220" s="26"/>
      <c r="YW220" s="26"/>
      <c r="YX220" s="26"/>
      <c r="YY220" s="26"/>
      <c r="YZ220" s="26"/>
      <c r="ZA220" s="26"/>
      <c r="ZB220" s="26"/>
      <c r="ZC220" s="26"/>
      <c r="ZD220" s="26"/>
      <c r="ZE220" s="26"/>
      <c r="ZF220" s="26"/>
      <c r="ZG220" s="26"/>
      <c r="ZH220" s="26"/>
      <c r="ZI220" s="26"/>
      <c r="ZJ220" s="26"/>
      <c r="ZK220" s="26"/>
      <c r="ZL220" s="26"/>
      <c r="ZM220" s="26"/>
      <c r="ZN220" s="26"/>
      <c r="ZO220" s="26"/>
      <c r="ZP220" s="26"/>
      <c r="ZQ220" s="26"/>
      <c r="ZR220" s="26"/>
      <c r="ZS220" s="26"/>
      <c r="ZT220" s="26"/>
      <c r="ZU220" s="26"/>
      <c r="ZV220" s="26"/>
      <c r="ZW220" s="26"/>
      <c r="ZX220" s="26"/>
      <c r="ZY220" s="26"/>
      <c r="ZZ220" s="26"/>
      <c r="AAA220" s="26"/>
      <c r="AAB220" s="26"/>
      <c r="AAC220" s="26"/>
      <c r="AAD220" s="26"/>
      <c r="AAE220" s="26"/>
      <c r="AAF220" s="26"/>
      <c r="AAG220" s="26"/>
      <c r="AAH220" s="26"/>
      <c r="AAI220" s="26"/>
      <c r="AAJ220" s="26"/>
      <c r="AAK220" s="26"/>
      <c r="AAL220" s="26"/>
      <c r="AAM220" s="26"/>
      <c r="AAN220" s="26"/>
      <c r="AAO220" s="26"/>
      <c r="AAP220" s="26"/>
      <c r="AAQ220" s="26"/>
      <c r="AAR220" s="26"/>
      <c r="AAS220" s="26"/>
      <c r="AAT220" s="26"/>
      <c r="AAU220" s="26"/>
      <c r="AAV220" s="26"/>
      <c r="AAW220" s="26"/>
      <c r="AAX220" s="26"/>
      <c r="AAY220" s="26"/>
      <c r="AAZ220" s="26"/>
      <c r="ABA220" s="26"/>
      <c r="ABB220" s="26"/>
      <c r="ABC220" s="26"/>
      <c r="ABD220" s="26"/>
      <c r="ABE220" s="26"/>
      <c r="ABF220" s="26"/>
      <c r="ABG220" s="26"/>
      <c r="ABH220" s="26"/>
      <c r="ABI220" s="26"/>
      <c r="ABJ220" s="26"/>
      <c r="ABK220" s="26"/>
      <c r="ABL220" s="26"/>
      <c r="ABM220" s="26"/>
      <c r="ABN220" s="26"/>
      <c r="ABO220" s="26"/>
      <c r="ABP220" s="26"/>
      <c r="ABQ220" s="26"/>
      <c r="ABR220" s="26"/>
      <c r="ABS220" s="26"/>
      <c r="ABT220" s="26"/>
      <c r="ABU220" s="26"/>
      <c r="ABV220" s="26"/>
      <c r="ABW220" s="26"/>
      <c r="ABX220" s="26"/>
      <c r="ABY220" s="26"/>
      <c r="ABZ220" s="26"/>
      <c r="ACA220" s="26"/>
      <c r="ACB220" s="26"/>
      <c r="ACC220" s="26"/>
      <c r="ACD220" s="26"/>
      <c r="ACE220" s="26"/>
      <c r="ACF220" s="26"/>
      <c r="ACG220" s="26"/>
      <c r="ACH220" s="26"/>
      <c r="ACI220" s="26"/>
      <c r="ACJ220" s="26"/>
      <c r="ACK220" s="26"/>
      <c r="ACL220" s="26"/>
      <c r="ACM220" s="26"/>
      <c r="ACN220" s="26"/>
      <c r="ACO220" s="26"/>
      <c r="ACP220" s="26"/>
      <c r="ACQ220" s="26"/>
      <c r="ACR220" s="26"/>
      <c r="ACS220" s="26"/>
      <c r="ACT220" s="26"/>
      <c r="ACU220" s="26"/>
      <c r="ACV220" s="26"/>
      <c r="ACW220" s="26"/>
      <c r="ACX220" s="26"/>
      <c r="ACY220" s="26"/>
      <c r="ACZ220" s="26"/>
      <c r="ADA220" s="26"/>
      <c r="ADB220" s="26"/>
      <c r="ADC220" s="26"/>
      <c r="ADD220" s="26"/>
      <c r="ADE220" s="26"/>
      <c r="ADF220" s="26"/>
      <c r="ADG220" s="26"/>
      <c r="ADH220" s="26"/>
      <c r="ADI220" s="26"/>
      <c r="ADJ220" s="26"/>
      <c r="ADK220" s="26"/>
      <c r="ADL220" s="26"/>
      <c r="ADM220" s="26"/>
      <c r="ADN220" s="26"/>
      <c r="ADO220" s="26"/>
      <c r="ADP220" s="26"/>
      <c r="ADQ220" s="26"/>
      <c r="ADR220" s="26"/>
      <c r="ADS220" s="26"/>
      <c r="ADT220" s="26"/>
      <c r="ADU220" s="26"/>
      <c r="ADV220" s="26"/>
      <c r="ADW220" s="26"/>
      <c r="ADX220" s="26"/>
      <c r="ADY220" s="26"/>
      <c r="ADZ220" s="26"/>
      <c r="AEA220" s="26"/>
      <c r="AEB220" s="26"/>
      <c r="AEC220" s="26"/>
      <c r="AED220" s="26"/>
      <c r="AEE220" s="26"/>
      <c r="AEF220" s="26"/>
      <c r="AEG220" s="26"/>
      <c r="AEH220" s="26"/>
      <c r="AEI220" s="26"/>
      <c r="AEJ220" s="26"/>
      <c r="AEK220" s="26"/>
      <c r="AEL220" s="26"/>
      <c r="AEM220" s="26"/>
      <c r="AEN220" s="26"/>
      <c r="AEO220" s="26"/>
      <c r="AEP220" s="26"/>
      <c r="AEQ220" s="26"/>
      <c r="AER220" s="26"/>
      <c r="AES220" s="26"/>
      <c r="AET220" s="26"/>
      <c r="AEU220" s="26"/>
      <c r="AEV220" s="26"/>
      <c r="AEW220" s="26"/>
      <c r="AEX220" s="26"/>
      <c r="AEY220" s="26"/>
      <c r="AEZ220" s="26"/>
      <c r="AFA220" s="26"/>
      <c r="AFB220" s="26"/>
      <c r="AFC220" s="26"/>
      <c r="AFD220" s="26"/>
      <c r="AFE220" s="26"/>
      <c r="AFF220" s="26"/>
      <c r="AFG220" s="26"/>
      <c r="AFH220" s="26"/>
      <c r="AFI220" s="26"/>
      <c r="AFJ220" s="26"/>
      <c r="AFK220" s="26"/>
      <c r="AFL220" s="26"/>
      <c r="AFM220" s="26"/>
      <c r="AFN220" s="26"/>
      <c r="AFO220" s="26"/>
      <c r="AFP220" s="26"/>
      <c r="AFQ220" s="26"/>
      <c r="AFR220" s="26"/>
      <c r="AFS220" s="26"/>
      <c r="AFT220" s="26"/>
      <c r="AFU220" s="26"/>
      <c r="AFV220" s="26"/>
      <c r="AFW220" s="26"/>
      <c r="AFX220" s="26"/>
      <c r="AFY220" s="26"/>
      <c r="AFZ220" s="26"/>
      <c r="AGA220" s="26"/>
      <c r="AGB220" s="26"/>
      <c r="AGC220" s="26"/>
      <c r="AGD220" s="26"/>
      <c r="AGE220" s="26"/>
      <c r="AGF220" s="26"/>
      <c r="AGG220" s="26"/>
      <c r="AGH220" s="26"/>
      <c r="AGI220" s="26"/>
      <c r="AGJ220" s="26"/>
      <c r="AGK220" s="26"/>
      <c r="AGL220" s="26"/>
      <c r="AGM220" s="26"/>
      <c r="AGN220" s="26"/>
      <c r="AGO220" s="26"/>
      <c r="AGP220" s="26"/>
      <c r="AGQ220" s="26"/>
      <c r="AGR220" s="26"/>
      <c r="AGS220" s="26"/>
      <c r="AGT220" s="26"/>
      <c r="AGU220" s="26"/>
      <c r="AGV220" s="26"/>
      <c r="AGW220" s="26"/>
      <c r="AGX220" s="26"/>
      <c r="AGY220" s="26"/>
      <c r="AGZ220" s="26"/>
      <c r="AHA220" s="26"/>
      <c r="AHB220" s="26"/>
      <c r="AHC220" s="26"/>
      <c r="AHD220" s="26"/>
      <c r="AHE220" s="26"/>
      <c r="AHF220" s="26"/>
      <c r="AHG220" s="26"/>
      <c r="AHH220" s="26"/>
      <c r="AHI220" s="26"/>
      <c r="AHJ220" s="26"/>
      <c r="AHK220" s="26"/>
      <c r="AHL220" s="26"/>
      <c r="AHM220" s="26"/>
      <c r="AHN220" s="26"/>
      <c r="AHO220" s="26"/>
      <c r="AHP220" s="26"/>
      <c r="AHQ220" s="26"/>
      <c r="AHR220" s="26"/>
      <c r="AHS220" s="26"/>
      <c r="AHT220" s="26"/>
      <c r="AHU220" s="26"/>
      <c r="AHV220" s="26"/>
      <c r="AHW220" s="26"/>
      <c r="AHX220" s="26"/>
      <c r="AHY220" s="26"/>
      <c r="AHZ220" s="26"/>
      <c r="AIA220" s="26"/>
      <c r="AIB220" s="26"/>
      <c r="AIC220" s="26"/>
      <c r="AID220" s="26"/>
      <c r="AIE220" s="26"/>
      <c r="AIF220" s="26"/>
      <c r="AIG220" s="26"/>
      <c r="AIH220" s="26"/>
      <c r="AII220" s="26"/>
      <c r="AIJ220" s="26"/>
      <c r="AIK220" s="26"/>
      <c r="AIL220" s="26"/>
      <c r="AIM220" s="26"/>
      <c r="AIN220" s="26"/>
      <c r="AIO220" s="26"/>
      <c r="AIP220" s="26"/>
      <c r="AIQ220" s="26"/>
      <c r="AIR220" s="26"/>
      <c r="AIS220" s="26"/>
      <c r="AIT220" s="26"/>
      <c r="AIU220" s="26"/>
      <c r="AIV220" s="26"/>
      <c r="AIW220" s="26"/>
      <c r="AIX220" s="26"/>
      <c r="AIY220" s="26"/>
      <c r="AIZ220" s="26"/>
      <c r="AJA220" s="26"/>
      <c r="AJB220" s="26"/>
      <c r="AJC220" s="26"/>
      <c r="AJD220" s="26"/>
      <c r="AJE220" s="26"/>
      <c r="AJF220" s="26"/>
      <c r="AJG220" s="26"/>
      <c r="AJH220" s="26"/>
      <c r="AJI220" s="26"/>
      <c r="AJJ220" s="26"/>
      <c r="AJK220" s="26"/>
      <c r="AJL220" s="26"/>
      <c r="AJM220" s="26"/>
      <c r="AJN220" s="26"/>
      <c r="AJO220" s="26"/>
      <c r="AJP220" s="26"/>
      <c r="AJQ220" s="26"/>
      <c r="AJR220" s="26"/>
      <c r="AJS220" s="26"/>
      <c r="AJT220" s="26"/>
      <c r="AJU220" s="26"/>
      <c r="AJV220" s="26"/>
      <c r="AJW220" s="26"/>
      <c r="AJX220" s="26"/>
      <c r="AJY220" s="26"/>
      <c r="AJZ220" s="26"/>
      <c r="AKA220" s="26"/>
      <c r="AKB220" s="26"/>
      <c r="AKC220" s="26"/>
      <c r="AKD220" s="26"/>
      <c r="AKE220" s="26"/>
      <c r="AKF220" s="26"/>
      <c r="AKG220" s="26"/>
      <c r="AKH220" s="26"/>
      <c r="AKI220" s="26"/>
      <c r="AKJ220" s="26"/>
      <c r="AKK220" s="26"/>
      <c r="AKL220" s="26"/>
      <c r="AKM220" s="26"/>
      <c r="AKN220" s="26"/>
      <c r="AKO220" s="26"/>
      <c r="AKP220" s="26"/>
      <c r="AKQ220" s="26"/>
      <c r="AKR220" s="26"/>
      <c r="AKS220" s="26"/>
      <c r="AKT220" s="26"/>
      <c r="AKU220" s="26"/>
      <c r="AKV220" s="26"/>
      <c r="AKW220" s="26"/>
      <c r="AKX220" s="26"/>
      <c r="AKY220" s="26"/>
      <c r="AKZ220" s="26"/>
      <c r="ALA220" s="26"/>
      <c r="ALB220" s="26"/>
      <c r="ALC220" s="26"/>
      <c r="ALD220" s="26"/>
      <c r="ALE220" s="26"/>
      <c r="ALF220" s="26"/>
      <c r="ALG220" s="26"/>
      <c r="ALH220" s="26"/>
      <c r="ALI220" s="26"/>
      <c r="ALJ220" s="26"/>
      <c r="ALK220" s="26"/>
      <c r="ALL220" s="26"/>
      <c r="ALM220" s="26"/>
      <c r="ALN220" s="26"/>
      <c r="ALO220" s="26"/>
      <c r="ALP220" s="26"/>
      <c r="ALQ220" s="26"/>
      <c r="ALR220" s="26"/>
      <c r="ALS220" s="26"/>
      <c r="ALT220" s="26"/>
      <c r="ALU220" s="26"/>
      <c r="ALV220" s="26"/>
      <c r="ALW220" s="26"/>
      <c r="ALX220" s="26"/>
      <c r="ALY220" s="26"/>
      <c r="ALZ220" s="26"/>
      <c r="AMA220" s="26"/>
      <c r="AMB220" s="26"/>
      <c r="AMC220" s="26"/>
      <c r="AMD220" s="26"/>
      <c r="AME220" s="26"/>
      <c r="AMF220" s="26"/>
      <c r="AMG220" s="26"/>
      <c r="AMH220" s="26"/>
      <c r="AMI220" s="26"/>
      <c r="AMJ220" s="26"/>
      <c r="AMK220" s="26"/>
      <c r="AML220" s="26"/>
      <c r="AMM220" s="26"/>
      <c r="AMN220" s="26"/>
      <c r="AMO220" s="26"/>
      <c r="AMP220" s="26"/>
      <c r="AMQ220" s="26"/>
      <c r="AMR220" s="26"/>
      <c r="AMS220" s="26"/>
      <c r="AMT220" s="26"/>
      <c r="AMU220" s="26"/>
      <c r="AMV220" s="26"/>
      <c r="AMW220" s="26"/>
      <c r="AMX220" s="26"/>
      <c r="AMY220" s="26"/>
      <c r="AMZ220" s="26"/>
      <c r="ANA220" s="26"/>
      <c r="ANB220" s="26"/>
      <c r="ANC220" s="26"/>
      <c r="AND220" s="26"/>
      <c r="ANE220" s="26"/>
      <c r="ANF220" s="26"/>
      <c r="ANG220" s="26"/>
      <c r="ANH220" s="26"/>
      <c r="ANI220" s="26"/>
      <c r="ANJ220" s="26"/>
      <c r="ANK220" s="26"/>
      <c r="ANL220" s="26"/>
      <c r="ANM220" s="26"/>
      <c r="ANN220" s="26"/>
      <c r="ANO220" s="26"/>
      <c r="ANP220" s="26"/>
      <c r="ANQ220" s="26"/>
      <c r="ANR220" s="26"/>
      <c r="ANS220" s="26"/>
      <c r="ANT220" s="26"/>
      <c r="ANU220" s="26"/>
      <c r="ANV220" s="26"/>
      <c r="ANW220" s="26"/>
      <c r="ANX220" s="26"/>
      <c r="ANY220" s="26"/>
      <c r="ANZ220" s="26"/>
      <c r="AOA220" s="26"/>
      <c r="AOB220" s="26"/>
      <c r="AOC220" s="26"/>
      <c r="AOD220" s="26"/>
      <c r="AOE220" s="26"/>
      <c r="AOF220" s="26"/>
      <c r="AOG220" s="26"/>
      <c r="AOH220" s="26"/>
      <c r="AOI220" s="26"/>
      <c r="AOJ220" s="26"/>
      <c r="AOK220" s="26"/>
      <c r="AOL220" s="26"/>
      <c r="AOM220" s="26"/>
      <c r="AON220" s="26"/>
      <c r="AOO220" s="26"/>
      <c r="AOP220" s="26"/>
      <c r="AOQ220" s="26"/>
      <c r="AOR220" s="26"/>
      <c r="AOS220" s="26"/>
      <c r="AOT220" s="26"/>
      <c r="AOU220" s="26"/>
      <c r="AOV220" s="26"/>
      <c r="AOW220" s="26"/>
      <c r="AOX220" s="26"/>
      <c r="AOY220" s="26"/>
      <c r="AOZ220" s="26"/>
      <c r="APA220" s="26"/>
      <c r="APB220" s="26"/>
      <c r="APC220" s="26"/>
      <c r="APD220" s="26"/>
      <c r="APE220" s="26"/>
      <c r="APF220" s="26"/>
      <c r="APG220" s="26"/>
      <c r="APH220" s="26"/>
      <c r="API220" s="26"/>
      <c r="APJ220" s="26"/>
      <c r="APK220" s="26"/>
      <c r="APL220" s="26"/>
      <c r="APM220" s="26"/>
      <c r="APN220" s="26"/>
      <c r="APO220" s="26"/>
      <c r="APP220" s="26"/>
      <c r="APQ220" s="26"/>
      <c r="APR220" s="26"/>
      <c r="APS220" s="26"/>
      <c r="APT220" s="26"/>
      <c r="APU220" s="26"/>
      <c r="APV220" s="26"/>
      <c r="APW220" s="26"/>
      <c r="APX220" s="26"/>
      <c r="APY220" s="26"/>
      <c r="APZ220" s="26"/>
      <c r="AQA220" s="26"/>
      <c r="AQB220" s="26"/>
      <c r="AQC220" s="26"/>
      <c r="AQD220" s="26"/>
      <c r="AQE220" s="26"/>
      <c r="AQF220" s="26"/>
      <c r="AQG220" s="26"/>
      <c r="AQH220" s="26"/>
      <c r="AQI220" s="26"/>
      <c r="AQJ220" s="26"/>
      <c r="AQK220" s="26"/>
      <c r="AQL220" s="26"/>
      <c r="AQM220" s="26"/>
      <c r="AQN220" s="26"/>
      <c r="AQO220" s="26"/>
      <c r="AQP220" s="26"/>
      <c r="AQQ220" s="26"/>
      <c r="AQR220" s="26"/>
      <c r="AQS220" s="26"/>
      <c r="AQT220" s="26"/>
      <c r="AQU220" s="26"/>
      <c r="AQV220" s="26"/>
      <c r="AQW220" s="26"/>
      <c r="AQX220" s="26"/>
      <c r="AQY220" s="26"/>
      <c r="AQZ220" s="26"/>
      <c r="ARA220" s="26"/>
      <c r="ARB220" s="26"/>
      <c r="ARC220" s="26"/>
      <c r="ARD220" s="26"/>
      <c r="ARE220" s="26"/>
      <c r="ARF220" s="26"/>
      <c r="ARG220" s="26"/>
      <c r="ARH220" s="26"/>
      <c r="ARI220" s="26"/>
      <c r="ARJ220" s="26"/>
      <c r="ARK220" s="26"/>
      <c r="ARL220" s="26"/>
      <c r="ARM220" s="26"/>
      <c r="ARN220" s="26"/>
      <c r="ARO220" s="26"/>
      <c r="ARP220" s="26"/>
      <c r="ARQ220" s="26"/>
      <c r="ARR220" s="26"/>
      <c r="ARS220" s="26"/>
      <c r="ART220" s="26"/>
      <c r="ARU220" s="26"/>
      <c r="ARV220" s="26"/>
      <c r="ARW220" s="26"/>
      <c r="ARX220" s="26"/>
      <c r="ARY220" s="26"/>
      <c r="ARZ220" s="26"/>
      <c r="ASA220" s="26"/>
      <c r="ASB220" s="26"/>
      <c r="ASC220" s="26"/>
      <c r="ASD220" s="26"/>
      <c r="ASE220" s="26"/>
      <c r="ASF220" s="26"/>
      <c r="ASG220" s="26"/>
      <c r="ASH220" s="26"/>
      <c r="ASI220" s="26"/>
      <c r="ASJ220" s="26"/>
      <c r="ASK220" s="26"/>
      <c r="ASL220" s="26"/>
      <c r="ASM220" s="26"/>
      <c r="ASN220" s="26"/>
      <c r="ASO220" s="26"/>
      <c r="ASP220" s="26"/>
      <c r="ASQ220" s="26"/>
      <c r="ASR220" s="26"/>
      <c r="ASS220" s="26"/>
      <c r="AST220" s="26"/>
      <c r="ASU220" s="26"/>
      <c r="ASV220" s="26"/>
      <c r="ASW220" s="26"/>
      <c r="ASX220" s="26"/>
      <c r="ASY220" s="26"/>
      <c r="ASZ220" s="26"/>
      <c r="ATA220" s="26"/>
      <c r="ATB220" s="26"/>
      <c r="ATC220" s="26"/>
      <c r="ATD220" s="26"/>
      <c r="ATE220" s="26"/>
      <c r="ATF220" s="26"/>
      <c r="ATG220" s="26"/>
      <c r="ATH220" s="26"/>
      <c r="ATI220" s="26"/>
      <c r="ATJ220" s="26"/>
      <c r="ATK220" s="26"/>
      <c r="ATL220" s="26"/>
      <c r="ATM220" s="26"/>
      <c r="ATN220" s="26"/>
      <c r="ATO220" s="26"/>
      <c r="ATP220" s="26"/>
      <c r="ATQ220" s="26"/>
      <c r="ATR220" s="26"/>
      <c r="ATS220" s="26"/>
      <c r="ATT220" s="26"/>
      <c r="ATU220" s="26"/>
      <c r="ATV220" s="26"/>
      <c r="ATW220" s="26"/>
      <c r="ATX220" s="26"/>
      <c r="ATY220" s="26"/>
      <c r="ATZ220" s="26"/>
      <c r="AUA220" s="26"/>
      <c r="AUB220" s="26"/>
      <c r="AUC220" s="26"/>
      <c r="AUD220" s="26"/>
      <c r="AUE220" s="26"/>
      <c r="AUF220" s="26"/>
      <c r="AUG220" s="26"/>
      <c r="AUH220" s="26"/>
      <c r="AUI220" s="26"/>
      <c r="AUJ220" s="26"/>
      <c r="AUK220" s="26"/>
      <c r="AUL220" s="26"/>
      <c r="AUM220" s="26"/>
      <c r="AUN220" s="26"/>
      <c r="AUO220" s="26"/>
      <c r="AUP220" s="26"/>
      <c r="AUQ220" s="26"/>
      <c r="AUR220" s="26"/>
      <c r="AUS220" s="26"/>
      <c r="AUT220" s="26"/>
      <c r="AUU220" s="26"/>
      <c r="AUV220" s="26"/>
      <c r="AUW220" s="26"/>
      <c r="AUX220" s="26"/>
      <c r="AUY220" s="26"/>
      <c r="AUZ220" s="26"/>
      <c r="AVA220" s="26"/>
      <c r="AVB220" s="26"/>
      <c r="AVC220" s="26"/>
      <c r="AVD220" s="26"/>
      <c r="AVE220" s="26"/>
      <c r="AVF220" s="26"/>
      <c r="AVG220" s="26"/>
      <c r="AVH220" s="26"/>
      <c r="AVI220" s="26"/>
      <c r="AVJ220" s="26"/>
      <c r="AVK220" s="26"/>
      <c r="AVL220" s="26"/>
      <c r="AVM220" s="26"/>
      <c r="AVN220" s="26"/>
      <c r="AVO220" s="26"/>
      <c r="AVP220" s="26"/>
      <c r="AVQ220" s="26"/>
      <c r="AVR220" s="26"/>
      <c r="AVS220" s="26"/>
      <c r="AVT220" s="26"/>
      <c r="AVU220" s="26"/>
      <c r="AVV220" s="26"/>
      <c r="AVW220" s="26"/>
      <c r="AVX220" s="26"/>
      <c r="AVY220" s="26"/>
      <c r="AVZ220" s="26"/>
      <c r="AWA220" s="26"/>
      <c r="AWB220" s="26"/>
      <c r="AWC220" s="26"/>
      <c r="AWD220" s="26"/>
      <c r="AWE220" s="26"/>
      <c r="AWF220" s="26"/>
      <c r="AWG220" s="26"/>
      <c r="AWH220" s="26"/>
      <c r="AWI220" s="26"/>
      <c r="AWJ220" s="26"/>
      <c r="AWK220" s="26"/>
      <c r="AWL220" s="26"/>
      <c r="AWM220" s="26"/>
      <c r="AWN220" s="26"/>
      <c r="AWO220" s="26"/>
      <c r="AWP220" s="26"/>
      <c r="AWQ220" s="26"/>
      <c r="AWR220" s="26"/>
      <c r="AWS220" s="26"/>
      <c r="AWT220" s="26"/>
      <c r="AWU220" s="26"/>
      <c r="AWV220" s="26"/>
      <c r="AWW220" s="26"/>
      <c r="AWX220" s="26"/>
      <c r="AWY220" s="26"/>
      <c r="AWZ220" s="26"/>
      <c r="AXA220" s="26"/>
      <c r="AXB220" s="26"/>
      <c r="AXC220" s="26"/>
      <c r="AXD220" s="26"/>
      <c r="AXE220" s="26"/>
      <c r="AXF220" s="26"/>
      <c r="AXG220" s="26"/>
      <c r="AXH220" s="26"/>
      <c r="AXI220" s="26"/>
      <c r="AXJ220" s="26"/>
      <c r="AXK220" s="26"/>
      <c r="AXL220" s="26"/>
      <c r="AXM220" s="26"/>
      <c r="AXN220" s="26"/>
      <c r="AXO220" s="26"/>
      <c r="AXP220" s="26"/>
      <c r="AXQ220" s="26"/>
      <c r="AXR220" s="26"/>
      <c r="AXS220" s="26"/>
      <c r="AXT220" s="26"/>
      <c r="AXU220" s="26"/>
      <c r="AXV220" s="26"/>
      <c r="AXW220" s="26"/>
      <c r="AXX220" s="26"/>
      <c r="AXY220" s="26"/>
      <c r="AXZ220" s="26"/>
      <c r="AYA220" s="26"/>
      <c r="AYB220" s="26"/>
      <c r="AYC220" s="26"/>
      <c r="AYD220" s="26"/>
      <c r="AYE220" s="26"/>
      <c r="AYF220" s="26"/>
      <c r="AYG220" s="26"/>
      <c r="AYH220" s="26"/>
      <c r="AYI220" s="26"/>
      <c r="AYJ220" s="26"/>
      <c r="AYK220" s="26"/>
      <c r="AYL220" s="26"/>
      <c r="AYM220" s="26"/>
      <c r="AYN220" s="26"/>
      <c r="AYO220" s="26"/>
      <c r="AYP220" s="26"/>
      <c r="AYQ220" s="26"/>
      <c r="AYR220" s="26"/>
      <c r="AYS220" s="26"/>
      <c r="AYT220" s="26"/>
      <c r="AYU220" s="26"/>
      <c r="AYV220" s="26"/>
      <c r="AYW220" s="26"/>
      <c r="AYX220" s="26"/>
      <c r="AYY220" s="26"/>
      <c r="AYZ220" s="26"/>
      <c r="AZA220" s="26"/>
      <c r="AZB220" s="26"/>
      <c r="AZC220" s="26"/>
      <c r="AZD220" s="26"/>
      <c r="AZE220" s="26"/>
      <c r="AZF220" s="26"/>
      <c r="AZG220" s="26"/>
      <c r="AZH220" s="26"/>
      <c r="AZI220" s="26"/>
      <c r="AZJ220" s="26"/>
      <c r="AZK220" s="26"/>
      <c r="AZL220" s="26"/>
      <c r="AZM220" s="26"/>
      <c r="AZN220" s="26"/>
      <c r="AZO220" s="26"/>
      <c r="AZP220" s="26"/>
      <c r="AZQ220" s="26"/>
      <c r="AZR220" s="26"/>
      <c r="AZS220" s="26"/>
      <c r="AZT220" s="26"/>
      <c r="AZU220" s="26"/>
      <c r="AZV220" s="26"/>
      <c r="AZW220" s="26"/>
      <c r="AZX220" s="26"/>
      <c r="AZY220" s="26"/>
      <c r="AZZ220" s="26"/>
      <c r="BAA220" s="26"/>
      <c r="BAB220" s="26"/>
      <c r="BAC220" s="26"/>
      <c r="BAD220" s="26"/>
      <c r="BAE220" s="26"/>
      <c r="BAF220" s="26"/>
      <c r="BAG220" s="26"/>
      <c r="BAH220" s="26"/>
      <c r="BAI220" s="26"/>
      <c r="BAJ220" s="26"/>
      <c r="BAK220" s="26"/>
      <c r="BAL220" s="26"/>
      <c r="BAM220" s="26"/>
      <c r="BAN220" s="26"/>
      <c r="BAO220" s="26"/>
      <c r="BAP220" s="26"/>
      <c r="BAQ220" s="26"/>
      <c r="BAR220" s="26"/>
      <c r="BAS220" s="26"/>
      <c r="BAT220" s="26"/>
      <c r="BAU220" s="26"/>
      <c r="BAV220" s="26"/>
      <c r="BAW220" s="26"/>
      <c r="BAX220" s="26"/>
      <c r="BAY220" s="26"/>
      <c r="BAZ220" s="26"/>
      <c r="BBA220" s="26"/>
      <c r="BBB220" s="26"/>
      <c r="BBC220" s="26"/>
      <c r="BBD220" s="26"/>
      <c r="BBE220" s="26"/>
      <c r="BBF220" s="26"/>
      <c r="BBG220" s="26"/>
      <c r="BBH220" s="26"/>
      <c r="BBI220" s="26"/>
      <c r="BBJ220" s="26"/>
      <c r="BBK220" s="26"/>
      <c r="BBL220" s="26"/>
      <c r="BBM220" s="26"/>
      <c r="BBN220" s="26"/>
      <c r="BBO220" s="26"/>
      <c r="BBP220" s="26"/>
      <c r="BBQ220" s="26"/>
      <c r="BBR220" s="26"/>
      <c r="BBS220" s="26"/>
      <c r="BBT220" s="26"/>
      <c r="BBU220" s="26"/>
      <c r="BBV220" s="26"/>
      <c r="BBW220" s="26"/>
      <c r="BBX220" s="26"/>
      <c r="BBY220" s="26"/>
      <c r="BBZ220" s="26"/>
      <c r="BCA220" s="26"/>
      <c r="BCB220" s="26"/>
      <c r="BCC220" s="26"/>
      <c r="BCD220" s="26"/>
      <c r="BCE220" s="26"/>
      <c r="BCF220" s="26"/>
      <c r="BCG220" s="26"/>
      <c r="BCH220" s="26"/>
      <c r="BCI220" s="26"/>
      <c r="BCJ220" s="26"/>
      <c r="BCK220" s="26"/>
      <c r="BCL220" s="26"/>
      <c r="BCM220" s="26"/>
      <c r="BCN220" s="26"/>
      <c r="BCO220" s="26"/>
      <c r="BCP220" s="26"/>
      <c r="BCQ220" s="26"/>
      <c r="BCR220" s="26"/>
      <c r="BCS220" s="26"/>
      <c r="BCT220" s="26"/>
      <c r="BCU220" s="26"/>
      <c r="BCV220" s="26"/>
      <c r="BCW220" s="26"/>
      <c r="BCX220" s="26"/>
      <c r="BCY220" s="26"/>
      <c r="BCZ220" s="26"/>
      <c r="BDA220" s="26"/>
      <c r="BDB220" s="26"/>
      <c r="BDC220" s="26"/>
      <c r="BDD220" s="26"/>
      <c r="BDE220" s="26"/>
      <c r="BDF220" s="26"/>
      <c r="BDG220" s="26"/>
      <c r="BDH220" s="26"/>
      <c r="BDI220" s="26"/>
      <c r="BDJ220" s="26"/>
      <c r="BDK220" s="26"/>
      <c r="BDL220" s="26"/>
      <c r="BDM220" s="26"/>
      <c r="BDN220" s="26"/>
      <c r="BDO220" s="26"/>
      <c r="BDP220" s="26"/>
      <c r="BDQ220" s="26"/>
      <c r="BDR220" s="26"/>
      <c r="BDS220" s="26"/>
      <c r="BDT220" s="26"/>
      <c r="BDU220" s="26"/>
      <c r="BDV220" s="26"/>
      <c r="BDW220" s="26"/>
      <c r="BDX220" s="26"/>
      <c r="BDY220" s="26"/>
      <c r="BDZ220" s="26"/>
      <c r="BEA220" s="26"/>
      <c r="BEB220" s="26"/>
      <c r="BEC220" s="26"/>
      <c r="BED220" s="26"/>
      <c r="BEE220" s="26"/>
      <c r="BEF220" s="26"/>
      <c r="BEG220" s="26"/>
      <c r="BEH220" s="26"/>
      <c r="BEI220" s="26"/>
      <c r="BEJ220" s="26"/>
      <c r="BEK220" s="26"/>
      <c r="BEL220" s="26"/>
      <c r="BEM220" s="26"/>
      <c r="BEN220" s="26"/>
      <c r="BEO220" s="26"/>
      <c r="BEP220" s="26"/>
      <c r="BEQ220" s="26"/>
      <c r="BER220" s="26"/>
      <c r="BES220" s="26"/>
      <c r="BET220" s="26"/>
      <c r="BEU220" s="26"/>
      <c r="BEV220" s="26"/>
      <c r="BEW220" s="26"/>
      <c r="BEX220" s="26"/>
      <c r="BEY220" s="26"/>
      <c r="BEZ220" s="26"/>
      <c r="BFA220" s="26"/>
      <c r="BFB220" s="26"/>
      <c r="BFC220" s="26"/>
      <c r="BFD220" s="26"/>
      <c r="BFE220" s="26"/>
      <c r="BFF220" s="26"/>
      <c r="BFG220" s="26"/>
      <c r="BFH220" s="26"/>
      <c r="BFI220" s="26"/>
      <c r="BFJ220" s="26"/>
      <c r="BFK220" s="26"/>
      <c r="BFL220" s="26"/>
      <c r="BFM220" s="26"/>
      <c r="BFN220" s="26"/>
      <c r="BFO220" s="26"/>
      <c r="BFP220" s="26"/>
      <c r="BFQ220" s="26"/>
      <c r="BFR220" s="26"/>
      <c r="BFS220" s="26"/>
      <c r="BFT220" s="26"/>
      <c r="BFU220" s="26"/>
      <c r="BFV220" s="26"/>
      <c r="BFW220" s="26"/>
      <c r="BFX220" s="26"/>
      <c r="BFY220" s="26"/>
      <c r="BFZ220" s="26"/>
      <c r="BGA220" s="26"/>
      <c r="BGB220" s="26"/>
      <c r="BGC220" s="26"/>
      <c r="BGD220" s="26"/>
      <c r="BGE220" s="26"/>
      <c r="BGF220" s="26"/>
      <c r="BGG220" s="26"/>
      <c r="BGH220" s="26"/>
      <c r="BGI220" s="26"/>
      <c r="BGJ220" s="26"/>
      <c r="BGK220" s="26"/>
      <c r="BGL220" s="26"/>
      <c r="BGM220" s="26"/>
      <c r="BGN220" s="26"/>
      <c r="BGO220" s="26"/>
      <c r="BGP220" s="26"/>
      <c r="BGQ220" s="26"/>
      <c r="BGR220" s="26"/>
      <c r="BGS220" s="26"/>
      <c r="BGT220" s="26"/>
      <c r="BGU220" s="26"/>
      <c r="BGV220" s="26"/>
      <c r="BGW220" s="26"/>
      <c r="BGX220" s="26"/>
      <c r="BGY220" s="26"/>
      <c r="BGZ220" s="26"/>
      <c r="BHA220" s="26"/>
      <c r="BHB220" s="26"/>
      <c r="BHC220" s="26"/>
      <c r="BHD220" s="26"/>
      <c r="BHE220" s="26"/>
      <c r="BHF220" s="26"/>
      <c r="BHG220" s="26"/>
      <c r="BHH220" s="26"/>
      <c r="BHI220" s="26"/>
      <c r="BHJ220" s="26"/>
      <c r="BHK220" s="26"/>
      <c r="BHL220" s="26"/>
      <c r="BHM220" s="26"/>
      <c r="BHN220" s="26"/>
      <c r="BHO220" s="26"/>
      <c r="BHP220" s="26"/>
      <c r="BHQ220" s="26"/>
      <c r="BHR220" s="26"/>
      <c r="BHS220" s="26"/>
      <c r="BHT220" s="26"/>
      <c r="BHU220" s="26"/>
      <c r="BHV220" s="26"/>
      <c r="BHW220" s="26"/>
      <c r="BHX220" s="26"/>
      <c r="BHY220" s="26"/>
      <c r="BHZ220" s="26"/>
      <c r="BIA220" s="26"/>
      <c r="BIB220" s="26"/>
      <c r="BIC220" s="26"/>
      <c r="BID220" s="26"/>
      <c r="BIE220" s="26"/>
      <c r="BIF220" s="26"/>
      <c r="BIG220" s="26"/>
      <c r="BIH220" s="26"/>
      <c r="BII220" s="26"/>
      <c r="BIJ220" s="26"/>
      <c r="BIK220" s="26"/>
      <c r="BIL220" s="26"/>
      <c r="BIM220" s="26"/>
      <c r="BIN220" s="26"/>
      <c r="BIO220" s="26"/>
      <c r="BIP220" s="26"/>
      <c r="BIQ220" s="26"/>
      <c r="BIR220" s="26"/>
      <c r="BIS220" s="26"/>
      <c r="BIT220" s="26"/>
      <c r="BIU220" s="26"/>
      <c r="BIV220" s="26"/>
      <c r="BIW220" s="26"/>
      <c r="BIX220" s="26"/>
      <c r="BIY220" s="26"/>
      <c r="BIZ220" s="26"/>
      <c r="BJA220" s="26"/>
      <c r="BJB220" s="26"/>
      <c r="BJC220" s="26"/>
      <c r="BJD220" s="26"/>
      <c r="BJE220" s="26"/>
      <c r="BJF220" s="26"/>
      <c r="BJG220" s="26"/>
      <c r="BJH220" s="26"/>
      <c r="BJI220" s="26"/>
      <c r="BJJ220" s="26"/>
      <c r="BJK220" s="26"/>
      <c r="BJL220" s="26"/>
      <c r="BJM220" s="26"/>
      <c r="BJN220" s="26"/>
      <c r="BJO220" s="26"/>
      <c r="BJP220" s="26"/>
      <c r="BJQ220" s="26"/>
      <c r="BJR220" s="26"/>
      <c r="BJS220" s="26"/>
      <c r="BJT220" s="26"/>
      <c r="BJU220" s="26"/>
      <c r="BJV220" s="26"/>
      <c r="BJW220" s="26"/>
      <c r="BJX220" s="26"/>
      <c r="BJY220" s="26"/>
      <c r="BJZ220" s="26"/>
      <c r="BKA220" s="26"/>
      <c r="BKB220" s="26"/>
      <c r="BKC220" s="26"/>
      <c r="BKD220" s="26"/>
      <c r="BKE220" s="26"/>
      <c r="BKF220" s="26"/>
      <c r="BKG220" s="26"/>
      <c r="BKH220" s="26"/>
      <c r="BKI220" s="26"/>
      <c r="BKJ220" s="26"/>
      <c r="BKK220" s="26"/>
      <c r="BKL220" s="26"/>
      <c r="BKM220" s="26"/>
      <c r="BKN220" s="26"/>
      <c r="BKO220" s="26"/>
      <c r="BKP220" s="26"/>
      <c r="BKQ220" s="26"/>
      <c r="BKR220" s="26"/>
      <c r="BKS220" s="26"/>
      <c r="BKT220" s="26"/>
      <c r="BKU220" s="26"/>
      <c r="BKV220" s="26"/>
      <c r="BKW220" s="26"/>
      <c r="BKX220" s="26"/>
      <c r="BKY220" s="26"/>
      <c r="BKZ220" s="26"/>
      <c r="BLA220" s="26"/>
      <c r="BLB220" s="26"/>
      <c r="BLC220" s="26"/>
      <c r="BLD220" s="26"/>
      <c r="BLE220" s="26"/>
      <c r="BLF220" s="26"/>
      <c r="BLG220" s="26"/>
      <c r="BLH220" s="26"/>
      <c r="BLI220" s="26"/>
      <c r="BLJ220" s="26"/>
      <c r="BLK220" s="26"/>
      <c r="BLL220" s="26"/>
      <c r="BLM220" s="26"/>
      <c r="BLN220" s="26"/>
      <c r="BLO220" s="26"/>
      <c r="BLP220" s="26"/>
      <c r="BLQ220" s="26"/>
      <c r="BLR220" s="26"/>
      <c r="BLS220" s="26"/>
      <c r="BLT220" s="26"/>
      <c r="BLU220" s="26"/>
      <c r="BLV220" s="26"/>
      <c r="BLW220" s="26"/>
      <c r="BLX220" s="26"/>
      <c r="BLY220" s="26"/>
      <c r="BLZ220" s="26"/>
      <c r="BMA220" s="26"/>
      <c r="BMB220" s="26"/>
      <c r="BMC220" s="26"/>
      <c r="BMD220" s="26"/>
      <c r="BME220" s="26"/>
      <c r="BMF220" s="26"/>
      <c r="BMG220" s="26"/>
      <c r="BMH220" s="26"/>
      <c r="BMI220" s="26"/>
      <c r="BMJ220" s="26"/>
      <c r="BMK220" s="26"/>
      <c r="BML220" s="26"/>
      <c r="BMM220" s="26"/>
      <c r="BMN220" s="26"/>
      <c r="BMO220" s="26"/>
      <c r="BMP220" s="26"/>
      <c r="BMQ220" s="26"/>
      <c r="BMR220" s="26"/>
      <c r="BMS220" s="26"/>
      <c r="BMT220" s="26"/>
      <c r="BMU220" s="26"/>
      <c r="BMV220" s="26"/>
      <c r="BMW220" s="26"/>
      <c r="BMX220" s="26"/>
      <c r="BMY220" s="26"/>
      <c r="BMZ220" s="26"/>
      <c r="BNA220" s="26"/>
      <c r="BNB220" s="26"/>
      <c r="BNC220" s="26"/>
      <c r="BND220" s="26"/>
      <c r="BNE220" s="26"/>
      <c r="BNF220" s="26"/>
      <c r="BNG220" s="26"/>
      <c r="BNH220" s="26"/>
      <c r="BNI220" s="26"/>
      <c r="BNJ220" s="26"/>
      <c r="BNK220" s="26"/>
      <c r="BNL220" s="26"/>
      <c r="BNM220" s="26"/>
      <c r="BNN220" s="26"/>
      <c r="BNO220" s="26"/>
      <c r="BNP220" s="26"/>
      <c r="BNQ220" s="26"/>
      <c r="BNR220" s="26"/>
      <c r="BNS220" s="26"/>
      <c r="BNT220" s="26"/>
      <c r="BNU220" s="26"/>
      <c r="BNV220" s="26"/>
      <c r="BNW220" s="26"/>
      <c r="BNX220" s="26"/>
      <c r="BNY220" s="26"/>
      <c r="BNZ220" s="26"/>
      <c r="BOA220" s="26"/>
      <c r="BOB220" s="26"/>
      <c r="BOC220" s="26"/>
      <c r="BOD220" s="26"/>
      <c r="BOE220" s="26"/>
      <c r="BOF220" s="26"/>
      <c r="BOG220" s="26"/>
      <c r="BOH220" s="26"/>
      <c r="BOI220" s="26"/>
      <c r="BOJ220" s="26"/>
      <c r="BOK220" s="26"/>
      <c r="BOL220" s="26"/>
      <c r="BOM220" s="26"/>
      <c r="BON220" s="26"/>
      <c r="BOO220" s="26"/>
      <c r="BOP220" s="26"/>
      <c r="BOQ220" s="26"/>
      <c r="BOR220" s="26"/>
      <c r="BOS220" s="26"/>
      <c r="BOT220" s="26"/>
      <c r="BOU220" s="26"/>
      <c r="BOV220" s="26"/>
      <c r="BOW220" s="26"/>
      <c r="BOX220" s="26"/>
      <c r="BOY220" s="26"/>
      <c r="BOZ220" s="26"/>
      <c r="BPA220" s="26"/>
      <c r="BPB220" s="26"/>
      <c r="BPC220" s="26"/>
      <c r="BPD220" s="26"/>
      <c r="BPE220" s="26"/>
      <c r="BPF220" s="26"/>
      <c r="BPG220" s="26"/>
      <c r="BPH220" s="26"/>
      <c r="BPI220" s="26"/>
      <c r="BPJ220" s="26"/>
      <c r="BPK220" s="26"/>
      <c r="BPL220" s="26"/>
      <c r="BPM220" s="26"/>
      <c r="BPN220" s="26"/>
      <c r="BPO220" s="26"/>
      <c r="BPP220" s="26"/>
      <c r="BPQ220" s="26"/>
      <c r="BPR220" s="26"/>
      <c r="BPS220" s="26"/>
      <c r="BPT220" s="26"/>
      <c r="BPU220" s="26"/>
      <c r="BPV220" s="26"/>
      <c r="BPW220" s="26"/>
      <c r="BPX220" s="26"/>
      <c r="BPY220" s="26"/>
      <c r="BPZ220" s="26"/>
      <c r="BQA220" s="26"/>
      <c r="BQB220" s="26"/>
      <c r="BQC220" s="26"/>
      <c r="BQD220" s="26"/>
      <c r="BQE220" s="26"/>
      <c r="BQF220" s="26"/>
      <c r="BQG220" s="26"/>
      <c r="BQH220" s="26"/>
      <c r="BQI220" s="26"/>
      <c r="BQJ220" s="26"/>
      <c r="BQK220" s="26"/>
      <c r="BQL220" s="26"/>
      <c r="BQM220" s="26"/>
      <c r="BQN220" s="26"/>
      <c r="BQO220" s="26"/>
      <c r="BQP220" s="26"/>
      <c r="BQQ220" s="26"/>
      <c r="BQR220" s="26"/>
      <c r="BQS220" s="26"/>
      <c r="BQT220" s="26"/>
      <c r="BQU220" s="26"/>
      <c r="BQV220" s="26"/>
      <c r="BQW220" s="26"/>
      <c r="BQX220" s="26"/>
      <c r="BQY220" s="26"/>
      <c r="BQZ220" s="26"/>
      <c r="BRA220" s="26"/>
      <c r="BRB220" s="26"/>
      <c r="BRC220" s="26"/>
      <c r="BRD220" s="26"/>
      <c r="BRE220" s="26"/>
      <c r="BRF220" s="26"/>
      <c r="BRG220" s="26"/>
      <c r="BRH220" s="26"/>
      <c r="BRI220" s="26"/>
      <c r="BRJ220" s="26"/>
      <c r="BRK220" s="26"/>
      <c r="BRL220" s="26"/>
      <c r="BRM220" s="26"/>
      <c r="BRN220" s="26"/>
      <c r="BRO220" s="26"/>
      <c r="BRP220" s="26"/>
      <c r="BRQ220" s="26"/>
      <c r="BRR220" s="26"/>
      <c r="BRS220" s="26"/>
      <c r="BRT220" s="26"/>
      <c r="BRU220" s="26"/>
      <c r="BRV220" s="26"/>
      <c r="BRW220" s="26"/>
      <c r="BRX220" s="26"/>
      <c r="BRY220" s="26"/>
      <c r="BRZ220" s="26"/>
      <c r="BSA220" s="26"/>
      <c r="BSB220" s="26"/>
      <c r="BSC220" s="26"/>
      <c r="BSD220" s="26"/>
      <c r="BSE220" s="26"/>
      <c r="BSF220" s="26"/>
      <c r="BSG220" s="26"/>
      <c r="BSH220" s="26"/>
      <c r="BSI220" s="26"/>
      <c r="BSJ220" s="26"/>
      <c r="BSK220" s="26"/>
      <c r="BSL220" s="26"/>
      <c r="BSM220" s="26"/>
      <c r="BSN220" s="26"/>
      <c r="BSO220" s="26"/>
      <c r="BSP220" s="26"/>
      <c r="BSQ220" s="26"/>
      <c r="BSR220" s="26"/>
      <c r="BSS220" s="26"/>
      <c r="BST220" s="26"/>
      <c r="BSU220" s="26"/>
      <c r="BSV220" s="26"/>
      <c r="BSW220" s="26"/>
      <c r="BSX220" s="26"/>
      <c r="BSY220" s="26"/>
      <c r="BSZ220" s="26"/>
      <c r="BTA220" s="26"/>
      <c r="BTB220" s="26"/>
      <c r="BTC220" s="26"/>
      <c r="BTD220" s="26"/>
      <c r="BTE220" s="26"/>
      <c r="BTF220" s="26"/>
      <c r="BTG220" s="26"/>
      <c r="BTH220" s="26"/>
      <c r="BTI220" s="26"/>
      <c r="BTJ220" s="26"/>
      <c r="BTK220" s="26"/>
      <c r="BTL220" s="26"/>
      <c r="BTM220" s="26"/>
      <c r="BTN220" s="26"/>
      <c r="BTO220" s="26"/>
      <c r="BTP220" s="26"/>
      <c r="BTQ220" s="26"/>
      <c r="BTR220" s="26"/>
      <c r="BTS220" s="26"/>
      <c r="BTT220" s="26"/>
      <c r="BTU220" s="26"/>
      <c r="BTV220" s="26"/>
      <c r="BTW220" s="26"/>
      <c r="BTX220" s="26"/>
      <c r="BTY220" s="26"/>
      <c r="BTZ220" s="26"/>
      <c r="BUA220" s="26"/>
      <c r="BUB220" s="26"/>
      <c r="BUC220" s="26"/>
      <c r="BUD220" s="26"/>
      <c r="BUE220" s="26"/>
      <c r="BUF220" s="26"/>
      <c r="BUG220" s="26"/>
      <c r="BUH220" s="26"/>
      <c r="BUI220" s="26"/>
      <c r="BUJ220" s="26"/>
      <c r="BUK220" s="26"/>
      <c r="BUL220" s="26"/>
      <c r="BUM220" s="26"/>
      <c r="BUN220" s="26"/>
      <c r="BUO220" s="26"/>
      <c r="BUP220" s="26"/>
      <c r="BUQ220" s="26"/>
      <c r="BUR220" s="26"/>
      <c r="BUS220" s="26"/>
      <c r="BUT220" s="26"/>
      <c r="BUU220" s="26"/>
      <c r="BUV220" s="26"/>
      <c r="BUW220" s="26"/>
      <c r="BUX220" s="26"/>
      <c r="BUY220" s="26"/>
      <c r="BUZ220" s="26"/>
      <c r="BVA220" s="26"/>
      <c r="BVB220" s="26"/>
      <c r="BVC220" s="26"/>
      <c r="BVD220" s="26"/>
      <c r="BVE220" s="26"/>
      <c r="BVF220" s="26"/>
      <c r="BVG220" s="26"/>
      <c r="BVH220" s="26"/>
      <c r="BVI220" s="26"/>
      <c r="BVJ220" s="26"/>
      <c r="BVK220" s="26"/>
      <c r="BVL220" s="26"/>
      <c r="BVM220" s="26"/>
      <c r="BVN220" s="26"/>
      <c r="BVO220" s="26"/>
      <c r="BVP220" s="26"/>
      <c r="BVQ220" s="26"/>
      <c r="BVR220" s="26"/>
      <c r="BVS220" s="26"/>
      <c r="BVT220" s="26"/>
      <c r="BVU220" s="26"/>
      <c r="BVV220" s="26"/>
      <c r="BVW220" s="26"/>
      <c r="BVX220" s="26"/>
      <c r="BVY220" s="26"/>
      <c r="BVZ220" s="26"/>
      <c r="BWA220" s="26"/>
      <c r="BWB220" s="26"/>
      <c r="BWC220" s="26"/>
      <c r="BWD220" s="26"/>
      <c r="BWE220" s="26"/>
      <c r="BWF220" s="26"/>
      <c r="BWG220" s="26"/>
      <c r="BWH220" s="26"/>
      <c r="BWI220" s="26"/>
      <c r="BWJ220" s="26"/>
      <c r="BWK220" s="26"/>
      <c r="BWL220" s="26"/>
      <c r="BWM220" s="26"/>
      <c r="BWN220" s="26"/>
      <c r="BWO220" s="26"/>
      <c r="BWP220" s="26"/>
      <c r="BWQ220" s="26"/>
      <c r="BWR220" s="26"/>
      <c r="BWS220" s="26"/>
      <c r="BWT220" s="26"/>
      <c r="BWU220" s="26"/>
      <c r="BWV220" s="26"/>
      <c r="BWW220" s="26"/>
      <c r="BWX220" s="26"/>
      <c r="BWY220" s="26"/>
      <c r="BWZ220" s="26"/>
      <c r="BXA220" s="26"/>
      <c r="BXB220" s="26"/>
      <c r="BXC220" s="26"/>
      <c r="BXD220" s="26"/>
      <c r="BXE220" s="26"/>
      <c r="BXF220" s="26"/>
      <c r="BXG220" s="26"/>
      <c r="BXH220" s="26"/>
      <c r="BXI220" s="26"/>
      <c r="BXJ220" s="26"/>
      <c r="BXK220" s="26"/>
      <c r="BXL220" s="26"/>
      <c r="BXM220" s="26"/>
      <c r="BXN220" s="26"/>
      <c r="BXO220" s="26"/>
      <c r="BXP220" s="26"/>
      <c r="BXQ220" s="26"/>
      <c r="BXR220" s="26"/>
      <c r="BXS220" s="26"/>
      <c r="BXT220" s="26"/>
      <c r="BXU220" s="26"/>
      <c r="BXV220" s="26"/>
      <c r="BXW220" s="26"/>
      <c r="BXX220" s="26"/>
      <c r="BXY220" s="26"/>
      <c r="BXZ220" s="26"/>
      <c r="BYA220" s="26"/>
      <c r="BYB220" s="26"/>
      <c r="BYC220" s="26"/>
      <c r="BYD220" s="26"/>
      <c r="BYE220" s="26"/>
      <c r="BYF220" s="26"/>
      <c r="BYG220" s="26"/>
      <c r="BYH220" s="26"/>
      <c r="BYI220" s="26"/>
      <c r="BYJ220" s="26"/>
      <c r="BYK220" s="26"/>
      <c r="BYL220" s="26"/>
      <c r="BYM220" s="26"/>
      <c r="BYN220" s="26"/>
      <c r="BYO220" s="26"/>
      <c r="BYP220" s="26"/>
      <c r="BYQ220" s="26"/>
      <c r="BYR220" s="26"/>
      <c r="BYS220" s="26"/>
      <c r="BYT220" s="26"/>
      <c r="BYU220" s="26"/>
      <c r="BYV220" s="26"/>
      <c r="BYW220" s="26"/>
      <c r="BYX220" s="26"/>
      <c r="BYY220" s="26"/>
      <c r="BYZ220" s="26"/>
      <c r="BZA220" s="26"/>
      <c r="BZB220" s="26"/>
      <c r="BZC220" s="26"/>
      <c r="BZD220" s="26"/>
      <c r="BZE220" s="26"/>
      <c r="BZF220" s="26"/>
      <c r="BZG220" s="26"/>
      <c r="BZH220" s="26"/>
      <c r="BZI220" s="26"/>
      <c r="BZJ220" s="26"/>
      <c r="BZK220" s="26"/>
      <c r="BZL220" s="26"/>
      <c r="BZM220" s="26"/>
      <c r="BZN220" s="26"/>
      <c r="BZO220" s="26"/>
      <c r="BZP220" s="26"/>
      <c r="BZQ220" s="26"/>
      <c r="BZR220" s="26"/>
      <c r="BZS220" s="26"/>
      <c r="BZT220" s="26"/>
      <c r="BZU220" s="26"/>
      <c r="BZV220" s="26"/>
      <c r="BZW220" s="26"/>
      <c r="BZX220" s="26"/>
      <c r="BZY220" s="26"/>
      <c r="BZZ220" s="26"/>
      <c r="CAA220" s="26"/>
      <c r="CAB220" s="26"/>
      <c r="CAC220" s="26"/>
      <c r="CAD220" s="26"/>
      <c r="CAE220" s="26"/>
      <c r="CAF220" s="26"/>
      <c r="CAG220" s="26"/>
      <c r="CAH220" s="26"/>
      <c r="CAI220" s="26"/>
      <c r="CAJ220" s="26"/>
      <c r="CAK220" s="26"/>
      <c r="CAL220" s="26"/>
      <c r="CAM220" s="26"/>
      <c r="CAN220" s="26"/>
      <c r="CAO220" s="26"/>
      <c r="CAP220" s="26"/>
      <c r="CAQ220" s="26"/>
      <c r="CAR220" s="26"/>
      <c r="CAS220" s="26"/>
      <c r="CAT220" s="26"/>
      <c r="CAU220" s="26"/>
      <c r="CAV220" s="26"/>
      <c r="CAW220" s="26"/>
      <c r="CAX220" s="26"/>
      <c r="CAY220" s="26"/>
      <c r="CAZ220" s="26"/>
      <c r="CBA220" s="26"/>
      <c r="CBB220" s="26"/>
      <c r="CBC220" s="26"/>
      <c r="CBD220" s="26"/>
      <c r="CBE220" s="26"/>
      <c r="CBF220" s="26"/>
      <c r="CBG220" s="26"/>
      <c r="CBH220" s="26"/>
      <c r="CBI220" s="26"/>
    </row>
    <row r="221" spans="1:2089" ht="14" customHeight="1">
      <c r="A221" s="27">
        <v>220</v>
      </c>
      <c r="B221" s="27" t="s">
        <v>382</v>
      </c>
      <c r="C221" s="27">
        <v>1993</v>
      </c>
      <c r="D221" s="26" t="s">
        <v>37</v>
      </c>
      <c r="E221" s="26" t="s">
        <v>565</v>
      </c>
      <c r="F221" s="77" t="s">
        <v>175</v>
      </c>
      <c r="G221" s="2" t="s">
        <v>108</v>
      </c>
      <c r="H221" s="2" t="s">
        <v>24</v>
      </c>
      <c r="I221" s="2" t="s">
        <v>548</v>
      </c>
      <c r="J221" s="2" t="s">
        <v>603</v>
      </c>
      <c r="K221" s="2" t="s">
        <v>548</v>
      </c>
      <c r="L221" s="2" t="s">
        <v>548</v>
      </c>
      <c r="M221" s="2" t="s">
        <v>175</v>
      </c>
      <c r="N221" s="2" t="s">
        <v>51</v>
      </c>
      <c r="O221" s="2" t="s">
        <v>43</v>
      </c>
      <c r="P221" s="2" t="s">
        <v>51</v>
      </c>
      <c r="Q221" s="2" t="s">
        <v>42</v>
      </c>
      <c r="R221" s="79" t="s">
        <v>613</v>
      </c>
      <c r="S221" s="88">
        <v>1</v>
      </c>
      <c r="T221" s="26">
        <v>40</v>
      </c>
      <c r="U221" s="77">
        <v>1</v>
      </c>
      <c r="V221" s="26">
        <v>0</v>
      </c>
      <c r="W221" s="26">
        <v>1</v>
      </c>
      <c r="X221" s="26">
        <v>0</v>
      </c>
      <c r="Y221" s="26">
        <v>0</v>
      </c>
      <c r="Z221" s="26">
        <v>0</v>
      </c>
      <c r="AA221" s="26">
        <v>0</v>
      </c>
      <c r="AB221" s="26">
        <v>0</v>
      </c>
      <c r="AC221" s="26" t="s">
        <v>70</v>
      </c>
      <c r="AD221" s="26" t="s">
        <v>70</v>
      </c>
      <c r="AE221" s="26" t="s">
        <v>70</v>
      </c>
      <c r="AF221" s="26" t="s">
        <v>70</v>
      </c>
      <c r="AG221" s="33" t="s">
        <v>70</v>
      </c>
      <c r="AH221" s="33" t="s">
        <v>70</v>
      </c>
      <c r="AI221" s="33" t="s">
        <v>70</v>
      </c>
      <c r="AJ221" s="26" t="s">
        <v>188</v>
      </c>
      <c r="AK221" s="33" t="s">
        <v>70</v>
      </c>
      <c r="AL221" s="33" t="s">
        <v>70</v>
      </c>
      <c r="AM221" s="35" t="s">
        <v>175</v>
      </c>
      <c r="AN221" s="32" t="s">
        <v>9</v>
      </c>
      <c r="AO221" s="35" t="s">
        <v>175</v>
      </c>
      <c r="AP221" s="35" t="s">
        <v>548</v>
      </c>
      <c r="AQ221" s="35" t="s">
        <v>548</v>
      </c>
      <c r="AR221" s="35" t="s">
        <v>548</v>
      </c>
      <c r="AS221" s="26" t="s">
        <v>175</v>
      </c>
      <c r="AT221" s="26" t="s">
        <v>70</v>
      </c>
      <c r="AU221" s="26" t="s">
        <v>70</v>
      </c>
      <c r="AV221" s="26">
        <v>5</v>
      </c>
    </row>
    <row r="222" spans="1:2089" ht="14" customHeight="1">
      <c r="A222" s="27">
        <v>221</v>
      </c>
      <c r="B222" s="27" t="s">
        <v>383</v>
      </c>
      <c r="C222" s="40">
        <v>2007</v>
      </c>
      <c r="D222" s="40" t="s">
        <v>68</v>
      </c>
      <c r="E222" s="26" t="s">
        <v>563</v>
      </c>
      <c r="F222" s="74" t="s">
        <v>175</v>
      </c>
      <c r="G222" s="74" t="s">
        <v>105</v>
      </c>
      <c r="H222" s="2" t="s">
        <v>30</v>
      </c>
      <c r="I222" s="74" t="s">
        <v>548</v>
      </c>
      <c r="J222" s="74" t="s">
        <v>604</v>
      </c>
      <c r="K222" s="74" t="s">
        <v>548</v>
      </c>
      <c r="L222" s="2" t="s">
        <v>548</v>
      </c>
      <c r="M222" s="74" t="s">
        <v>175</v>
      </c>
      <c r="N222" s="2" t="s">
        <v>48</v>
      </c>
      <c r="O222" s="2" t="s">
        <v>209</v>
      </c>
      <c r="P222" s="2" t="s">
        <v>48</v>
      </c>
      <c r="Q222" s="2" t="s">
        <v>42</v>
      </c>
      <c r="R222" s="79" t="s">
        <v>613</v>
      </c>
      <c r="S222" s="92">
        <v>0</v>
      </c>
      <c r="T222" s="71">
        <v>80</v>
      </c>
      <c r="U222" s="74">
        <v>1</v>
      </c>
      <c r="V222" s="40">
        <v>1</v>
      </c>
      <c r="W222" s="40">
        <v>1</v>
      </c>
      <c r="X222" s="40">
        <v>1</v>
      </c>
      <c r="Y222" s="40">
        <v>1</v>
      </c>
      <c r="Z222" s="40">
        <v>1</v>
      </c>
      <c r="AA222" s="40">
        <v>0</v>
      </c>
      <c r="AB222" s="40">
        <v>0</v>
      </c>
      <c r="AC222" s="40" t="s">
        <v>70</v>
      </c>
      <c r="AD222" s="40" t="s">
        <v>70</v>
      </c>
      <c r="AE222" s="40" t="s">
        <v>70</v>
      </c>
      <c r="AF222" s="40" t="s">
        <v>70</v>
      </c>
      <c r="AG222" s="70" t="s">
        <v>70</v>
      </c>
      <c r="AH222" s="70" t="s">
        <v>70</v>
      </c>
      <c r="AI222" s="70" t="s">
        <v>70</v>
      </c>
      <c r="AJ222" s="40" t="s">
        <v>70</v>
      </c>
      <c r="AK222" s="70" t="s">
        <v>70</v>
      </c>
      <c r="AL222" s="70" t="s">
        <v>70</v>
      </c>
      <c r="AM222" s="71" t="s">
        <v>548</v>
      </c>
      <c r="AN222" s="26" t="s">
        <v>274</v>
      </c>
      <c r="AO222" s="40" t="s">
        <v>548</v>
      </c>
      <c r="AP222" s="40" t="s">
        <v>548</v>
      </c>
      <c r="AQ222" s="40" t="s">
        <v>548</v>
      </c>
      <c r="AR222" s="40" t="s">
        <v>548</v>
      </c>
      <c r="AS222" s="40" t="s">
        <v>175</v>
      </c>
      <c r="AT222" s="26" t="s">
        <v>548</v>
      </c>
      <c r="AU222" s="40" t="s">
        <v>548</v>
      </c>
      <c r="AV222" s="26">
        <v>8</v>
      </c>
    </row>
    <row r="223" spans="1:2089" ht="14" customHeight="1">
      <c r="A223" s="27">
        <v>222</v>
      </c>
      <c r="B223" s="27" t="s">
        <v>383</v>
      </c>
      <c r="C223" s="40">
        <v>2007</v>
      </c>
      <c r="D223" s="40" t="s">
        <v>68</v>
      </c>
      <c r="E223" s="26" t="s">
        <v>563</v>
      </c>
      <c r="F223" s="74" t="s">
        <v>175</v>
      </c>
      <c r="G223" s="74" t="s">
        <v>105</v>
      </c>
      <c r="H223" s="2" t="s">
        <v>30</v>
      </c>
      <c r="I223" s="74" t="s">
        <v>175</v>
      </c>
      <c r="J223" s="74" t="s">
        <v>604</v>
      </c>
      <c r="K223" s="74" t="s">
        <v>175</v>
      </c>
      <c r="L223" s="74" t="s">
        <v>548</v>
      </c>
      <c r="M223" s="74" t="s">
        <v>175</v>
      </c>
      <c r="N223" s="2" t="s">
        <v>62</v>
      </c>
      <c r="O223" s="2" t="s">
        <v>43</v>
      </c>
      <c r="P223" s="2" t="s">
        <v>62</v>
      </c>
      <c r="Q223" s="26" t="s">
        <v>606</v>
      </c>
      <c r="R223" s="79" t="s">
        <v>613</v>
      </c>
      <c r="S223" s="92">
        <v>0.26200000000000001</v>
      </c>
      <c r="T223" s="71">
        <v>61</v>
      </c>
      <c r="U223" s="74">
        <v>1</v>
      </c>
      <c r="V223" s="40">
        <v>0</v>
      </c>
      <c r="W223" s="40">
        <v>1</v>
      </c>
      <c r="X223" s="40">
        <v>1</v>
      </c>
      <c r="Y223" s="40">
        <v>1</v>
      </c>
      <c r="Z223" s="40">
        <v>1</v>
      </c>
      <c r="AA223" s="40">
        <v>0</v>
      </c>
      <c r="AB223" s="40">
        <v>0</v>
      </c>
      <c r="AC223" s="40" t="s">
        <v>70</v>
      </c>
      <c r="AD223" s="40" t="s">
        <v>70</v>
      </c>
      <c r="AE223" s="40" t="s">
        <v>70</v>
      </c>
      <c r="AF223" s="40" t="s">
        <v>70</v>
      </c>
      <c r="AG223" s="70" t="s">
        <v>70</v>
      </c>
      <c r="AH223" s="70" t="s">
        <v>70</v>
      </c>
      <c r="AI223" s="70" t="s">
        <v>70</v>
      </c>
      <c r="AJ223" s="40" t="s">
        <v>212</v>
      </c>
      <c r="AK223" s="70" t="s">
        <v>70</v>
      </c>
      <c r="AL223" s="70" t="s">
        <v>70</v>
      </c>
      <c r="AM223" s="71" t="s">
        <v>548</v>
      </c>
      <c r="AN223" s="26" t="s">
        <v>274</v>
      </c>
      <c r="AO223" s="40" t="s">
        <v>548</v>
      </c>
      <c r="AP223" s="40" t="s">
        <v>548</v>
      </c>
      <c r="AQ223" s="40" t="s">
        <v>548</v>
      </c>
      <c r="AR223" s="40" t="s">
        <v>548</v>
      </c>
      <c r="AS223" s="40" t="s">
        <v>175</v>
      </c>
      <c r="AT223" s="26" t="s">
        <v>548</v>
      </c>
      <c r="AU223" s="40" t="s">
        <v>548</v>
      </c>
      <c r="AV223" s="26">
        <v>9</v>
      </c>
    </row>
    <row r="224" spans="1:2089" s="53" customFormat="1" ht="14" customHeight="1">
      <c r="A224" s="27">
        <v>223</v>
      </c>
      <c r="B224" s="27" t="s">
        <v>383</v>
      </c>
      <c r="C224" s="40">
        <v>2007</v>
      </c>
      <c r="D224" s="40" t="s">
        <v>68</v>
      </c>
      <c r="E224" s="26" t="s">
        <v>563</v>
      </c>
      <c r="F224" s="74" t="s">
        <v>175</v>
      </c>
      <c r="G224" s="74" t="s">
        <v>105</v>
      </c>
      <c r="H224" s="2" t="s">
        <v>30</v>
      </c>
      <c r="I224" s="74" t="s">
        <v>548</v>
      </c>
      <c r="J224" s="74" t="s">
        <v>604</v>
      </c>
      <c r="K224" s="74" t="s">
        <v>548</v>
      </c>
      <c r="L224" s="2" t="s">
        <v>548</v>
      </c>
      <c r="M224" s="74" t="s">
        <v>175</v>
      </c>
      <c r="N224" s="74" t="s">
        <v>70</v>
      </c>
      <c r="O224" s="2" t="s">
        <v>209</v>
      </c>
      <c r="P224" s="2" t="s">
        <v>61</v>
      </c>
      <c r="Q224" s="2" t="s">
        <v>42</v>
      </c>
      <c r="R224" s="79" t="s">
        <v>613</v>
      </c>
      <c r="S224" s="92">
        <v>0.08</v>
      </c>
      <c r="T224" s="71">
        <v>50</v>
      </c>
      <c r="U224" s="74">
        <v>1</v>
      </c>
      <c r="V224" s="40">
        <v>1</v>
      </c>
      <c r="W224" s="40">
        <v>1</v>
      </c>
      <c r="X224" s="40">
        <v>1</v>
      </c>
      <c r="Y224" s="40">
        <v>1</v>
      </c>
      <c r="Z224" s="40">
        <v>1</v>
      </c>
      <c r="AA224" s="40">
        <v>0</v>
      </c>
      <c r="AB224" s="40">
        <v>0</v>
      </c>
      <c r="AC224" s="40" t="s">
        <v>70</v>
      </c>
      <c r="AD224" s="40" t="s">
        <v>70</v>
      </c>
      <c r="AE224" s="40" t="s">
        <v>70</v>
      </c>
      <c r="AF224" s="40" t="s">
        <v>70</v>
      </c>
      <c r="AG224" s="70" t="s">
        <v>70</v>
      </c>
      <c r="AH224" s="70" t="s">
        <v>70</v>
      </c>
      <c r="AI224" s="70" t="s">
        <v>70</v>
      </c>
      <c r="AJ224" s="40" t="s">
        <v>70</v>
      </c>
      <c r="AK224" s="70" t="s">
        <v>70</v>
      </c>
      <c r="AL224" s="70" t="s">
        <v>70</v>
      </c>
      <c r="AM224" s="71" t="s">
        <v>548</v>
      </c>
      <c r="AN224" s="26" t="s">
        <v>274</v>
      </c>
      <c r="AO224" s="40" t="s">
        <v>548</v>
      </c>
      <c r="AP224" s="40" t="s">
        <v>548</v>
      </c>
      <c r="AQ224" s="40" t="s">
        <v>548</v>
      </c>
      <c r="AR224" s="40" t="s">
        <v>548</v>
      </c>
      <c r="AS224" s="40" t="s">
        <v>175</v>
      </c>
      <c r="AT224" s="26" t="s">
        <v>548</v>
      </c>
      <c r="AU224" s="40" t="s">
        <v>548</v>
      </c>
      <c r="AV224" s="26">
        <v>8</v>
      </c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  <c r="GR224" s="26"/>
      <c r="GS224" s="26"/>
      <c r="GT224" s="26"/>
      <c r="GU224" s="26"/>
      <c r="GV224" s="26"/>
      <c r="GW224" s="26"/>
      <c r="GX224" s="26"/>
      <c r="GY224" s="26"/>
      <c r="GZ224" s="26"/>
      <c r="HA224" s="26"/>
      <c r="HB224" s="26"/>
      <c r="HC224" s="26"/>
      <c r="HD224" s="26"/>
      <c r="HE224" s="26"/>
      <c r="HF224" s="26"/>
      <c r="HG224" s="26"/>
      <c r="HH224" s="26"/>
      <c r="HI224" s="26"/>
      <c r="HJ224" s="26"/>
      <c r="HK224" s="26"/>
      <c r="HL224" s="26"/>
      <c r="HM224" s="26"/>
      <c r="HN224" s="26"/>
      <c r="HO224" s="26"/>
      <c r="HP224" s="26"/>
      <c r="HQ224" s="26"/>
      <c r="HR224" s="26"/>
      <c r="HS224" s="26"/>
      <c r="HT224" s="26"/>
      <c r="HU224" s="26"/>
      <c r="HV224" s="26"/>
      <c r="HW224" s="26"/>
      <c r="HX224" s="26"/>
      <c r="HY224" s="26"/>
      <c r="HZ224" s="26"/>
      <c r="IA224" s="26"/>
      <c r="IB224" s="26"/>
      <c r="IC224" s="26"/>
      <c r="ID224" s="26"/>
      <c r="IE224" s="26"/>
      <c r="IF224" s="26"/>
      <c r="IG224" s="26"/>
      <c r="IH224" s="26"/>
      <c r="II224" s="26"/>
      <c r="IJ224" s="26"/>
      <c r="IK224" s="26"/>
      <c r="IL224" s="26"/>
      <c r="IM224" s="26"/>
      <c r="IN224" s="26"/>
      <c r="IO224" s="26"/>
      <c r="IP224" s="26"/>
      <c r="IQ224" s="26"/>
      <c r="IR224" s="26"/>
      <c r="IS224" s="26"/>
      <c r="IT224" s="26"/>
      <c r="IU224" s="26"/>
      <c r="IV224" s="26"/>
      <c r="IW224" s="26"/>
      <c r="IX224" s="26"/>
      <c r="IY224" s="26"/>
      <c r="IZ224" s="26"/>
      <c r="JA224" s="26"/>
      <c r="JB224" s="26"/>
      <c r="JC224" s="26"/>
      <c r="JD224" s="26"/>
      <c r="JE224" s="26"/>
      <c r="JF224" s="26"/>
      <c r="JG224" s="26"/>
      <c r="JH224" s="26"/>
      <c r="JI224" s="26"/>
      <c r="JJ224" s="26"/>
      <c r="JK224" s="26"/>
      <c r="JL224" s="26"/>
      <c r="JM224" s="26"/>
      <c r="JN224" s="26"/>
      <c r="JO224" s="26"/>
      <c r="JP224" s="26"/>
      <c r="JQ224" s="26"/>
      <c r="JR224" s="26"/>
      <c r="JS224" s="26"/>
      <c r="JT224" s="26"/>
      <c r="JU224" s="26"/>
      <c r="JV224" s="26"/>
      <c r="JW224" s="26"/>
      <c r="JX224" s="26"/>
      <c r="JY224" s="26"/>
      <c r="JZ224" s="26"/>
      <c r="KA224" s="26"/>
      <c r="KB224" s="26"/>
      <c r="KC224" s="26"/>
      <c r="KD224" s="26"/>
      <c r="KE224" s="26"/>
      <c r="KF224" s="26"/>
      <c r="KG224" s="26"/>
      <c r="KH224" s="26"/>
      <c r="KI224" s="26"/>
      <c r="KJ224" s="26"/>
      <c r="KK224" s="26"/>
      <c r="KL224" s="26"/>
      <c r="KM224" s="26"/>
      <c r="KN224" s="26"/>
      <c r="KO224" s="26"/>
      <c r="KP224" s="26"/>
      <c r="KQ224" s="26"/>
      <c r="KR224" s="26"/>
      <c r="KS224" s="26"/>
      <c r="KT224" s="26"/>
      <c r="KU224" s="26"/>
      <c r="KV224" s="26"/>
      <c r="KW224" s="26"/>
      <c r="KX224" s="26"/>
      <c r="KY224" s="26"/>
      <c r="KZ224" s="26"/>
      <c r="LA224" s="26"/>
      <c r="LB224" s="26"/>
      <c r="LC224" s="26"/>
      <c r="LD224" s="26"/>
      <c r="LE224" s="26"/>
      <c r="LF224" s="26"/>
      <c r="LG224" s="26"/>
      <c r="LH224" s="26"/>
      <c r="LI224" s="26"/>
      <c r="LJ224" s="26"/>
      <c r="LK224" s="26"/>
      <c r="LL224" s="26"/>
      <c r="LM224" s="26"/>
      <c r="LN224" s="26"/>
      <c r="LO224" s="26"/>
      <c r="LP224" s="26"/>
      <c r="LQ224" s="26"/>
      <c r="LR224" s="26"/>
      <c r="LS224" s="26"/>
      <c r="LT224" s="26"/>
      <c r="LU224" s="26"/>
      <c r="LV224" s="26"/>
      <c r="LW224" s="26"/>
      <c r="LX224" s="26"/>
      <c r="LY224" s="26"/>
      <c r="LZ224" s="26"/>
      <c r="MA224" s="26"/>
      <c r="MB224" s="26"/>
      <c r="MC224" s="26"/>
      <c r="MD224" s="26"/>
      <c r="ME224" s="26"/>
      <c r="MF224" s="26"/>
      <c r="MG224" s="26"/>
      <c r="MH224" s="26"/>
      <c r="MI224" s="26"/>
      <c r="MJ224" s="26"/>
      <c r="MK224" s="26"/>
      <c r="ML224" s="26"/>
      <c r="MM224" s="26"/>
      <c r="MN224" s="26"/>
      <c r="MO224" s="26"/>
      <c r="MP224" s="26"/>
      <c r="MQ224" s="26"/>
      <c r="MR224" s="26"/>
      <c r="MS224" s="26"/>
      <c r="MT224" s="26"/>
      <c r="MU224" s="26"/>
      <c r="MV224" s="26"/>
      <c r="MW224" s="26"/>
      <c r="MX224" s="26"/>
      <c r="MY224" s="26"/>
      <c r="MZ224" s="26"/>
      <c r="NA224" s="26"/>
      <c r="NB224" s="26"/>
      <c r="NC224" s="26"/>
      <c r="ND224" s="26"/>
      <c r="NE224" s="26"/>
      <c r="NF224" s="26"/>
      <c r="NG224" s="26"/>
      <c r="NH224" s="26"/>
      <c r="NI224" s="26"/>
      <c r="NJ224" s="26"/>
      <c r="NK224" s="26"/>
      <c r="NL224" s="26"/>
      <c r="NM224" s="26"/>
      <c r="NN224" s="26"/>
      <c r="NO224" s="26"/>
      <c r="NP224" s="26"/>
      <c r="NQ224" s="26"/>
      <c r="NR224" s="26"/>
      <c r="NS224" s="26"/>
      <c r="NT224" s="26"/>
      <c r="NU224" s="26"/>
      <c r="NV224" s="26"/>
      <c r="NW224" s="26"/>
      <c r="NX224" s="26"/>
      <c r="NY224" s="26"/>
      <c r="NZ224" s="26"/>
      <c r="OA224" s="26"/>
      <c r="OB224" s="26"/>
      <c r="OC224" s="26"/>
      <c r="OD224" s="26"/>
      <c r="OE224" s="26"/>
      <c r="OF224" s="26"/>
      <c r="OG224" s="26"/>
      <c r="OH224" s="26"/>
      <c r="OI224" s="26"/>
      <c r="OJ224" s="26"/>
      <c r="OK224" s="26"/>
      <c r="OL224" s="26"/>
      <c r="OM224" s="26"/>
      <c r="ON224" s="26"/>
      <c r="OO224" s="26"/>
      <c r="OP224" s="26"/>
      <c r="OQ224" s="26"/>
      <c r="OR224" s="26"/>
      <c r="OS224" s="26"/>
      <c r="OT224" s="26"/>
      <c r="OU224" s="26"/>
      <c r="OV224" s="26"/>
      <c r="OW224" s="26"/>
      <c r="OX224" s="26"/>
      <c r="OY224" s="26"/>
      <c r="OZ224" s="26"/>
      <c r="PA224" s="26"/>
      <c r="PB224" s="26"/>
      <c r="PC224" s="26"/>
      <c r="PD224" s="26"/>
      <c r="PE224" s="26"/>
      <c r="PF224" s="26"/>
      <c r="PG224" s="26"/>
      <c r="PH224" s="26"/>
      <c r="PI224" s="26"/>
      <c r="PJ224" s="26"/>
      <c r="PK224" s="26"/>
      <c r="PL224" s="26"/>
      <c r="PM224" s="26"/>
      <c r="PN224" s="26"/>
      <c r="PO224" s="26"/>
      <c r="PP224" s="26"/>
      <c r="PQ224" s="26"/>
      <c r="PR224" s="26"/>
      <c r="PS224" s="26"/>
      <c r="PT224" s="26"/>
      <c r="PU224" s="26"/>
      <c r="PV224" s="26"/>
      <c r="PW224" s="26"/>
      <c r="PX224" s="26"/>
      <c r="PY224" s="26"/>
      <c r="PZ224" s="26"/>
      <c r="QA224" s="26"/>
      <c r="QB224" s="26"/>
      <c r="QC224" s="26"/>
      <c r="QD224" s="26"/>
      <c r="QE224" s="26"/>
      <c r="QF224" s="26"/>
      <c r="QG224" s="26"/>
      <c r="QH224" s="26"/>
      <c r="QI224" s="26"/>
      <c r="QJ224" s="26"/>
      <c r="QK224" s="26"/>
      <c r="QL224" s="26"/>
      <c r="QM224" s="26"/>
      <c r="QN224" s="26"/>
      <c r="QO224" s="26"/>
      <c r="QP224" s="26"/>
      <c r="QQ224" s="26"/>
      <c r="QR224" s="26"/>
      <c r="QS224" s="26"/>
      <c r="QT224" s="26"/>
      <c r="QU224" s="26"/>
      <c r="QV224" s="26"/>
      <c r="QW224" s="26"/>
      <c r="QX224" s="26"/>
      <c r="QY224" s="26"/>
      <c r="QZ224" s="26"/>
      <c r="RA224" s="26"/>
      <c r="RB224" s="26"/>
      <c r="RC224" s="26"/>
      <c r="RD224" s="26"/>
      <c r="RE224" s="26"/>
      <c r="RF224" s="26"/>
      <c r="RG224" s="26"/>
      <c r="RH224" s="26"/>
      <c r="RI224" s="26"/>
      <c r="RJ224" s="26"/>
      <c r="RK224" s="26"/>
      <c r="RL224" s="26"/>
      <c r="RM224" s="26"/>
      <c r="RN224" s="26"/>
      <c r="RO224" s="26"/>
      <c r="RP224" s="26"/>
      <c r="RQ224" s="26"/>
      <c r="RR224" s="26"/>
      <c r="RS224" s="26"/>
      <c r="RT224" s="26"/>
      <c r="RU224" s="26"/>
      <c r="RV224" s="26"/>
      <c r="RW224" s="26"/>
      <c r="RX224" s="26"/>
      <c r="RY224" s="26"/>
      <c r="RZ224" s="26"/>
      <c r="SA224" s="26"/>
      <c r="SB224" s="26"/>
      <c r="SC224" s="26"/>
      <c r="SD224" s="26"/>
      <c r="SE224" s="26"/>
      <c r="SF224" s="26"/>
      <c r="SG224" s="26"/>
      <c r="SH224" s="26"/>
      <c r="SI224" s="26"/>
      <c r="SJ224" s="26"/>
      <c r="SK224" s="26"/>
      <c r="SL224" s="26"/>
      <c r="SM224" s="26"/>
      <c r="SN224" s="26"/>
      <c r="SO224" s="26"/>
      <c r="SP224" s="26"/>
      <c r="SQ224" s="26"/>
      <c r="SR224" s="26"/>
      <c r="SS224" s="26"/>
      <c r="ST224" s="26"/>
      <c r="SU224" s="26"/>
      <c r="SV224" s="26"/>
      <c r="SW224" s="26"/>
      <c r="SX224" s="26"/>
      <c r="SY224" s="26"/>
      <c r="SZ224" s="26"/>
      <c r="TA224" s="26"/>
      <c r="TB224" s="26"/>
      <c r="TC224" s="26"/>
      <c r="TD224" s="26"/>
      <c r="TE224" s="26"/>
      <c r="TF224" s="26"/>
      <c r="TG224" s="26"/>
      <c r="TH224" s="26"/>
      <c r="TI224" s="26"/>
      <c r="TJ224" s="26"/>
      <c r="TK224" s="26"/>
      <c r="TL224" s="26"/>
      <c r="TM224" s="26"/>
      <c r="TN224" s="26"/>
      <c r="TO224" s="26"/>
      <c r="TP224" s="26"/>
      <c r="TQ224" s="26"/>
      <c r="TR224" s="26"/>
      <c r="TS224" s="26"/>
      <c r="TT224" s="26"/>
      <c r="TU224" s="26"/>
      <c r="TV224" s="26"/>
      <c r="TW224" s="26"/>
      <c r="TX224" s="26"/>
      <c r="TY224" s="26"/>
      <c r="TZ224" s="26"/>
      <c r="UA224" s="26"/>
      <c r="UB224" s="26"/>
      <c r="UC224" s="26"/>
      <c r="UD224" s="26"/>
      <c r="UE224" s="26"/>
      <c r="UF224" s="26"/>
      <c r="UG224" s="26"/>
      <c r="UH224" s="26"/>
      <c r="UI224" s="26"/>
      <c r="UJ224" s="26"/>
      <c r="UK224" s="26"/>
      <c r="UL224" s="26"/>
      <c r="UM224" s="26"/>
      <c r="UN224" s="26"/>
      <c r="UO224" s="26"/>
      <c r="UP224" s="26"/>
      <c r="UQ224" s="26"/>
      <c r="UR224" s="26"/>
      <c r="US224" s="26"/>
      <c r="UT224" s="26"/>
      <c r="UU224" s="26"/>
      <c r="UV224" s="26"/>
      <c r="UW224" s="26"/>
      <c r="UX224" s="26"/>
      <c r="UY224" s="26"/>
      <c r="UZ224" s="26"/>
      <c r="VA224" s="26"/>
      <c r="VB224" s="26"/>
      <c r="VC224" s="26"/>
      <c r="VD224" s="26"/>
      <c r="VE224" s="26"/>
      <c r="VF224" s="26"/>
      <c r="VG224" s="26"/>
      <c r="VH224" s="26"/>
      <c r="VI224" s="26"/>
      <c r="VJ224" s="26"/>
      <c r="VK224" s="26"/>
      <c r="VL224" s="26"/>
      <c r="VM224" s="26"/>
      <c r="VN224" s="26"/>
      <c r="VO224" s="26"/>
      <c r="VP224" s="26"/>
      <c r="VQ224" s="26"/>
      <c r="VR224" s="26"/>
      <c r="VS224" s="26"/>
      <c r="VT224" s="26"/>
      <c r="VU224" s="26"/>
      <c r="VV224" s="26"/>
      <c r="VW224" s="26"/>
      <c r="VX224" s="26"/>
      <c r="VY224" s="26"/>
      <c r="VZ224" s="26"/>
      <c r="WA224" s="26"/>
      <c r="WB224" s="26"/>
      <c r="WC224" s="26"/>
      <c r="WD224" s="26"/>
      <c r="WE224" s="26"/>
      <c r="WF224" s="26"/>
      <c r="WG224" s="26"/>
      <c r="WH224" s="26"/>
      <c r="WI224" s="26"/>
      <c r="WJ224" s="26"/>
      <c r="WK224" s="26"/>
      <c r="WL224" s="26"/>
      <c r="WM224" s="26"/>
      <c r="WN224" s="26"/>
      <c r="WO224" s="26"/>
      <c r="WP224" s="26"/>
      <c r="WQ224" s="26"/>
      <c r="WR224" s="26"/>
      <c r="WS224" s="26"/>
      <c r="WT224" s="26"/>
      <c r="WU224" s="26"/>
      <c r="WV224" s="26"/>
      <c r="WW224" s="26"/>
      <c r="WX224" s="26"/>
      <c r="WY224" s="26"/>
      <c r="WZ224" s="26"/>
      <c r="XA224" s="26"/>
      <c r="XB224" s="26"/>
      <c r="XC224" s="26"/>
      <c r="XD224" s="26"/>
      <c r="XE224" s="26"/>
      <c r="XF224" s="26"/>
      <c r="XG224" s="26"/>
      <c r="XH224" s="26"/>
      <c r="XI224" s="26"/>
      <c r="XJ224" s="26"/>
      <c r="XK224" s="26"/>
      <c r="XL224" s="26"/>
      <c r="XM224" s="26"/>
      <c r="XN224" s="26"/>
      <c r="XO224" s="26"/>
      <c r="XP224" s="26"/>
      <c r="XQ224" s="26"/>
      <c r="XR224" s="26"/>
      <c r="XS224" s="26"/>
      <c r="XT224" s="26"/>
      <c r="XU224" s="26"/>
      <c r="XV224" s="26"/>
      <c r="XW224" s="26"/>
      <c r="XX224" s="26"/>
      <c r="XY224" s="26"/>
      <c r="XZ224" s="26"/>
      <c r="YA224" s="26"/>
      <c r="YB224" s="26"/>
      <c r="YC224" s="26"/>
      <c r="YD224" s="26"/>
      <c r="YE224" s="26"/>
      <c r="YF224" s="26"/>
      <c r="YG224" s="26"/>
      <c r="YH224" s="26"/>
      <c r="YI224" s="26"/>
      <c r="YJ224" s="26"/>
      <c r="YK224" s="26"/>
      <c r="YL224" s="26"/>
      <c r="YM224" s="26"/>
      <c r="YN224" s="26"/>
      <c r="YO224" s="26"/>
      <c r="YP224" s="26"/>
      <c r="YQ224" s="26"/>
      <c r="YR224" s="26"/>
      <c r="YS224" s="26"/>
      <c r="YT224" s="26"/>
      <c r="YU224" s="26"/>
      <c r="YV224" s="26"/>
      <c r="YW224" s="26"/>
      <c r="YX224" s="26"/>
      <c r="YY224" s="26"/>
      <c r="YZ224" s="26"/>
      <c r="ZA224" s="26"/>
      <c r="ZB224" s="26"/>
      <c r="ZC224" s="26"/>
      <c r="ZD224" s="26"/>
      <c r="ZE224" s="26"/>
      <c r="ZF224" s="26"/>
      <c r="ZG224" s="26"/>
      <c r="ZH224" s="26"/>
      <c r="ZI224" s="26"/>
      <c r="ZJ224" s="26"/>
      <c r="ZK224" s="26"/>
      <c r="ZL224" s="26"/>
      <c r="ZM224" s="26"/>
      <c r="ZN224" s="26"/>
      <c r="ZO224" s="26"/>
      <c r="ZP224" s="26"/>
      <c r="ZQ224" s="26"/>
      <c r="ZR224" s="26"/>
      <c r="ZS224" s="26"/>
      <c r="ZT224" s="26"/>
      <c r="ZU224" s="26"/>
      <c r="ZV224" s="26"/>
      <c r="ZW224" s="26"/>
      <c r="ZX224" s="26"/>
      <c r="ZY224" s="26"/>
      <c r="ZZ224" s="26"/>
      <c r="AAA224" s="26"/>
      <c r="AAB224" s="26"/>
      <c r="AAC224" s="26"/>
      <c r="AAD224" s="26"/>
      <c r="AAE224" s="26"/>
      <c r="AAF224" s="26"/>
      <c r="AAG224" s="26"/>
      <c r="AAH224" s="26"/>
      <c r="AAI224" s="26"/>
      <c r="AAJ224" s="26"/>
      <c r="AAK224" s="26"/>
      <c r="AAL224" s="26"/>
      <c r="AAM224" s="26"/>
      <c r="AAN224" s="26"/>
      <c r="AAO224" s="26"/>
      <c r="AAP224" s="26"/>
      <c r="AAQ224" s="26"/>
      <c r="AAR224" s="26"/>
      <c r="AAS224" s="26"/>
      <c r="AAT224" s="26"/>
      <c r="AAU224" s="26"/>
      <c r="AAV224" s="26"/>
      <c r="AAW224" s="26"/>
      <c r="AAX224" s="26"/>
      <c r="AAY224" s="26"/>
      <c r="AAZ224" s="26"/>
      <c r="ABA224" s="26"/>
      <c r="ABB224" s="26"/>
      <c r="ABC224" s="26"/>
      <c r="ABD224" s="26"/>
      <c r="ABE224" s="26"/>
      <c r="ABF224" s="26"/>
      <c r="ABG224" s="26"/>
      <c r="ABH224" s="26"/>
      <c r="ABI224" s="26"/>
      <c r="ABJ224" s="26"/>
      <c r="ABK224" s="26"/>
      <c r="ABL224" s="26"/>
      <c r="ABM224" s="26"/>
      <c r="ABN224" s="26"/>
      <c r="ABO224" s="26"/>
      <c r="ABP224" s="26"/>
      <c r="ABQ224" s="26"/>
      <c r="ABR224" s="26"/>
      <c r="ABS224" s="26"/>
      <c r="ABT224" s="26"/>
      <c r="ABU224" s="26"/>
      <c r="ABV224" s="26"/>
      <c r="ABW224" s="26"/>
      <c r="ABX224" s="26"/>
      <c r="ABY224" s="26"/>
      <c r="ABZ224" s="26"/>
      <c r="ACA224" s="26"/>
      <c r="ACB224" s="26"/>
      <c r="ACC224" s="26"/>
      <c r="ACD224" s="26"/>
      <c r="ACE224" s="26"/>
      <c r="ACF224" s="26"/>
      <c r="ACG224" s="26"/>
      <c r="ACH224" s="26"/>
      <c r="ACI224" s="26"/>
      <c r="ACJ224" s="26"/>
      <c r="ACK224" s="26"/>
      <c r="ACL224" s="26"/>
      <c r="ACM224" s="26"/>
      <c r="ACN224" s="26"/>
      <c r="ACO224" s="26"/>
      <c r="ACP224" s="26"/>
      <c r="ACQ224" s="26"/>
      <c r="ACR224" s="26"/>
      <c r="ACS224" s="26"/>
      <c r="ACT224" s="26"/>
      <c r="ACU224" s="26"/>
      <c r="ACV224" s="26"/>
      <c r="ACW224" s="26"/>
      <c r="ACX224" s="26"/>
      <c r="ACY224" s="26"/>
      <c r="ACZ224" s="26"/>
      <c r="ADA224" s="26"/>
      <c r="ADB224" s="26"/>
      <c r="ADC224" s="26"/>
      <c r="ADD224" s="26"/>
      <c r="ADE224" s="26"/>
      <c r="ADF224" s="26"/>
      <c r="ADG224" s="26"/>
      <c r="ADH224" s="26"/>
      <c r="ADI224" s="26"/>
      <c r="ADJ224" s="26"/>
      <c r="ADK224" s="26"/>
      <c r="ADL224" s="26"/>
      <c r="ADM224" s="26"/>
      <c r="ADN224" s="26"/>
      <c r="ADO224" s="26"/>
      <c r="ADP224" s="26"/>
      <c r="ADQ224" s="26"/>
      <c r="ADR224" s="26"/>
      <c r="ADS224" s="26"/>
      <c r="ADT224" s="26"/>
      <c r="ADU224" s="26"/>
      <c r="ADV224" s="26"/>
      <c r="ADW224" s="26"/>
      <c r="ADX224" s="26"/>
      <c r="ADY224" s="26"/>
      <c r="ADZ224" s="26"/>
      <c r="AEA224" s="26"/>
      <c r="AEB224" s="26"/>
      <c r="AEC224" s="26"/>
      <c r="AED224" s="26"/>
      <c r="AEE224" s="26"/>
      <c r="AEF224" s="26"/>
      <c r="AEG224" s="26"/>
      <c r="AEH224" s="26"/>
      <c r="AEI224" s="26"/>
      <c r="AEJ224" s="26"/>
      <c r="AEK224" s="26"/>
      <c r="AEL224" s="26"/>
      <c r="AEM224" s="26"/>
      <c r="AEN224" s="26"/>
      <c r="AEO224" s="26"/>
      <c r="AEP224" s="26"/>
      <c r="AEQ224" s="26"/>
      <c r="AER224" s="26"/>
      <c r="AES224" s="26"/>
      <c r="AET224" s="26"/>
      <c r="AEU224" s="26"/>
      <c r="AEV224" s="26"/>
      <c r="AEW224" s="26"/>
      <c r="AEX224" s="26"/>
      <c r="AEY224" s="26"/>
      <c r="AEZ224" s="26"/>
      <c r="AFA224" s="26"/>
      <c r="AFB224" s="26"/>
      <c r="AFC224" s="26"/>
      <c r="AFD224" s="26"/>
      <c r="AFE224" s="26"/>
      <c r="AFF224" s="26"/>
      <c r="AFG224" s="26"/>
      <c r="AFH224" s="26"/>
      <c r="AFI224" s="26"/>
      <c r="AFJ224" s="26"/>
      <c r="AFK224" s="26"/>
      <c r="AFL224" s="26"/>
      <c r="AFM224" s="26"/>
      <c r="AFN224" s="26"/>
      <c r="AFO224" s="26"/>
      <c r="AFP224" s="26"/>
      <c r="AFQ224" s="26"/>
      <c r="AFR224" s="26"/>
      <c r="AFS224" s="26"/>
      <c r="AFT224" s="26"/>
      <c r="AFU224" s="26"/>
      <c r="AFV224" s="26"/>
      <c r="AFW224" s="26"/>
      <c r="AFX224" s="26"/>
      <c r="AFY224" s="26"/>
      <c r="AFZ224" s="26"/>
      <c r="AGA224" s="26"/>
      <c r="AGB224" s="26"/>
      <c r="AGC224" s="26"/>
      <c r="AGD224" s="26"/>
      <c r="AGE224" s="26"/>
      <c r="AGF224" s="26"/>
      <c r="AGG224" s="26"/>
      <c r="AGH224" s="26"/>
      <c r="AGI224" s="26"/>
      <c r="AGJ224" s="26"/>
      <c r="AGK224" s="26"/>
      <c r="AGL224" s="26"/>
      <c r="AGM224" s="26"/>
      <c r="AGN224" s="26"/>
      <c r="AGO224" s="26"/>
      <c r="AGP224" s="26"/>
      <c r="AGQ224" s="26"/>
      <c r="AGR224" s="26"/>
      <c r="AGS224" s="26"/>
      <c r="AGT224" s="26"/>
      <c r="AGU224" s="26"/>
      <c r="AGV224" s="26"/>
      <c r="AGW224" s="26"/>
      <c r="AGX224" s="26"/>
      <c r="AGY224" s="26"/>
      <c r="AGZ224" s="26"/>
      <c r="AHA224" s="26"/>
      <c r="AHB224" s="26"/>
      <c r="AHC224" s="26"/>
      <c r="AHD224" s="26"/>
      <c r="AHE224" s="26"/>
      <c r="AHF224" s="26"/>
      <c r="AHG224" s="26"/>
      <c r="AHH224" s="26"/>
      <c r="AHI224" s="26"/>
      <c r="AHJ224" s="26"/>
      <c r="AHK224" s="26"/>
      <c r="AHL224" s="26"/>
      <c r="AHM224" s="26"/>
      <c r="AHN224" s="26"/>
      <c r="AHO224" s="26"/>
      <c r="AHP224" s="26"/>
      <c r="AHQ224" s="26"/>
      <c r="AHR224" s="26"/>
      <c r="AHS224" s="26"/>
      <c r="AHT224" s="26"/>
      <c r="AHU224" s="26"/>
      <c r="AHV224" s="26"/>
      <c r="AHW224" s="26"/>
      <c r="AHX224" s="26"/>
      <c r="AHY224" s="26"/>
      <c r="AHZ224" s="26"/>
      <c r="AIA224" s="26"/>
      <c r="AIB224" s="26"/>
      <c r="AIC224" s="26"/>
      <c r="AID224" s="26"/>
      <c r="AIE224" s="26"/>
      <c r="AIF224" s="26"/>
      <c r="AIG224" s="26"/>
      <c r="AIH224" s="26"/>
      <c r="AII224" s="26"/>
      <c r="AIJ224" s="26"/>
      <c r="AIK224" s="26"/>
      <c r="AIL224" s="26"/>
      <c r="AIM224" s="26"/>
      <c r="AIN224" s="26"/>
      <c r="AIO224" s="26"/>
      <c r="AIP224" s="26"/>
      <c r="AIQ224" s="26"/>
      <c r="AIR224" s="26"/>
      <c r="AIS224" s="26"/>
      <c r="AIT224" s="26"/>
      <c r="AIU224" s="26"/>
      <c r="AIV224" s="26"/>
      <c r="AIW224" s="26"/>
      <c r="AIX224" s="26"/>
      <c r="AIY224" s="26"/>
      <c r="AIZ224" s="26"/>
      <c r="AJA224" s="26"/>
      <c r="AJB224" s="26"/>
      <c r="AJC224" s="26"/>
      <c r="AJD224" s="26"/>
      <c r="AJE224" s="26"/>
      <c r="AJF224" s="26"/>
      <c r="AJG224" s="26"/>
      <c r="AJH224" s="26"/>
      <c r="AJI224" s="26"/>
      <c r="AJJ224" s="26"/>
      <c r="AJK224" s="26"/>
      <c r="AJL224" s="26"/>
      <c r="AJM224" s="26"/>
      <c r="AJN224" s="26"/>
      <c r="AJO224" s="26"/>
      <c r="AJP224" s="26"/>
      <c r="AJQ224" s="26"/>
      <c r="AJR224" s="26"/>
      <c r="AJS224" s="26"/>
      <c r="AJT224" s="26"/>
      <c r="AJU224" s="26"/>
      <c r="AJV224" s="26"/>
      <c r="AJW224" s="26"/>
      <c r="AJX224" s="26"/>
      <c r="AJY224" s="26"/>
      <c r="AJZ224" s="26"/>
      <c r="AKA224" s="26"/>
      <c r="AKB224" s="26"/>
      <c r="AKC224" s="26"/>
      <c r="AKD224" s="26"/>
      <c r="AKE224" s="26"/>
      <c r="AKF224" s="26"/>
      <c r="AKG224" s="26"/>
      <c r="AKH224" s="26"/>
      <c r="AKI224" s="26"/>
      <c r="AKJ224" s="26"/>
      <c r="AKK224" s="26"/>
      <c r="AKL224" s="26"/>
      <c r="AKM224" s="26"/>
      <c r="AKN224" s="26"/>
      <c r="AKO224" s="26"/>
      <c r="AKP224" s="26"/>
      <c r="AKQ224" s="26"/>
      <c r="AKR224" s="26"/>
      <c r="AKS224" s="26"/>
      <c r="AKT224" s="26"/>
      <c r="AKU224" s="26"/>
      <c r="AKV224" s="26"/>
      <c r="AKW224" s="26"/>
      <c r="AKX224" s="26"/>
      <c r="AKY224" s="26"/>
      <c r="AKZ224" s="26"/>
      <c r="ALA224" s="26"/>
      <c r="ALB224" s="26"/>
      <c r="ALC224" s="26"/>
      <c r="ALD224" s="26"/>
      <c r="ALE224" s="26"/>
      <c r="ALF224" s="26"/>
      <c r="ALG224" s="26"/>
      <c r="ALH224" s="26"/>
      <c r="ALI224" s="26"/>
      <c r="ALJ224" s="26"/>
      <c r="ALK224" s="26"/>
      <c r="ALL224" s="26"/>
      <c r="ALM224" s="26"/>
      <c r="ALN224" s="26"/>
      <c r="ALO224" s="26"/>
      <c r="ALP224" s="26"/>
      <c r="ALQ224" s="26"/>
      <c r="ALR224" s="26"/>
      <c r="ALS224" s="26"/>
      <c r="ALT224" s="26"/>
      <c r="ALU224" s="26"/>
      <c r="ALV224" s="26"/>
      <c r="ALW224" s="26"/>
      <c r="ALX224" s="26"/>
      <c r="ALY224" s="26"/>
      <c r="ALZ224" s="26"/>
      <c r="AMA224" s="26"/>
      <c r="AMB224" s="26"/>
      <c r="AMC224" s="26"/>
      <c r="AMD224" s="26"/>
      <c r="AME224" s="26"/>
      <c r="AMF224" s="26"/>
      <c r="AMG224" s="26"/>
      <c r="AMH224" s="26"/>
      <c r="AMI224" s="26"/>
      <c r="AMJ224" s="26"/>
      <c r="AMK224" s="26"/>
      <c r="AML224" s="26"/>
      <c r="AMM224" s="26"/>
      <c r="AMN224" s="26"/>
      <c r="AMO224" s="26"/>
      <c r="AMP224" s="26"/>
      <c r="AMQ224" s="26"/>
      <c r="AMR224" s="26"/>
      <c r="AMS224" s="26"/>
      <c r="AMT224" s="26"/>
      <c r="AMU224" s="26"/>
      <c r="AMV224" s="26"/>
      <c r="AMW224" s="26"/>
      <c r="AMX224" s="26"/>
      <c r="AMY224" s="26"/>
      <c r="AMZ224" s="26"/>
      <c r="ANA224" s="26"/>
      <c r="ANB224" s="26"/>
      <c r="ANC224" s="26"/>
      <c r="AND224" s="26"/>
      <c r="ANE224" s="26"/>
      <c r="ANF224" s="26"/>
      <c r="ANG224" s="26"/>
      <c r="ANH224" s="26"/>
      <c r="ANI224" s="26"/>
      <c r="ANJ224" s="26"/>
      <c r="ANK224" s="26"/>
      <c r="ANL224" s="26"/>
      <c r="ANM224" s="26"/>
      <c r="ANN224" s="26"/>
      <c r="ANO224" s="26"/>
      <c r="ANP224" s="26"/>
      <c r="ANQ224" s="26"/>
      <c r="ANR224" s="26"/>
      <c r="ANS224" s="26"/>
      <c r="ANT224" s="26"/>
      <c r="ANU224" s="26"/>
      <c r="ANV224" s="26"/>
      <c r="ANW224" s="26"/>
      <c r="ANX224" s="26"/>
      <c r="ANY224" s="26"/>
      <c r="ANZ224" s="26"/>
      <c r="AOA224" s="26"/>
      <c r="AOB224" s="26"/>
      <c r="AOC224" s="26"/>
      <c r="AOD224" s="26"/>
      <c r="AOE224" s="26"/>
      <c r="AOF224" s="26"/>
      <c r="AOG224" s="26"/>
      <c r="AOH224" s="26"/>
      <c r="AOI224" s="26"/>
      <c r="AOJ224" s="26"/>
      <c r="AOK224" s="26"/>
      <c r="AOL224" s="26"/>
      <c r="AOM224" s="26"/>
      <c r="AON224" s="26"/>
      <c r="AOO224" s="26"/>
      <c r="AOP224" s="26"/>
      <c r="AOQ224" s="26"/>
      <c r="AOR224" s="26"/>
      <c r="AOS224" s="26"/>
      <c r="AOT224" s="26"/>
      <c r="AOU224" s="26"/>
      <c r="AOV224" s="26"/>
      <c r="AOW224" s="26"/>
      <c r="AOX224" s="26"/>
      <c r="AOY224" s="26"/>
      <c r="AOZ224" s="26"/>
      <c r="APA224" s="26"/>
      <c r="APB224" s="26"/>
      <c r="APC224" s="26"/>
      <c r="APD224" s="26"/>
      <c r="APE224" s="26"/>
      <c r="APF224" s="26"/>
      <c r="APG224" s="26"/>
      <c r="APH224" s="26"/>
      <c r="API224" s="26"/>
      <c r="APJ224" s="26"/>
      <c r="APK224" s="26"/>
      <c r="APL224" s="26"/>
      <c r="APM224" s="26"/>
      <c r="APN224" s="26"/>
      <c r="APO224" s="26"/>
      <c r="APP224" s="26"/>
      <c r="APQ224" s="26"/>
      <c r="APR224" s="26"/>
      <c r="APS224" s="26"/>
      <c r="APT224" s="26"/>
      <c r="APU224" s="26"/>
      <c r="APV224" s="26"/>
      <c r="APW224" s="26"/>
      <c r="APX224" s="26"/>
      <c r="APY224" s="26"/>
      <c r="APZ224" s="26"/>
      <c r="AQA224" s="26"/>
      <c r="AQB224" s="26"/>
      <c r="AQC224" s="26"/>
      <c r="AQD224" s="26"/>
      <c r="AQE224" s="26"/>
      <c r="AQF224" s="26"/>
      <c r="AQG224" s="26"/>
      <c r="AQH224" s="26"/>
      <c r="AQI224" s="26"/>
      <c r="AQJ224" s="26"/>
      <c r="AQK224" s="26"/>
      <c r="AQL224" s="26"/>
      <c r="AQM224" s="26"/>
      <c r="AQN224" s="26"/>
      <c r="AQO224" s="26"/>
      <c r="AQP224" s="26"/>
      <c r="AQQ224" s="26"/>
      <c r="AQR224" s="26"/>
      <c r="AQS224" s="26"/>
      <c r="AQT224" s="26"/>
      <c r="AQU224" s="26"/>
      <c r="AQV224" s="26"/>
      <c r="AQW224" s="26"/>
      <c r="AQX224" s="26"/>
      <c r="AQY224" s="26"/>
      <c r="AQZ224" s="26"/>
      <c r="ARA224" s="26"/>
      <c r="ARB224" s="26"/>
      <c r="ARC224" s="26"/>
      <c r="ARD224" s="26"/>
      <c r="ARE224" s="26"/>
      <c r="ARF224" s="26"/>
      <c r="ARG224" s="26"/>
      <c r="ARH224" s="26"/>
      <c r="ARI224" s="26"/>
      <c r="ARJ224" s="26"/>
      <c r="ARK224" s="26"/>
      <c r="ARL224" s="26"/>
      <c r="ARM224" s="26"/>
      <c r="ARN224" s="26"/>
      <c r="ARO224" s="26"/>
      <c r="ARP224" s="26"/>
      <c r="ARQ224" s="26"/>
      <c r="ARR224" s="26"/>
      <c r="ARS224" s="26"/>
      <c r="ART224" s="26"/>
      <c r="ARU224" s="26"/>
      <c r="ARV224" s="26"/>
      <c r="ARW224" s="26"/>
      <c r="ARX224" s="26"/>
      <c r="ARY224" s="26"/>
      <c r="ARZ224" s="26"/>
      <c r="ASA224" s="26"/>
      <c r="ASB224" s="26"/>
      <c r="ASC224" s="26"/>
      <c r="ASD224" s="26"/>
      <c r="ASE224" s="26"/>
      <c r="ASF224" s="26"/>
      <c r="ASG224" s="26"/>
      <c r="ASH224" s="26"/>
      <c r="ASI224" s="26"/>
      <c r="ASJ224" s="26"/>
      <c r="ASK224" s="26"/>
      <c r="ASL224" s="26"/>
      <c r="ASM224" s="26"/>
      <c r="ASN224" s="26"/>
      <c r="ASO224" s="26"/>
      <c r="ASP224" s="26"/>
      <c r="ASQ224" s="26"/>
      <c r="ASR224" s="26"/>
      <c r="ASS224" s="26"/>
      <c r="AST224" s="26"/>
      <c r="ASU224" s="26"/>
      <c r="ASV224" s="26"/>
      <c r="ASW224" s="26"/>
      <c r="ASX224" s="26"/>
      <c r="ASY224" s="26"/>
      <c r="ASZ224" s="26"/>
      <c r="ATA224" s="26"/>
      <c r="ATB224" s="26"/>
      <c r="ATC224" s="26"/>
      <c r="ATD224" s="26"/>
      <c r="ATE224" s="26"/>
      <c r="ATF224" s="26"/>
      <c r="ATG224" s="26"/>
      <c r="ATH224" s="26"/>
      <c r="ATI224" s="26"/>
      <c r="ATJ224" s="26"/>
      <c r="ATK224" s="26"/>
      <c r="ATL224" s="26"/>
      <c r="ATM224" s="26"/>
      <c r="ATN224" s="26"/>
      <c r="ATO224" s="26"/>
      <c r="ATP224" s="26"/>
      <c r="ATQ224" s="26"/>
      <c r="ATR224" s="26"/>
      <c r="ATS224" s="26"/>
      <c r="ATT224" s="26"/>
      <c r="ATU224" s="26"/>
      <c r="ATV224" s="26"/>
      <c r="ATW224" s="26"/>
      <c r="ATX224" s="26"/>
      <c r="ATY224" s="26"/>
      <c r="ATZ224" s="26"/>
      <c r="AUA224" s="26"/>
      <c r="AUB224" s="26"/>
      <c r="AUC224" s="26"/>
      <c r="AUD224" s="26"/>
      <c r="AUE224" s="26"/>
      <c r="AUF224" s="26"/>
      <c r="AUG224" s="26"/>
      <c r="AUH224" s="26"/>
      <c r="AUI224" s="26"/>
      <c r="AUJ224" s="26"/>
      <c r="AUK224" s="26"/>
      <c r="AUL224" s="26"/>
      <c r="AUM224" s="26"/>
      <c r="AUN224" s="26"/>
      <c r="AUO224" s="26"/>
      <c r="AUP224" s="26"/>
      <c r="AUQ224" s="26"/>
      <c r="AUR224" s="26"/>
      <c r="AUS224" s="26"/>
      <c r="AUT224" s="26"/>
      <c r="AUU224" s="26"/>
      <c r="AUV224" s="26"/>
      <c r="AUW224" s="26"/>
      <c r="AUX224" s="26"/>
      <c r="AUY224" s="26"/>
      <c r="AUZ224" s="26"/>
      <c r="AVA224" s="26"/>
      <c r="AVB224" s="26"/>
      <c r="AVC224" s="26"/>
      <c r="AVD224" s="26"/>
      <c r="AVE224" s="26"/>
      <c r="AVF224" s="26"/>
      <c r="AVG224" s="26"/>
      <c r="AVH224" s="26"/>
      <c r="AVI224" s="26"/>
      <c r="AVJ224" s="26"/>
      <c r="AVK224" s="26"/>
      <c r="AVL224" s="26"/>
      <c r="AVM224" s="26"/>
      <c r="AVN224" s="26"/>
      <c r="AVO224" s="26"/>
      <c r="AVP224" s="26"/>
      <c r="AVQ224" s="26"/>
      <c r="AVR224" s="26"/>
      <c r="AVS224" s="26"/>
      <c r="AVT224" s="26"/>
      <c r="AVU224" s="26"/>
      <c r="AVV224" s="26"/>
      <c r="AVW224" s="26"/>
      <c r="AVX224" s="26"/>
      <c r="AVY224" s="26"/>
      <c r="AVZ224" s="26"/>
      <c r="AWA224" s="26"/>
      <c r="AWB224" s="26"/>
      <c r="AWC224" s="26"/>
      <c r="AWD224" s="26"/>
      <c r="AWE224" s="26"/>
      <c r="AWF224" s="26"/>
      <c r="AWG224" s="26"/>
      <c r="AWH224" s="26"/>
      <c r="AWI224" s="26"/>
      <c r="AWJ224" s="26"/>
      <c r="AWK224" s="26"/>
      <c r="AWL224" s="26"/>
      <c r="AWM224" s="26"/>
      <c r="AWN224" s="26"/>
      <c r="AWO224" s="26"/>
      <c r="AWP224" s="26"/>
      <c r="AWQ224" s="26"/>
      <c r="AWR224" s="26"/>
      <c r="AWS224" s="26"/>
      <c r="AWT224" s="26"/>
      <c r="AWU224" s="26"/>
      <c r="AWV224" s="26"/>
      <c r="AWW224" s="26"/>
      <c r="AWX224" s="26"/>
      <c r="AWY224" s="26"/>
      <c r="AWZ224" s="26"/>
      <c r="AXA224" s="26"/>
      <c r="AXB224" s="26"/>
      <c r="AXC224" s="26"/>
      <c r="AXD224" s="26"/>
      <c r="AXE224" s="26"/>
      <c r="AXF224" s="26"/>
      <c r="AXG224" s="26"/>
      <c r="AXH224" s="26"/>
      <c r="AXI224" s="26"/>
      <c r="AXJ224" s="26"/>
      <c r="AXK224" s="26"/>
      <c r="AXL224" s="26"/>
      <c r="AXM224" s="26"/>
      <c r="AXN224" s="26"/>
      <c r="AXO224" s="26"/>
      <c r="AXP224" s="26"/>
      <c r="AXQ224" s="26"/>
      <c r="AXR224" s="26"/>
      <c r="AXS224" s="26"/>
      <c r="AXT224" s="26"/>
      <c r="AXU224" s="26"/>
      <c r="AXV224" s="26"/>
      <c r="AXW224" s="26"/>
      <c r="AXX224" s="26"/>
      <c r="AXY224" s="26"/>
      <c r="AXZ224" s="26"/>
      <c r="AYA224" s="26"/>
      <c r="AYB224" s="26"/>
      <c r="AYC224" s="26"/>
      <c r="AYD224" s="26"/>
      <c r="AYE224" s="26"/>
      <c r="AYF224" s="26"/>
      <c r="AYG224" s="26"/>
      <c r="AYH224" s="26"/>
      <c r="AYI224" s="26"/>
      <c r="AYJ224" s="26"/>
      <c r="AYK224" s="26"/>
      <c r="AYL224" s="26"/>
      <c r="AYM224" s="26"/>
      <c r="AYN224" s="26"/>
      <c r="AYO224" s="26"/>
      <c r="AYP224" s="26"/>
      <c r="AYQ224" s="26"/>
      <c r="AYR224" s="26"/>
      <c r="AYS224" s="26"/>
      <c r="AYT224" s="26"/>
      <c r="AYU224" s="26"/>
      <c r="AYV224" s="26"/>
      <c r="AYW224" s="26"/>
      <c r="AYX224" s="26"/>
      <c r="AYY224" s="26"/>
      <c r="AYZ224" s="26"/>
      <c r="AZA224" s="26"/>
      <c r="AZB224" s="26"/>
      <c r="AZC224" s="26"/>
      <c r="AZD224" s="26"/>
      <c r="AZE224" s="26"/>
      <c r="AZF224" s="26"/>
      <c r="AZG224" s="26"/>
      <c r="AZH224" s="26"/>
      <c r="AZI224" s="26"/>
      <c r="AZJ224" s="26"/>
      <c r="AZK224" s="26"/>
      <c r="AZL224" s="26"/>
      <c r="AZM224" s="26"/>
      <c r="AZN224" s="26"/>
      <c r="AZO224" s="26"/>
      <c r="AZP224" s="26"/>
      <c r="AZQ224" s="26"/>
      <c r="AZR224" s="26"/>
      <c r="AZS224" s="26"/>
      <c r="AZT224" s="26"/>
      <c r="AZU224" s="26"/>
      <c r="AZV224" s="26"/>
      <c r="AZW224" s="26"/>
      <c r="AZX224" s="26"/>
      <c r="AZY224" s="26"/>
      <c r="AZZ224" s="26"/>
      <c r="BAA224" s="26"/>
      <c r="BAB224" s="26"/>
      <c r="BAC224" s="26"/>
      <c r="BAD224" s="26"/>
      <c r="BAE224" s="26"/>
      <c r="BAF224" s="26"/>
      <c r="BAG224" s="26"/>
      <c r="BAH224" s="26"/>
      <c r="BAI224" s="26"/>
      <c r="BAJ224" s="26"/>
      <c r="BAK224" s="26"/>
      <c r="BAL224" s="26"/>
      <c r="BAM224" s="26"/>
      <c r="BAN224" s="26"/>
      <c r="BAO224" s="26"/>
      <c r="BAP224" s="26"/>
      <c r="BAQ224" s="26"/>
      <c r="BAR224" s="26"/>
      <c r="BAS224" s="26"/>
      <c r="BAT224" s="26"/>
      <c r="BAU224" s="26"/>
      <c r="BAV224" s="26"/>
      <c r="BAW224" s="26"/>
      <c r="BAX224" s="26"/>
      <c r="BAY224" s="26"/>
      <c r="BAZ224" s="26"/>
      <c r="BBA224" s="26"/>
      <c r="BBB224" s="26"/>
      <c r="BBC224" s="26"/>
      <c r="BBD224" s="26"/>
      <c r="BBE224" s="26"/>
      <c r="BBF224" s="26"/>
      <c r="BBG224" s="26"/>
      <c r="BBH224" s="26"/>
      <c r="BBI224" s="26"/>
      <c r="BBJ224" s="26"/>
      <c r="BBK224" s="26"/>
      <c r="BBL224" s="26"/>
      <c r="BBM224" s="26"/>
      <c r="BBN224" s="26"/>
      <c r="BBO224" s="26"/>
      <c r="BBP224" s="26"/>
      <c r="BBQ224" s="26"/>
      <c r="BBR224" s="26"/>
      <c r="BBS224" s="26"/>
      <c r="BBT224" s="26"/>
      <c r="BBU224" s="26"/>
      <c r="BBV224" s="26"/>
      <c r="BBW224" s="26"/>
      <c r="BBX224" s="26"/>
      <c r="BBY224" s="26"/>
      <c r="BBZ224" s="26"/>
      <c r="BCA224" s="26"/>
      <c r="BCB224" s="26"/>
      <c r="BCC224" s="26"/>
      <c r="BCD224" s="26"/>
      <c r="BCE224" s="26"/>
      <c r="BCF224" s="26"/>
      <c r="BCG224" s="26"/>
      <c r="BCH224" s="26"/>
      <c r="BCI224" s="26"/>
      <c r="BCJ224" s="26"/>
      <c r="BCK224" s="26"/>
      <c r="BCL224" s="26"/>
      <c r="BCM224" s="26"/>
      <c r="BCN224" s="26"/>
      <c r="BCO224" s="26"/>
      <c r="BCP224" s="26"/>
      <c r="BCQ224" s="26"/>
      <c r="BCR224" s="26"/>
      <c r="BCS224" s="26"/>
      <c r="BCT224" s="26"/>
      <c r="BCU224" s="26"/>
      <c r="BCV224" s="26"/>
      <c r="BCW224" s="26"/>
      <c r="BCX224" s="26"/>
      <c r="BCY224" s="26"/>
      <c r="BCZ224" s="26"/>
      <c r="BDA224" s="26"/>
      <c r="BDB224" s="26"/>
      <c r="BDC224" s="26"/>
      <c r="BDD224" s="26"/>
      <c r="BDE224" s="26"/>
      <c r="BDF224" s="26"/>
      <c r="BDG224" s="26"/>
      <c r="BDH224" s="26"/>
      <c r="BDI224" s="26"/>
      <c r="BDJ224" s="26"/>
      <c r="BDK224" s="26"/>
      <c r="BDL224" s="26"/>
      <c r="BDM224" s="26"/>
      <c r="BDN224" s="26"/>
      <c r="BDO224" s="26"/>
      <c r="BDP224" s="26"/>
      <c r="BDQ224" s="26"/>
      <c r="BDR224" s="26"/>
      <c r="BDS224" s="26"/>
      <c r="BDT224" s="26"/>
      <c r="BDU224" s="26"/>
      <c r="BDV224" s="26"/>
      <c r="BDW224" s="26"/>
      <c r="BDX224" s="26"/>
      <c r="BDY224" s="26"/>
      <c r="BDZ224" s="26"/>
      <c r="BEA224" s="26"/>
      <c r="BEB224" s="26"/>
      <c r="BEC224" s="26"/>
      <c r="BED224" s="26"/>
      <c r="BEE224" s="26"/>
      <c r="BEF224" s="26"/>
      <c r="BEG224" s="26"/>
      <c r="BEH224" s="26"/>
      <c r="BEI224" s="26"/>
      <c r="BEJ224" s="26"/>
      <c r="BEK224" s="26"/>
      <c r="BEL224" s="26"/>
      <c r="BEM224" s="26"/>
      <c r="BEN224" s="26"/>
      <c r="BEO224" s="26"/>
      <c r="BEP224" s="26"/>
      <c r="BEQ224" s="26"/>
      <c r="BER224" s="26"/>
      <c r="BES224" s="26"/>
      <c r="BET224" s="26"/>
      <c r="BEU224" s="26"/>
      <c r="BEV224" s="26"/>
      <c r="BEW224" s="26"/>
      <c r="BEX224" s="26"/>
      <c r="BEY224" s="26"/>
      <c r="BEZ224" s="26"/>
      <c r="BFA224" s="26"/>
      <c r="BFB224" s="26"/>
      <c r="BFC224" s="26"/>
      <c r="BFD224" s="26"/>
      <c r="BFE224" s="26"/>
      <c r="BFF224" s="26"/>
      <c r="BFG224" s="26"/>
      <c r="BFH224" s="26"/>
      <c r="BFI224" s="26"/>
      <c r="BFJ224" s="26"/>
      <c r="BFK224" s="26"/>
      <c r="BFL224" s="26"/>
      <c r="BFM224" s="26"/>
      <c r="BFN224" s="26"/>
      <c r="BFO224" s="26"/>
      <c r="BFP224" s="26"/>
      <c r="BFQ224" s="26"/>
      <c r="BFR224" s="26"/>
      <c r="BFS224" s="26"/>
      <c r="BFT224" s="26"/>
      <c r="BFU224" s="26"/>
      <c r="BFV224" s="26"/>
      <c r="BFW224" s="26"/>
      <c r="BFX224" s="26"/>
      <c r="BFY224" s="26"/>
      <c r="BFZ224" s="26"/>
      <c r="BGA224" s="26"/>
      <c r="BGB224" s="26"/>
      <c r="BGC224" s="26"/>
      <c r="BGD224" s="26"/>
      <c r="BGE224" s="26"/>
      <c r="BGF224" s="26"/>
      <c r="BGG224" s="26"/>
      <c r="BGH224" s="26"/>
      <c r="BGI224" s="26"/>
      <c r="BGJ224" s="26"/>
      <c r="BGK224" s="26"/>
      <c r="BGL224" s="26"/>
      <c r="BGM224" s="26"/>
      <c r="BGN224" s="26"/>
      <c r="BGO224" s="26"/>
      <c r="BGP224" s="26"/>
      <c r="BGQ224" s="26"/>
      <c r="BGR224" s="26"/>
      <c r="BGS224" s="26"/>
      <c r="BGT224" s="26"/>
      <c r="BGU224" s="26"/>
      <c r="BGV224" s="26"/>
      <c r="BGW224" s="26"/>
      <c r="BGX224" s="26"/>
      <c r="BGY224" s="26"/>
      <c r="BGZ224" s="26"/>
      <c r="BHA224" s="26"/>
      <c r="BHB224" s="26"/>
      <c r="BHC224" s="26"/>
      <c r="BHD224" s="26"/>
      <c r="BHE224" s="26"/>
      <c r="BHF224" s="26"/>
      <c r="BHG224" s="26"/>
      <c r="BHH224" s="26"/>
      <c r="BHI224" s="26"/>
      <c r="BHJ224" s="26"/>
      <c r="BHK224" s="26"/>
      <c r="BHL224" s="26"/>
      <c r="BHM224" s="26"/>
      <c r="BHN224" s="26"/>
      <c r="BHO224" s="26"/>
      <c r="BHP224" s="26"/>
      <c r="BHQ224" s="26"/>
      <c r="BHR224" s="26"/>
      <c r="BHS224" s="26"/>
      <c r="BHT224" s="26"/>
      <c r="BHU224" s="26"/>
      <c r="BHV224" s="26"/>
      <c r="BHW224" s="26"/>
      <c r="BHX224" s="26"/>
      <c r="BHY224" s="26"/>
      <c r="BHZ224" s="26"/>
      <c r="BIA224" s="26"/>
      <c r="BIB224" s="26"/>
      <c r="BIC224" s="26"/>
      <c r="BID224" s="26"/>
      <c r="BIE224" s="26"/>
      <c r="BIF224" s="26"/>
      <c r="BIG224" s="26"/>
      <c r="BIH224" s="26"/>
      <c r="BII224" s="26"/>
      <c r="BIJ224" s="26"/>
      <c r="BIK224" s="26"/>
      <c r="BIL224" s="26"/>
      <c r="BIM224" s="26"/>
      <c r="BIN224" s="26"/>
      <c r="BIO224" s="26"/>
      <c r="BIP224" s="26"/>
      <c r="BIQ224" s="26"/>
      <c r="BIR224" s="26"/>
      <c r="BIS224" s="26"/>
      <c r="BIT224" s="26"/>
      <c r="BIU224" s="26"/>
      <c r="BIV224" s="26"/>
      <c r="BIW224" s="26"/>
      <c r="BIX224" s="26"/>
      <c r="BIY224" s="26"/>
      <c r="BIZ224" s="26"/>
      <c r="BJA224" s="26"/>
      <c r="BJB224" s="26"/>
      <c r="BJC224" s="26"/>
      <c r="BJD224" s="26"/>
      <c r="BJE224" s="26"/>
      <c r="BJF224" s="26"/>
      <c r="BJG224" s="26"/>
      <c r="BJH224" s="26"/>
      <c r="BJI224" s="26"/>
      <c r="BJJ224" s="26"/>
      <c r="BJK224" s="26"/>
      <c r="BJL224" s="26"/>
      <c r="BJM224" s="26"/>
      <c r="BJN224" s="26"/>
      <c r="BJO224" s="26"/>
      <c r="BJP224" s="26"/>
      <c r="BJQ224" s="26"/>
      <c r="BJR224" s="26"/>
      <c r="BJS224" s="26"/>
      <c r="BJT224" s="26"/>
      <c r="BJU224" s="26"/>
      <c r="BJV224" s="26"/>
      <c r="BJW224" s="26"/>
      <c r="BJX224" s="26"/>
      <c r="BJY224" s="26"/>
      <c r="BJZ224" s="26"/>
      <c r="BKA224" s="26"/>
      <c r="BKB224" s="26"/>
      <c r="BKC224" s="26"/>
      <c r="BKD224" s="26"/>
      <c r="BKE224" s="26"/>
      <c r="BKF224" s="26"/>
      <c r="BKG224" s="26"/>
      <c r="BKH224" s="26"/>
      <c r="BKI224" s="26"/>
      <c r="BKJ224" s="26"/>
      <c r="BKK224" s="26"/>
      <c r="BKL224" s="26"/>
      <c r="BKM224" s="26"/>
      <c r="BKN224" s="26"/>
      <c r="BKO224" s="26"/>
      <c r="BKP224" s="26"/>
      <c r="BKQ224" s="26"/>
      <c r="BKR224" s="26"/>
      <c r="BKS224" s="26"/>
      <c r="BKT224" s="26"/>
      <c r="BKU224" s="26"/>
      <c r="BKV224" s="26"/>
      <c r="BKW224" s="26"/>
      <c r="BKX224" s="26"/>
      <c r="BKY224" s="26"/>
      <c r="BKZ224" s="26"/>
      <c r="BLA224" s="26"/>
      <c r="BLB224" s="26"/>
      <c r="BLC224" s="26"/>
      <c r="BLD224" s="26"/>
      <c r="BLE224" s="26"/>
      <c r="BLF224" s="26"/>
      <c r="BLG224" s="26"/>
      <c r="BLH224" s="26"/>
      <c r="BLI224" s="26"/>
      <c r="BLJ224" s="26"/>
      <c r="BLK224" s="26"/>
      <c r="BLL224" s="26"/>
      <c r="BLM224" s="26"/>
      <c r="BLN224" s="26"/>
      <c r="BLO224" s="26"/>
      <c r="BLP224" s="26"/>
      <c r="BLQ224" s="26"/>
      <c r="BLR224" s="26"/>
      <c r="BLS224" s="26"/>
      <c r="BLT224" s="26"/>
      <c r="BLU224" s="26"/>
      <c r="BLV224" s="26"/>
      <c r="BLW224" s="26"/>
      <c r="BLX224" s="26"/>
      <c r="BLY224" s="26"/>
      <c r="BLZ224" s="26"/>
      <c r="BMA224" s="26"/>
      <c r="BMB224" s="26"/>
      <c r="BMC224" s="26"/>
      <c r="BMD224" s="26"/>
      <c r="BME224" s="26"/>
      <c r="BMF224" s="26"/>
      <c r="BMG224" s="26"/>
      <c r="BMH224" s="26"/>
      <c r="BMI224" s="26"/>
      <c r="BMJ224" s="26"/>
      <c r="BMK224" s="26"/>
      <c r="BML224" s="26"/>
      <c r="BMM224" s="26"/>
      <c r="BMN224" s="26"/>
      <c r="BMO224" s="26"/>
      <c r="BMP224" s="26"/>
      <c r="BMQ224" s="26"/>
      <c r="BMR224" s="26"/>
      <c r="BMS224" s="26"/>
      <c r="BMT224" s="26"/>
      <c r="BMU224" s="26"/>
      <c r="BMV224" s="26"/>
      <c r="BMW224" s="26"/>
      <c r="BMX224" s="26"/>
      <c r="BMY224" s="26"/>
      <c r="BMZ224" s="26"/>
      <c r="BNA224" s="26"/>
      <c r="BNB224" s="26"/>
      <c r="BNC224" s="26"/>
      <c r="BND224" s="26"/>
      <c r="BNE224" s="26"/>
      <c r="BNF224" s="26"/>
      <c r="BNG224" s="26"/>
      <c r="BNH224" s="26"/>
      <c r="BNI224" s="26"/>
      <c r="BNJ224" s="26"/>
      <c r="BNK224" s="26"/>
      <c r="BNL224" s="26"/>
      <c r="BNM224" s="26"/>
      <c r="BNN224" s="26"/>
      <c r="BNO224" s="26"/>
      <c r="BNP224" s="26"/>
      <c r="BNQ224" s="26"/>
      <c r="BNR224" s="26"/>
      <c r="BNS224" s="26"/>
      <c r="BNT224" s="26"/>
      <c r="BNU224" s="26"/>
      <c r="BNV224" s="26"/>
      <c r="BNW224" s="26"/>
      <c r="BNX224" s="26"/>
      <c r="BNY224" s="26"/>
      <c r="BNZ224" s="26"/>
      <c r="BOA224" s="26"/>
      <c r="BOB224" s="26"/>
      <c r="BOC224" s="26"/>
      <c r="BOD224" s="26"/>
      <c r="BOE224" s="26"/>
      <c r="BOF224" s="26"/>
      <c r="BOG224" s="26"/>
      <c r="BOH224" s="26"/>
      <c r="BOI224" s="26"/>
      <c r="BOJ224" s="26"/>
      <c r="BOK224" s="26"/>
      <c r="BOL224" s="26"/>
      <c r="BOM224" s="26"/>
      <c r="BON224" s="26"/>
      <c r="BOO224" s="26"/>
      <c r="BOP224" s="26"/>
      <c r="BOQ224" s="26"/>
      <c r="BOR224" s="26"/>
      <c r="BOS224" s="26"/>
      <c r="BOT224" s="26"/>
      <c r="BOU224" s="26"/>
      <c r="BOV224" s="26"/>
      <c r="BOW224" s="26"/>
      <c r="BOX224" s="26"/>
      <c r="BOY224" s="26"/>
      <c r="BOZ224" s="26"/>
      <c r="BPA224" s="26"/>
      <c r="BPB224" s="26"/>
      <c r="BPC224" s="26"/>
      <c r="BPD224" s="26"/>
      <c r="BPE224" s="26"/>
      <c r="BPF224" s="26"/>
      <c r="BPG224" s="26"/>
      <c r="BPH224" s="26"/>
      <c r="BPI224" s="26"/>
      <c r="BPJ224" s="26"/>
      <c r="BPK224" s="26"/>
      <c r="BPL224" s="26"/>
      <c r="BPM224" s="26"/>
      <c r="BPN224" s="26"/>
      <c r="BPO224" s="26"/>
      <c r="BPP224" s="26"/>
      <c r="BPQ224" s="26"/>
      <c r="BPR224" s="26"/>
      <c r="BPS224" s="26"/>
      <c r="BPT224" s="26"/>
      <c r="BPU224" s="26"/>
      <c r="BPV224" s="26"/>
      <c r="BPW224" s="26"/>
      <c r="BPX224" s="26"/>
      <c r="BPY224" s="26"/>
      <c r="BPZ224" s="26"/>
      <c r="BQA224" s="26"/>
      <c r="BQB224" s="26"/>
      <c r="BQC224" s="26"/>
      <c r="BQD224" s="26"/>
      <c r="BQE224" s="26"/>
      <c r="BQF224" s="26"/>
      <c r="BQG224" s="26"/>
      <c r="BQH224" s="26"/>
      <c r="BQI224" s="26"/>
      <c r="BQJ224" s="26"/>
      <c r="BQK224" s="26"/>
      <c r="BQL224" s="26"/>
      <c r="BQM224" s="26"/>
      <c r="BQN224" s="26"/>
      <c r="BQO224" s="26"/>
      <c r="BQP224" s="26"/>
      <c r="BQQ224" s="26"/>
      <c r="BQR224" s="26"/>
      <c r="BQS224" s="26"/>
      <c r="BQT224" s="26"/>
      <c r="BQU224" s="26"/>
      <c r="BQV224" s="26"/>
      <c r="BQW224" s="26"/>
      <c r="BQX224" s="26"/>
      <c r="BQY224" s="26"/>
      <c r="BQZ224" s="26"/>
      <c r="BRA224" s="26"/>
      <c r="BRB224" s="26"/>
      <c r="BRC224" s="26"/>
      <c r="BRD224" s="26"/>
      <c r="BRE224" s="26"/>
      <c r="BRF224" s="26"/>
      <c r="BRG224" s="26"/>
      <c r="BRH224" s="26"/>
      <c r="BRI224" s="26"/>
      <c r="BRJ224" s="26"/>
      <c r="BRK224" s="26"/>
      <c r="BRL224" s="26"/>
      <c r="BRM224" s="26"/>
      <c r="BRN224" s="26"/>
      <c r="BRO224" s="26"/>
      <c r="BRP224" s="26"/>
      <c r="BRQ224" s="26"/>
      <c r="BRR224" s="26"/>
      <c r="BRS224" s="26"/>
      <c r="BRT224" s="26"/>
      <c r="BRU224" s="26"/>
      <c r="BRV224" s="26"/>
      <c r="BRW224" s="26"/>
      <c r="BRX224" s="26"/>
      <c r="BRY224" s="26"/>
      <c r="BRZ224" s="26"/>
      <c r="BSA224" s="26"/>
      <c r="BSB224" s="26"/>
      <c r="BSC224" s="26"/>
      <c r="BSD224" s="26"/>
      <c r="BSE224" s="26"/>
      <c r="BSF224" s="26"/>
      <c r="BSG224" s="26"/>
      <c r="BSH224" s="26"/>
      <c r="BSI224" s="26"/>
      <c r="BSJ224" s="26"/>
      <c r="BSK224" s="26"/>
      <c r="BSL224" s="26"/>
      <c r="BSM224" s="26"/>
      <c r="BSN224" s="26"/>
      <c r="BSO224" s="26"/>
      <c r="BSP224" s="26"/>
      <c r="BSQ224" s="26"/>
      <c r="BSR224" s="26"/>
      <c r="BSS224" s="26"/>
      <c r="BST224" s="26"/>
      <c r="BSU224" s="26"/>
      <c r="BSV224" s="26"/>
      <c r="BSW224" s="26"/>
      <c r="BSX224" s="26"/>
      <c r="BSY224" s="26"/>
      <c r="BSZ224" s="26"/>
      <c r="BTA224" s="26"/>
      <c r="BTB224" s="26"/>
      <c r="BTC224" s="26"/>
      <c r="BTD224" s="26"/>
      <c r="BTE224" s="26"/>
      <c r="BTF224" s="26"/>
      <c r="BTG224" s="26"/>
      <c r="BTH224" s="26"/>
      <c r="BTI224" s="26"/>
      <c r="BTJ224" s="26"/>
      <c r="BTK224" s="26"/>
      <c r="BTL224" s="26"/>
      <c r="BTM224" s="26"/>
      <c r="BTN224" s="26"/>
      <c r="BTO224" s="26"/>
      <c r="BTP224" s="26"/>
      <c r="BTQ224" s="26"/>
      <c r="BTR224" s="26"/>
      <c r="BTS224" s="26"/>
      <c r="BTT224" s="26"/>
      <c r="BTU224" s="26"/>
      <c r="BTV224" s="26"/>
      <c r="BTW224" s="26"/>
      <c r="BTX224" s="26"/>
      <c r="BTY224" s="26"/>
      <c r="BTZ224" s="26"/>
      <c r="BUA224" s="26"/>
      <c r="BUB224" s="26"/>
      <c r="BUC224" s="26"/>
      <c r="BUD224" s="26"/>
      <c r="BUE224" s="26"/>
      <c r="BUF224" s="26"/>
      <c r="BUG224" s="26"/>
      <c r="BUH224" s="26"/>
      <c r="BUI224" s="26"/>
      <c r="BUJ224" s="26"/>
      <c r="BUK224" s="26"/>
      <c r="BUL224" s="26"/>
      <c r="BUM224" s="26"/>
      <c r="BUN224" s="26"/>
      <c r="BUO224" s="26"/>
      <c r="BUP224" s="26"/>
      <c r="BUQ224" s="26"/>
      <c r="BUR224" s="26"/>
      <c r="BUS224" s="26"/>
      <c r="BUT224" s="26"/>
      <c r="BUU224" s="26"/>
      <c r="BUV224" s="26"/>
      <c r="BUW224" s="26"/>
      <c r="BUX224" s="26"/>
      <c r="BUY224" s="26"/>
      <c r="BUZ224" s="26"/>
      <c r="BVA224" s="26"/>
      <c r="BVB224" s="26"/>
      <c r="BVC224" s="26"/>
      <c r="BVD224" s="26"/>
      <c r="BVE224" s="26"/>
      <c r="BVF224" s="26"/>
      <c r="BVG224" s="26"/>
      <c r="BVH224" s="26"/>
      <c r="BVI224" s="26"/>
      <c r="BVJ224" s="26"/>
      <c r="BVK224" s="26"/>
      <c r="BVL224" s="26"/>
      <c r="BVM224" s="26"/>
      <c r="BVN224" s="26"/>
      <c r="BVO224" s="26"/>
      <c r="BVP224" s="26"/>
      <c r="BVQ224" s="26"/>
      <c r="BVR224" s="26"/>
      <c r="BVS224" s="26"/>
      <c r="BVT224" s="26"/>
      <c r="BVU224" s="26"/>
      <c r="BVV224" s="26"/>
      <c r="BVW224" s="26"/>
      <c r="BVX224" s="26"/>
      <c r="BVY224" s="26"/>
      <c r="BVZ224" s="26"/>
      <c r="BWA224" s="26"/>
      <c r="BWB224" s="26"/>
      <c r="BWC224" s="26"/>
      <c r="BWD224" s="26"/>
      <c r="BWE224" s="26"/>
      <c r="BWF224" s="26"/>
      <c r="BWG224" s="26"/>
      <c r="BWH224" s="26"/>
      <c r="BWI224" s="26"/>
      <c r="BWJ224" s="26"/>
      <c r="BWK224" s="26"/>
      <c r="BWL224" s="26"/>
      <c r="BWM224" s="26"/>
      <c r="BWN224" s="26"/>
      <c r="BWO224" s="26"/>
      <c r="BWP224" s="26"/>
      <c r="BWQ224" s="26"/>
      <c r="BWR224" s="26"/>
      <c r="BWS224" s="26"/>
      <c r="BWT224" s="26"/>
      <c r="BWU224" s="26"/>
      <c r="BWV224" s="26"/>
      <c r="BWW224" s="26"/>
      <c r="BWX224" s="26"/>
      <c r="BWY224" s="26"/>
      <c r="BWZ224" s="26"/>
      <c r="BXA224" s="26"/>
      <c r="BXB224" s="26"/>
      <c r="BXC224" s="26"/>
      <c r="BXD224" s="26"/>
      <c r="BXE224" s="26"/>
      <c r="BXF224" s="26"/>
      <c r="BXG224" s="26"/>
      <c r="BXH224" s="26"/>
      <c r="BXI224" s="26"/>
      <c r="BXJ224" s="26"/>
      <c r="BXK224" s="26"/>
      <c r="BXL224" s="26"/>
      <c r="BXM224" s="26"/>
      <c r="BXN224" s="26"/>
      <c r="BXO224" s="26"/>
      <c r="BXP224" s="26"/>
      <c r="BXQ224" s="26"/>
      <c r="BXR224" s="26"/>
      <c r="BXS224" s="26"/>
      <c r="BXT224" s="26"/>
      <c r="BXU224" s="26"/>
      <c r="BXV224" s="26"/>
      <c r="BXW224" s="26"/>
      <c r="BXX224" s="26"/>
      <c r="BXY224" s="26"/>
      <c r="BXZ224" s="26"/>
      <c r="BYA224" s="26"/>
      <c r="BYB224" s="26"/>
      <c r="BYC224" s="26"/>
      <c r="BYD224" s="26"/>
      <c r="BYE224" s="26"/>
      <c r="BYF224" s="26"/>
      <c r="BYG224" s="26"/>
      <c r="BYH224" s="26"/>
      <c r="BYI224" s="26"/>
      <c r="BYJ224" s="26"/>
      <c r="BYK224" s="26"/>
      <c r="BYL224" s="26"/>
      <c r="BYM224" s="26"/>
      <c r="BYN224" s="26"/>
      <c r="BYO224" s="26"/>
      <c r="BYP224" s="26"/>
      <c r="BYQ224" s="26"/>
      <c r="BYR224" s="26"/>
      <c r="BYS224" s="26"/>
      <c r="BYT224" s="26"/>
      <c r="BYU224" s="26"/>
      <c r="BYV224" s="26"/>
      <c r="BYW224" s="26"/>
      <c r="BYX224" s="26"/>
      <c r="BYY224" s="26"/>
      <c r="BYZ224" s="26"/>
      <c r="BZA224" s="26"/>
      <c r="BZB224" s="26"/>
      <c r="BZC224" s="26"/>
      <c r="BZD224" s="26"/>
      <c r="BZE224" s="26"/>
      <c r="BZF224" s="26"/>
      <c r="BZG224" s="26"/>
      <c r="BZH224" s="26"/>
      <c r="BZI224" s="26"/>
      <c r="BZJ224" s="26"/>
      <c r="BZK224" s="26"/>
      <c r="BZL224" s="26"/>
      <c r="BZM224" s="26"/>
      <c r="BZN224" s="26"/>
      <c r="BZO224" s="26"/>
      <c r="BZP224" s="26"/>
      <c r="BZQ224" s="26"/>
      <c r="BZR224" s="26"/>
      <c r="BZS224" s="26"/>
      <c r="BZT224" s="26"/>
      <c r="BZU224" s="26"/>
      <c r="BZV224" s="26"/>
      <c r="BZW224" s="26"/>
      <c r="BZX224" s="26"/>
      <c r="BZY224" s="26"/>
      <c r="BZZ224" s="26"/>
      <c r="CAA224" s="26"/>
      <c r="CAB224" s="26"/>
      <c r="CAC224" s="26"/>
      <c r="CAD224" s="26"/>
      <c r="CAE224" s="26"/>
      <c r="CAF224" s="26"/>
      <c r="CAG224" s="26"/>
      <c r="CAH224" s="26"/>
      <c r="CAI224" s="26"/>
      <c r="CAJ224" s="26"/>
      <c r="CAK224" s="26"/>
      <c r="CAL224" s="26"/>
      <c r="CAM224" s="26"/>
      <c r="CAN224" s="26"/>
      <c r="CAO224" s="26"/>
      <c r="CAP224" s="26"/>
      <c r="CAQ224" s="26"/>
      <c r="CAR224" s="26"/>
      <c r="CAS224" s="26"/>
      <c r="CAT224" s="26"/>
      <c r="CAU224" s="26"/>
      <c r="CAV224" s="26"/>
      <c r="CAW224" s="26"/>
      <c r="CAX224" s="26"/>
      <c r="CAY224" s="26"/>
      <c r="CAZ224" s="26"/>
      <c r="CBA224" s="26"/>
      <c r="CBB224" s="26"/>
      <c r="CBC224" s="26"/>
      <c r="CBD224" s="26"/>
      <c r="CBE224" s="26"/>
      <c r="CBF224" s="26"/>
      <c r="CBG224" s="26"/>
      <c r="CBH224" s="26"/>
      <c r="CBI224" s="26"/>
    </row>
    <row r="225" spans="1:2089" s="53" customFormat="1" ht="14" customHeight="1">
      <c r="A225" s="27">
        <v>224</v>
      </c>
      <c r="B225" s="27" t="s">
        <v>384</v>
      </c>
      <c r="C225" s="26">
        <v>1991</v>
      </c>
      <c r="D225" s="26" t="s">
        <v>18</v>
      </c>
      <c r="E225" s="26" t="s">
        <v>566</v>
      </c>
      <c r="F225" s="77" t="s">
        <v>175</v>
      </c>
      <c r="G225" s="2" t="s">
        <v>84</v>
      </c>
      <c r="H225" s="2" t="s">
        <v>24</v>
      </c>
      <c r="I225" s="2" t="s">
        <v>175</v>
      </c>
      <c r="J225" s="2" t="s">
        <v>604</v>
      </c>
      <c r="K225" s="2" t="s">
        <v>548</v>
      </c>
      <c r="L225" s="2" t="s">
        <v>548</v>
      </c>
      <c r="M225" s="2" t="s">
        <v>175</v>
      </c>
      <c r="N225" s="2" t="s">
        <v>609</v>
      </c>
      <c r="O225" s="2" t="s">
        <v>60</v>
      </c>
      <c r="P225" s="2" t="s">
        <v>609</v>
      </c>
      <c r="Q225" s="2" t="s">
        <v>42</v>
      </c>
      <c r="R225" s="79" t="s">
        <v>613</v>
      </c>
      <c r="S225" s="2">
        <v>1</v>
      </c>
      <c r="T225" s="26">
        <v>144</v>
      </c>
      <c r="U225" s="77">
        <v>1</v>
      </c>
      <c r="V225" s="26">
        <v>0</v>
      </c>
      <c r="W225" s="26">
        <v>1</v>
      </c>
      <c r="X225" s="26">
        <v>1</v>
      </c>
      <c r="Y225" s="26">
        <v>1</v>
      </c>
      <c r="Z225" s="26">
        <v>0</v>
      </c>
      <c r="AA225" s="26">
        <v>1</v>
      </c>
      <c r="AB225" s="26">
        <v>1</v>
      </c>
      <c r="AC225" s="26" t="s">
        <v>70</v>
      </c>
      <c r="AD225" s="26" t="s">
        <v>70</v>
      </c>
      <c r="AE225" s="26" t="s">
        <v>70</v>
      </c>
      <c r="AF225" s="26" t="s">
        <v>70</v>
      </c>
      <c r="AG225" s="26" t="s">
        <v>70</v>
      </c>
      <c r="AH225" s="26" t="s">
        <v>70</v>
      </c>
      <c r="AI225" s="26" t="s">
        <v>70</v>
      </c>
      <c r="AJ225" s="26" t="s">
        <v>70</v>
      </c>
      <c r="AK225" s="26" t="s">
        <v>70</v>
      </c>
      <c r="AL225" s="26" t="s">
        <v>70</v>
      </c>
      <c r="AM225" s="35" t="s">
        <v>175</v>
      </c>
      <c r="AN225" s="26" t="s">
        <v>274</v>
      </c>
      <c r="AO225" s="35" t="s">
        <v>548</v>
      </c>
      <c r="AP225" s="35" t="s">
        <v>548</v>
      </c>
      <c r="AQ225" s="35" t="s">
        <v>548</v>
      </c>
      <c r="AR225" s="35" t="s">
        <v>548</v>
      </c>
      <c r="AS225" s="26" t="s">
        <v>548</v>
      </c>
      <c r="AT225" s="26" t="s">
        <v>70</v>
      </c>
      <c r="AU225" s="26" t="s">
        <v>70</v>
      </c>
      <c r="AV225" s="26">
        <v>9</v>
      </c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  <c r="GR225" s="26"/>
      <c r="GS225" s="26"/>
      <c r="GT225" s="26"/>
      <c r="GU225" s="26"/>
      <c r="GV225" s="26"/>
      <c r="GW225" s="26"/>
      <c r="GX225" s="26"/>
      <c r="GY225" s="26"/>
      <c r="GZ225" s="26"/>
      <c r="HA225" s="26"/>
      <c r="HB225" s="26"/>
      <c r="HC225" s="26"/>
      <c r="HD225" s="26"/>
      <c r="HE225" s="26"/>
      <c r="HF225" s="26"/>
      <c r="HG225" s="26"/>
      <c r="HH225" s="26"/>
      <c r="HI225" s="26"/>
      <c r="HJ225" s="26"/>
      <c r="HK225" s="26"/>
      <c r="HL225" s="26"/>
      <c r="HM225" s="26"/>
      <c r="HN225" s="26"/>
      <c r="HO225" s="26"/>
      <c r="HP225" s="26"/>
      <c r="HQ225" s="26"/>
      <c r="HR225" s="26"/>
      <c r="HS225" s="26"/>
      <c r="HT225" s="26"/>
      <c r="HU225" s="26"/>
      <c r="HV225" s="26"/>
      <c r="HW225" s="26"/>
      <c r="HX225" s="26"/>
      <c r="HY225" s="26"/>
      <c r="HZ225" s="26"/>
      <c r="IA225" s="26"/>
      <c r="IB225" s="26"/>
      <c r="IC225" s="26"/>
      <c r="ID225" s="26"/>
      <c r="IE225" s="26"/>
      <c r="IF225" s="26"/>
      <c r="IG225" s="26"/>
      <c r="IH225" s="26"/>
      <c r="II225" s="26"/>
      <c r="IJ225" s="26"/>
      <c r="IK225" s="26"/>
      <c r="IL225" s="26"/>
      <c r="IM225" s="26"/>
      <c r="IN225" s="26"/>
      <c r="IO225" s="26"/>
      <c r="IP225" s="26"/>
      <c r="IQ225" s="26"/>
      <c r="IR225" s="26"/>
      <c r="IS225" s="26"/>
      <c r="IT225" s="26"/>
      <c r="IU225" s="26"/>
      <c r="IV225" s="26"/>
      <c r="IW225" s="26"/>
      <c r="IX225" s="26"/>
      <c r="IY225" s="26"/>
      <c r="IZ225" s="26"/>
      <c r="JA225" s="26"/>
      <c r="JB225" s="26"/>
      <c r="JC225" s="26"/>
      <c r="JD225" s="26"/>
      <c r="JE225" s="26"/>
      <c r="JF225" s="26"/>
      <c r="JG225" s="26"/>
      <c r="JH225" s="26"/>
      <c r="JI225" s="26"/>
      <c r="JJ225" s="26"/>
      <c r="JK225" s="26"/>
      <c r="JL225" s="26"/>
      <c r="JM225" s="26"/>
      <c r="JN225" s="26"/>
      <c r="JO225" s="26"/>
      <c r="JP225" s="26"/>
      <c r="JQ225" s="26"/>
      <c r="JR225" s="26"/>
      <c r="JS225" s="26"/>
      <c r="JT225" s="26"/>
      <c r="JU225" s="26"/>
      <c r="JV225" s="26"/>
      <c r="JW225" s="26"/>
      <c r="JX225" s="26"/>
      <c r="JY225" s="26"/>
      <c r="JZ225" s="26"/>
      <c r="KA225" s="26"/>
      <c r="KB225" s="26"/>
      <c r="KC225" s="26"/>
      <c r="KD225" s="26"/>
      <c r="KE225" s="26"/>
      <c r="KF225" s="26"/>
      <c r="KG225" s="26"/>
      <c r="KH225" s="26"/>
      <c r="KI225" s="26"/>
      <c r="KJ225" s="26"/>
      <c r="KK225" s="26"/>
      <c r="KL225" s="26"/>
      <c r="KM225" s="26"/>
      <c r="KN225" s="26"/>
      <c r="KO225" s="26"/>
      <c r="KP225" s="26"/>
      <c r="KQ225" s="26"/>
      <c r="KR225" s="26"/>
      <c r="KS225" s="26"/>
      <c r="KT225" s="26"/>
      <c r="KU225" s="26"/>
      <c r="KV225" s="26"/>
      <c r="KW225" s="26"/>
      <c r="KX225" s="26"/>
      <c r="KY225" s="26"/>
      <c r="KZ225" s="26"/>
      <c r="LA225" s="26"/>
      <c r="LB225" s="26"/>
      <c r="LC225" s="26"/>
      <c r="LD225" s="26"/>
      <c r="LE225" s="26"/>
      <c r="LF225" s="26"/>
      <c r="LG225" s="26"/>
      <c r="LH225" s="26"/>
      <c r="LI225" s="26"/>
      <c r="LJ225" s="26"/>
      <c r="LK225" s="26"/>
      <c r="LL225" s="26"/>
      <c r="LM225" s="26"/>
      <c r="LN225" s="26"/>
      <c r="LO225" s="26"/>
      <c r="LP225" s="26"/>
      <c r="LQ225" s="26"/>
      <c r="LR225" s="26"/>
      <c r="LS225" s="26"/>
      <c r="LT225" s="26"/>
      <c r="LU225" s="26"/>
      <c r="LV225" s="26"/>
      <c r="LW225" s="26"/>
      <c r="LX225" s="26"/>
      <c r="LY225" s="26"/>
      <c r="LZ225" s="26"/>
      <c r="MA225" s="26"/>
      <c r="MB225" s="26"/>
      <c r="MC225" s="26"/>
      <c r="MD225" s="26"/>
      <c r="ME225" s="26"/>
      <c r="MF225" s="26"/>
      <c r="MG225" s="26"/>
      <c r="MH225" s="26"/>
      <c r="MI225" s="26"/>
      <c r="MJ225" s="26"/>
      <c r="MK225" s="26"/>
      <c r="ML225" s="26"/>
      <c r="MM225" s="26"/>
      <c r="MN225" s="26"/>
      <c r="MO225" s="26"/>
      <c r="MP225" s="26"/>
      <c r="MQ225" s="26"/>
      <c r="MR225" s="26"/>
      <c r="MS225" s="26"/>
      <c r="MT225" s="26"/>
      <c r="MU225" s="26"/>
      <c r="MV225" s="26"/>
      <c r="MW225" s="26"/>
      <c r="MX225" s="26"/>
      <c r="MY225" s="26"/>
      <c r="MZ225" s="26"/>
      <c r="NA225" s="26"/>
      <c r="NB225" s="26"/>
      <c r="NC225" s="26"/>
      <c r="ND225" s="26"/>
      <c r="NE225" s="26"/>
      <c r="NF225" s="26"/>
      <c r="NG225" s="26"/>
      <c r="NH225" s="26"/>
      <c r="NI225" s="26"/>
      <c r="NJ225" s="26"/>
      <c r="NK225" s="26"/>
      <c r="NL225" s="26"/>
      <c r="NM225" s="26"/>
      <c r="NN225" s="26"/>
      <c r="NO225" s="26"/>
      <c r="NP225" s="26"/>
      <c r="NQ225" s="26"/>
      <c r="NR225" s="26"/>
      <c r="NS225" s="26"/>
      <c r="NT225" s="26"/>
      <c r="NU225" s="26"/>
      <c r="NV225" s="26"/>
      <c r="NW225" s="26"/>
      <c r="NX225" s="26"/>
      <c r="NY225" s="26"/>
      <c r="NZ225" s="26"/>
      <c r="OA225" s="26"/>
      <c r="OB225" s="26"/>
      <c r="OC225" s="26"/>
      <c r="OD225" s="26"/>
      <c r="OE225" s="26"/>
      <c r="OF225" s="26"/>
      <c r="OG225" s="26"/>
      <c r="OH225" s="26"/>
      <c r="OI225" s="26"/>
      <c r="OJ225" s="26"/>
      <c r="OK225" s="26"/>
      <c r="OL225" s="26"/>
      <c r="OM225" s="26"/>
      <c r="ON225" s="26"/>
      <c r="OO225" s="26"/>
      <c r="OP225" s="26"/>
      <c r="OQ225" s="26"/>
      <c r="OR225" s="26"/>
      <c r="OS225" s="26"/>
      <c r="OT225" s="26"/>
      <c r="OU225" s="26"/>
      <c r="OV225" s="26"/>
      <c r="OW225" s="26"/>
      <c r="OX225" s="26"/>
      <c r="OY225" s="26"/>
      <c r="OZ225" s="26"/>
      <c r="PA225" s="26"/>
      <c r="PB225" s="26"/>
      <c r="PC225" s="26"/>
      <c r="PD225" s="26"/>
      <c r="PE225" s="26"/>
      <c r="PF225" s="26"/>
      <c r="PG225" s="26"/>
      <c r="PH225" s="26"/>
      <c r="PI225" s="26"/>
      <c r="PJ225" s="26"/>
      <c r="PK225" s="26"/>
      <c r="PL225" s="26"/>
      <c r="PM225" s="26"/>
      <c r="PN225" s="26"/>
      <c r="PO225" s="26"/>
      <c r="PP225" s="26"/>
      <c r="PQ225" s="26"/>
      <c r="PR225" s="26"/>
      <c r="PS225" s="26"/>
      <c r="PT225" s="26"/>
      <c r="PU225" s="26"/>
      <c r="PV225" s="26"/>
      <c r="PW225" s="26"/>
      <c r="PX225" s="26"/>
      <c r="PY225" s="26"/>
      <c r="PZ225" s="26"/>
      <c r="QA225" s="26"/>
      <c r="QB225" s="26"/>
      <c r="QC225" s="26"/>
      <c r="QD225" s="26"/>
      <c r="QE225" s="26"/>
      <c r="QF225" s="26"/>
      <c r="QG225" s="26"/>
      <c r="QH225" s="26"/>
      <c r="QI225" s="26"/>
      <c r="QJ225" s="26"/>
      <c r="QK225" s="26"/>
      <c r="QL225" s="26"/>
      <c r="QM225" s="26"/>
      <c r="QN225" s="26"/>
      <c r="QO225" s="26"/>
      <c r="QP225" s="26"/>
      <c r="QQ225" s="26"/>
      <c r="QR225" s="26"/>
      <c r="QS225" s="26"/>
      <c r="QT225" s="26"/>
      <c r="QU225" s="26"/>
      <c r="QV225" s="26"/>
      <c r="QW225" s="26"/>
      <c r="QX225" s="26"/>
      <c r="QY225" s="26"/>
      <c r="QZ225" s="26"/>
      <c r="RA225" s="26"/>
      <c r="RB225" s="26"/>
      <c r="RC225" s="26"/>
      <c r="RD225" s="26"/>
      <c r="RE225" s="26"/>
      <c r="RF225" s="26"/>
      <c r="RG225" s="26"/>
      <c r="RH225" s="26"/>
      <c r="RI225" s="26"/>
      <c r="RJ225" s="26"/>
      <c r="RK225" s="26"/>
      <c r="RL225" s="26"/>
      <c r="RM225" s="26"/>
      <c r="RN225" s="26"/>
      <c r="RO225" s="26"/>
      <c r="RP225" s="26"/>
      <c r="RQ225" s="26"/>
      <c r="RR225" s="26"/>
      <c r="RS225" s="26"/>
      <c r="RT225" s="26"/>
      <c r="RU225" s="26"/>
      <c r="RV225" s="26"/>
      <c r="RW225" s="26"/>
      <c r="RX225" s="26"/>
      <c r="RY225" s="26"/>
      <c r="RZ225" s="26"/>
      <c r="SA225" s="26"/>
      <c r="SB225" s="26"/>
      <c r="SC225" s="26"/>
      <c r="SD225" s="26"/>
      <c r="SE225" s="26"/>
      <c r="SF225" s="26"/>
      <c r="SG225" s="26"/>
      <c r="SH225" s="26"/>
      <c r="SI225" s="26"/>
      <c r="SJ225" s="26"/>
      <c r="SK225" s="26"/>
      <c r="SL225" s="26"/>
      <c r="SM225" s="26"/>
      <c r="SN225" s="26"/>
      <c r="SO225" s="26"/>
      <c r="SP225" s="26"/>
      <c r="SQ225" s="26"/>
      <c r="SR225" s="26"/>
      <c r="SS225" s="26"/>
      <c r="ST225" s="26"/>
      <c r="SU225" s="26"/>
      <c r="SV225" s="26"/>
      <c r="SW225" s="26"/>
      <c r="SX225" s="26"/>
      <c r="SY225" s="26"/>
      <c r="SZ225" s="26"/>
      <c r="TA225" s="26"/>
      <c r="TB225" s="26"/>
      <c r="TC225" s="26"/>
      <c r="TD225" s="26"/>
      <c r="TE225" s="26"/>
      <c r="TF225" s="26"/>
      <c r="TG225" s="26"/>
      <c r="TH225" s="26"/>
      <c r="TI225" s="26"/>
      <c r="TJ225" s="26"/>
      <c r="TK225" s="26"/>
      <c r="TL225" s="26"/>
      <c r="TM225" s="26"/>
      <c r="TN225" s="26"/>
      <c r="TO225" s="26"/>
      <c r="TP225" s="26"/>
      <c r="TQ225" s="26"/>
      <c r="TR225" s="26"/>
      <c r="TS225" s="26"/>
      <c r="TT225" s="26"/>
      <c r="TU225" s="26"/>
      <c r="TV225" s="26"/>
      <c r="TW225" s="26"/>
      <c r="TX225" s="26"/>
      <c r="TY225" s="26"/>
      <c r="TZ225" s="26"/>
      <c r="UA225" s="26"/>
      <c r="UB225" s="26"/>
      <c r="UC225" s="26"/>
      <c r="UD225" s="26"/>
      <c r="UE225" s="26"/>
      <c r="UF225" s="26"/>
      <c r="UG225" s="26"/>
      <c r="UH225" s="26"/>
      <c r="UI225" s="26"/>
      <c r="UJ225" s="26"/>
      <c r="UK225" s="26"/>
      <c r="UL225" s="26"/>
      <c r="UM225" s="26"/>
      <c r="UN225" s="26"/>
      <c r="UO225" s="26"/>
      <c r="UP225" s="26"/>
      <c r="UQ225" s="26"/>
      <c r="UR225" s="26"/>
      <c r="US225" s="26"/>
      <c r="UT225" s="26"/>
      <c r="UU225" s="26"/>
      <c r="UV225" s="26"/>
      <c r="UW225" s="26"/>
      <c r="UX225" s="26"/>
      <c r="UY225" s="26"/>
      <c r="UZ225" s="26"/>
      <c r="VA225" s="26"/>
      <c r="VB225" s="26"/>
      <c r="VC225" s="26"/>
      <c r="VD225" s="26"/>
      <c r="VE225" s="26"/>
      <c r="VF225" s="26"/>
      <c r="VG225" s="26"/>
      <c r="VH225" s="26"/>
      <c r="VI225" s="26"/>
      <c r="VJ225" s="26"/>
      <c r="VK225" s="26"/>
      <c r="VL225" s="26"/>
      <c r="VM225" s="26"/>
      <c r="VN225" s="26"/>
      <c r="VO225" s="26"/>
      <c r="VP225" s="26"/>
      <c r="VQ225" s="26"/>
      <c r="VR225" s="26"/>
      <c r="VS225" s="26"/>
      <c r="VT225" s="26"/>
      <c r="VU225" s="26"/>
      <c r="VV225" s="26"/>
      <c r="VW225" s="26"/>
      <c r="VX225" s="26"/>
      <c r="VY225" s="26"/>
      <c r="VZ225" s="26"/>
      <c r="WA225" s="26"/>
      <c r="WB225" s="26"/>
      <c r="WC225" s="26"/>
      <c r="WD225" s="26"/>
      <c r="WE225" s="26"/>
      <c r="WF225" s="26"/>
      <c r="WG225" s="26"/>
      <c r="WH225" s="26"/>
      <c r="WI225" s="26"/>
      <c r="WJ225" s="26"/>
      <c r="WK225" s="26"/>
      <c r="WL225" s="26"/>
      <c r="WM225" s="26"/>
      <c r="WN225" s="26"/>
      <c r="WO225" s="26"/>
      <c r="WP225" s="26"/>
      <c r="WQ225" s="26"/>
      <c r="WR225" s="26"/>
      <c r="WS225" s="26"/>
      <c r="WT225" s="26"/>
      <c r="WU225" s="26"/>
      <c r="WV225" s="26"/>
      <c r="WW225" s="26"/>
      <c r="WX225" s="26"/>
      <c r="WY225" s="26"/>
      <c r="WZ225" s="26"/>
      <c r="XA225" s="26"/>
      <c r="XB225" s="26"/>
      <c r="XC225" s="26"/>
      <c r="XD225" s="26"/>
      <c r="XE225" s="26"/>
      <c r="XF225" s="26"/>
      <c r="XG225" s="26"/>
      <c r="XH225" s="26"/>
      <c r="XI225" s="26"/>
      <c r="XJ225" s="26"/>
      <c r="XK225" s="26"/>
      <c r="XL225" s="26"/>
      <c r="XM225" s="26"/>
      <c r="XN225" s="26"/>
      <c r="XO225" s="26"/>
      <c r="XP225" s="26"/>
      <c r="XQ225" s="26"/>
      <c r="XR225" s="26"/>
      <c r="XS225" s="26"/>
      <c r="XT225" s="26"/>
      <c r="XU225" s="26"/>
      <c r="XV225" s="26"/>
      <c r="XW225" s="26"/>
      <c r="XX225" s="26"/>
      <c r="XY225" s="26"/>
      <c r="XZ225" s="26"/>
      <c r="YA225" s="26"/>
      <c r="YB225" s="26"/>
      <c r="YC225" s="26"/>
      <c r="YD225" s="26"/>
      <c r="YE225" s="26"/>
      <c r="YF225" s="26"/>
      <c r="YG225" s="26"/>
      <c r="YH225" s="26"/>
      <c r="YI225" s="26"/>
      <c r="YJ225" s="26"/>
      <c r="YK225" s="26"/>
      <c r="YL225" s="26"/>
      <c r="YM225" s="26"/>
      <c r="YN225" s="26"/>
      <c r="YO225" s="26"/>
      <c r="YP225" s="26"/>
      <c r="YQ225" s="26"/>
      <c r="YR225" s="26"/>
      <c r="YS225" s="26"/>
      <c r="YT225" s="26"/>
      <c r="YU225" s="26"/>
      <c r="YV225" s="26"/>
      <c r="YW225" s="26"/>
      <c r="YX225" s="26"/>
      <c r="YY225" s="26"/>
      <c r="YZ225" s="26"/>
      <c r="ZA225" s="26"/>
      <c r="ZB225" s="26"/>
      <c r="ZC225" s="26"/>
      <c r="ZD225" s="26"/>
      <c r="ZE225" s="26"/>
      <c r="ZF225" s="26"/>
      <c r="ZG225" s="26"/>
      <c r="ZH225" s="26"/>
      <c r="ZI225" s="26"/>
      <c r="ZJ225" s="26"/>
      <c r="ZK225" s="26"/>
      <c r="ZL225" s="26"/>
      <c r="ZM225" s="26"/>
      <c r="ZN225" s="26"/>
      <c r="ZO225" s="26"/>
      <c r="ZP225" s="26"/>
      <c r="ZQ225" s="26"/>
      <c r="ZR225" s="26"/>
      <c r="ZS225" s="26"/>
      <c r="ZT225" s="26"/>
      <c r="ZU225" s="26"/>
      <c r="ZV225" s="26"/>
      <c r="ZW225" s="26"/>
      <c r="ZX225" s="26"/>
      <c r="ZY225" s="26"/>
      <c r="ZZ225" s="26"/>
      <c r="AAA225" s="26"/>
      <c r="AAB225" s="26"/>
      <c r="AAC225" s="26"/>
      <c r="AAD225" s="26"/>
      <c r="AAE225" s="26"/>
      <c r="AAF225" s="26"/>
      <c r="AAG225" s="26"/>
      <c r="AAH225" s="26"/>
      <c r="AAI225" s="26"/>
      <c r="AAJ225" s="26"/>
      <c r="AAK225" s="26"/>
      <c r="AAL225" s="26"/>
      <c r="AAM225" s="26"/>
      <c r="AAN225" s="26"/>
      <c r="AAO225" s="26"/>
      <c r="AAP225" s="26"/>
      <c r="AAQ225" s="26"/>
      <c r="AAR225" s="26"/>
      <c r="AAS225" s="26"/>
      <c r="AAT225" s="26"/>
      <c r="AAU225" s="26"/>
      <c r="AAV225" s="26"/>
      <c r="AAW225" s="26"/>
      <c r="AAX225" s="26"/>
      <c r="AAY225" s="26"/>
      <c r="AAZ225" s="26"/>
      <c r="ABA225" s="26"/>
      <c r="ABB225" s="26"/>
      <c r="ABC225" s="26"/>
      <c r="ABD225" s="26"/>
      <c r="ABE225" s="26"/>
      <c r="ABF225" s="26"/>
      <c r="ABG225" s="26"/>
      <c r="ABH225" s="26"/>
      <c r="ABI225" s="26"/>
      <c r="ABJ225" s="26"/>
      <c r="ABK225" s="26"/>
      <c r="ABL225" s="26"/>
      <c r="ABM225" s="26"/>
      <c r="ABN225" s="26"/>
      <c r="ABO225" s="26"/>
      <c r="ABP225" s="26"/>
      <c r="ABQ225" s="26"/>
      <c r="ABR225" s="26"/>
      <c r="ABS225" s="26"/>
      <c r="ABT225" s="26"/>
      <c r="ABU225" s="26"/>
      <c r="ABV225" s="26"/>
      <c r="ABW225" s="26"/>
      <c r="ABX225" s="26"/>
      <c r="ABY225" s="26"/>
      <c r="ABZ225" s="26"/>
      <c r="ACA225" s="26"/>
      <c r="ACB225" s="26"/>
      <c r="ACC225" s="26"/>
      <c r="ACD225" s="26"/>
      <c r="ACE225" s="26"/>
      <c r="ACF225" s="26"/>
      <c r="ACG225" s="26"/>
      <c r="ACH225" s="26"/>
      <c r="ACI225" s="26"/>
      <c r="ACJ225" s="26"/>
      <c r="ACK225" s="26"/>
      <c r="ACL225" s="26"/>
      <c r="ACM225" s="26"/>
      <c r="ACN225" s="26"/>
      <c r="ACO225" s="26"/>
      <c r="ACP225" s="26"/>
      <c r="ACQ225" s="26"/>
      <c r="ACR225" s="26"/>
      <c r="ACS225" s="26"/>
      <c r="ACT225" s="26"/>
      <c r="ACU225" s="26"/>
      <c r="ACV225" s="26"/>
      <c r="ACW225" s="26"/>
      <c r="ACX225" s="26"/>
      <c r="ACY225" s="26"/>
      <c r="ACZ225" s="26"/>
      <c r="ADA225" s="26"/>
      <c r="ADB225" s="26"/>
      <c r="ADC225" s="26"/>
      <c r="ADD225" s="26"/>
      <c r="ADE225" s="26"/>
      <c r="ADF225" s="26"/>
      <c r="ADG225" s="26"/>
      <c r="ADH225" s="26"/>
      <c r="ADI225" s="26"/>
      <c r="ADJ225" s="26"/>
      <c r="ADK225" s="26"/>
      <c r="ADL225" s="26"/>
      <c r="ADM225" s="26"/>
      <c r="ADN225" s="26"/>
      <c r="ADO225" s="26"/>
      <c r="ADP225" s="26"/>
      <c r="ADQ225" s="26"/>
      <c r="ADR225" s="26"/>
      <c r="ADS225" s="26"/>
      <c r="ADT225" s="26"/>
      <c r="ADU225" s="26"/>
      <c r="ADV225" s="26"/>
      <c r="ADW225" s="26"/>
      <c r="ADX225" s="26"/>
      <c r="ADY225" s="26"/>
      <c r="ADZ225" s="26"/>
      <c r="AEA225" s="26"/>
      <c r="AEB225" s="26"/>
      <c r="AEC225" s="26"/>
      <c r="AED225" s="26"/>
      <c r="AEE225" s="26"/>
      <c r="AEF225" s="26"/>
      <c r="AEG225" s="26"/>
      <c r="AEH225" s="26"/>
      <c r="AEI225" s="26"/>
      <c r="AEJ225" s="26"/>
      <c r="AEK225" s="26"/>
      <c r="AEL225" s="26"/>
      <c r="AEM225" s="26"/>
      <c r="AEN225" s="26"/>
      <c r="AEO225" s="26"/>
      <c r="AEP225" s="26"/>
      <c r="AEQ225" s="26"/>
      <c r="AER225" s="26"/>
      <c r="AES225" s="26"/>
      <c r="AET225" s="26"/>
      <c r="AEU225" s="26"/>
      <c r="AEV225" s="26"/>
      <c r="AEW225" s="26"/>
      <c r="AEX225" s="26"/>
      <c r="AEY225" s="26"/>
      <c r="AEZ225" s="26"/>
      <c r="AFA225" s="26"/>
      <c r="AFB225" s="26"/>
      <c r="AFC225" s="26"/>
      <c r="AFD225" s="26"/>
      <c r="AFE225" s="26"/>
      <c r="AFF225" s="26"/>
      <c r="AFG225" s="26"/>
      <c r="AFH225" s="26"/>
      <c r="AFI225" s="26"/>
      <c r="AFJ225" s="26"/>
      <c r="AFK225" s="26"/>
      <c r="AFL225" s="26"/>
      <c r="AFM225" s="26"/>
      <c r="AFN225" s="26"/>
      <c r="AFO225" s="26"/>
      <c r="AFP225" s="26"/>
      <c r="AFQ225" s="26"/>
      <c r="AFR225" s="26"/>
      <c r="AFS225" s="26"/>
      <c r="AFT225" s="26"/>
      <c r="AFU225" s="26"/>
      <c r="AFV225" s="26"/>
      <c r="AFW225" s="26"/>
      <c r="AFX225" s="26"/>
      <c r="AFY225" s="26"/>
      <c r="AFZ225" s="26"/>
      <c r="AGA225" s="26"/>
      <c r="AGB225" s="26"/>
      <c r="AGC225" s="26"/>
      <c r="AGD225" s="26"/>
      <c r="AGE225" s="26"/>
      <c r="AGF225" s="26"/>
      <c r="AGG225" s="26"/>
      <c r="AGH225" s="26"/>
      <c r="AGI225" s="26"/>
      <c r="AGJ225" s="26"/>
      <c r="AGK225" s="26"/>
      <c r="AGL225" s="26"/>
      <c r="AGM225" s="26"/>
      <c r="AGN225" s="26"/>
      <c r="AGO225" s="26"/>
      <c r="AGP225" s="26"/>
      <c r="AGQ225" s="26"/>
      <c r="AGR225" s="26"/>
      <c r="AGS225" s="26"/>
      <c r="AGT225" s="26"/>
      <c r="AGU225" s="26"/>
      <c r="AGV225" s="26"/>
      <c r="AGW225" s="26"/>
      <c r="AGX225" s="26"/>
      <c r="AGY225" s="26"/>
      <c r="AGZ225" s="26"/>
      <c r="AHA225" s="26"/>
      <c r="AHB225" s="26"/>
      <c r="AHC225" s="26"/>
      <c r="AHD225" s="26"/>
      <c r="AHE225" s="26"/>
      <c r="AHF225" s="26"/>
      <c r="AHG225" s="26"/>
      <c r="AHH225" s="26"/>
      <c r="AHI225" s="26"/>
      <c r="AHJ225" s="26"/>
      <c r="AHK225" s="26"/>
      <c r="AHL225" s="26"/>
      <c r="AHM225" s="26"/>
      <c r="AHN225" s="26"/>
      <c r="AHO225" s="26"/>
      <c r="AHP225" s="26"/>
      <c r="AHQ225" s="26"/>
      <c r="AHR225" s="26"/>
      <c r="AHS225" s="26"/>
      <c r="AHT225" s="26"/>
      <c r="AHU225" s="26"/>
      <c r="AHV225" s="26"/>
      <c r="AHW225" s="26"/>
      <c r="AHX225" s="26"/>
      <c r="AHY225" s="26"/>
      <c r="AHZ225" s="26"/>
      <c r="AIA225" s="26"/>
      <c r="AIB225" s="26"/>
      <c r="AIC225" s="26"/>
      <c r="AID225" s="26"/>
      <c r="AIE225" s="26"/>
      <c r="AIF225" s="26"/>
      <c r="AIG225" s="26"/>
      <c r="AIH225" s="26"/>
      <c r="AII225" s="26"/>
      <c r="AIJ225" s="26"/>
      <c r="AIK225" s="26"/>
      <c r="AIL225" s="26"/>
      <c r="AIM225" s="26"/>
      <c r="AIN225" s="26"/>
      <c r="AIO225" s="26"/>
      <c r="AIP225" s="26"/>
      <c r="AIQ225" s="26"/>
      <c r="AIR225" s="26"/>
      <c r="AIS225" s="26"/>
      <c r="AIT225" s="26"/>
      <c r="AIU225" s="26"/>
      <c r="AIV225" s="26"/>
      <c r="AIW225" s="26"/>
      <c r="AIX225" s="26"/>
      <c r="AIY225" s="26"/>
      <c r="AIZ225" s="26"/>
      <c r="AJA225" s="26"/>
      <c r="AJB225" s="26"/>
      <c r="AJC225" s="26"/>
      <c r="AJD225" s="26"/>
      <c r="AJE225" s="26"/>
      <c r="AJF225" s="26"/>
      <c r="AJG225" s="26"/>
      <c r="AJH225" s="26"/>
      <c r="AJI225" s="26"/>
      <c r="AJJ225" s="26"/>
      <c r="AJK225" s="26"/>
      <c r="AJL225" s="26"/>
      <c r="AJM225" s="26"/>
      <c r="AJN225" s="26"/>
      <c r="AJO225" s="26"/>
      <c r="AJP225" s="26"/>
      <c r="AJQ225" s="26"/>
      <c r="AJR225" s="26"/>
      <c r="AJS225" s="26"/>
      <c r="AJT225" s="26"/>
      <c r="AJU225" s="26"/>
      <c r="AJV225" s="26"/>
      <c r="AJW225" s="26"/>
      <c r="AJX225" s="26"/>
      <c r="AJY225" s="26"/>
      <c r="AJZ225" s="26"/>
      <c r="AKA225" s="26"/>
      <c r="AKB225" s="26"/>
      <c r="AKC225" s="26"/>
      <c r="AKD225" s="26"/>
      <c r="AKE225" s="26"/>
      <c r="AKF225" s="26"/>
      <c r="AKG225" s="26"/>
      <c r="AKH225" s="26"/>
      <c r="AKI225" s="26"/>
      <c r="AKJ225" s="26"/>
      <c r="AKK225" s="26"/>
      <c r="AKL225" s="26"/>
      <c r="AKM225" s="26"/>
      <c r="AKN225" s="26"/>
      <c r="AKO225" s="26"/>
      <c r="AKP225" s="26"/>
      <c r="AKQ225" s="26"/>
      <c r="AKR225" s="26"/>
      <c r="AKS225" s="26"/>
      <c r="AKT225" s="26"/>
      <c r="AKU225" s="26"/>
      <c r="AKV225" s="26"/>
      <c r="AKW225" s="26"/>
      <c r="AKX225" s="26"/>
      <c r="AKY225" s="26"/>
      <c r="AKZ225" s="26"/>
      <c r="ALA225" s="26"/>
      <c r="ALB225" s="26"/>
      <c r="ALC225" s="26"/>
      <c r="ALD225" s="26"/>
      <c r="ALE225" s="26"/>
      <c r="ALF225" s="26"/>
      <c r="ALG225" s="26"/>
      <c r="ALH225" s="26"/>
      <c r="ALI225" s="26"/>
      <c r="ALJ225" s="26"/>
      <c r="ALK225" s="26"/>
      <c r="ALL225" s="26"/>
      <c r="ALM225" s="26"/>
      <c r="ALN225" s="26"/>
      <c r="ALO225" s="26"/>
      <c r="ALP225" s="26"/>
      <c r="ALQ225" s="26"/>
      <c r="ALR225" s="26"/>
      <c r="ALS225" s="26"/>
      <c r="ALT225" s="26"/>
      <c r="ALU225" s="26"/>
      <c r="ALV225" s="26"/>
      <c r="ALW225" s="26"/>
      <c r="ALX225" s="26"/>
      <c r="ALY225" s="26"/>
      <c r="ALZ225" s="26"/>
      <c r="AMA225" s="26"/>
      <c r="AMB225" s="26"/>
      <c r="AMC225" s="26"/>
      <c r="AMD225" s="26"/>
      <c r="AME225" s="26"/>
      <c r="AMF225" s="26"/>
      <c r="AMG225" s="26"/>
      <c r="AMH225" s="26"/>
      <c r="AMI225" s="26"/>
      <c r="AMJ225" s="26"/>
      <c r="AMK225" s="26"/>
      <c r="AML225" s="26"/>
      <c r="AMM225" s="26"/>
      <c r="AMN225" s="26"/>
      <c r="AMO225" s="26"/>
      <c r="AMP225" s="26"/>
      <c r="AMQ225" s="26"/>
      <c r="AMR225" s="26"/>
      <c r="AMS225" s="26"/>
      <c r="AMT225" s="26"/>
      <c r="AMU225" s="26"/>
      <c r="AMV225" s="26"/>
      <c r="AMW225" s="26"/>
      <c r="AMX225" s="26"/>
      <c r="AMY225" s="26"/>
      <c r="AMZ225" s="26"/>
      <c r="ANA225" s="26"/>
      <c r="ANB225" s="26"/>
      <c r="ANC225" s="26"/>
      <c r="AND225" s="26"/>
      <c r="ANE225" s="26"/>
      <c r="ANF225" s="26"/>
      <c r="ANG225" s="26"/>
      <c r="ANH225" s="26"/>
      <c r="ANI225" s="26"/>
      <c r="ANJ225" s="26"/>
      <c r="ANK225" s="26"/>
      <c r="ANL225" s="26"/>
      <c r="ANM225" s="26"/>
      <c r="ANN225" s="26"/>
      <c r="ANO225" s="26"/>
      <c r="ANP225" s="26"/>
      <c r="ANQ225" s="26"/>
      <c r="ANR225" s="26"/>
      <c r="ANS225" s="26"/>
      <c r="ANT225" s="26"/>
      <c r="ANU225" s="26"/>
      <c r="ANV225" s="26"/>
      <c r="ANW225" s="26"/>
      <c r="ANX225" s="26"/>
      <c r="ANY225" s="26"/>
      <c r="ANZ225" s="26"/>
      <c r="AOA225" s="26"/>
      <c r="AOB225" s="26"/>
      <c r="AOC225" s="26"/>
      <c r="AOD225" s="26"/>
      <c r="AOE225" s="26"/>
      <c r="AOF225" s="26"/>
      <c r="AOG225" s="26"/>
      <c r="AOH225" s="26"/>
      <c r="AOI225" s="26"/>
      <c r="AOJ225" s="26"/>
      <c r="AOK225" s="26"/>
      <c r="AOL225" s="26"/>
      <c r="AOM225" s="26"/>
      <c r="AON225" s="26"/>
      <c r="AOO225" s="26"/>
      <c r="AOP225" s="26"/>
      <c r="AOQ225" s="26"/>
      <c r="AOR225" s="26"/>
      <c r="AOS225" s="26"/>
      <c r="AOT225" s="26"/>
      <c r="AOU225" s="26"/>
      <c r="AOV225" s="26"/>
      <c r="AOW225" s="26"/>
      <c r="AOX225" s="26"/>
      <c r="AOY225" s="26"/>
      <c r="AOZ225" s="26"/>
      <c r="APA225" s="26"/>
      <c r="APB225" s="26"/>
      <c r="APC225" s="26"/>
      <c r="APD225" s="26"/>
      <c r="APE225" s="26"/>
      <c r="APF225" s="26"/>
      <c r="APG225" s="26"/>
      <c r="APH225" s="26"/>
      <c r="API225" s="26"/>
      <c r="APJ225" s="26"/>
      <c r="APK225" s="26"/>
      <c r="APL225" s="26"/>
      <c r="APM225" s="26"/>
      <c r="APN225" s="26"/>
      <c r="APO225" s="26"/>
      <c r="APP225" s="26"/>
      <c r="APQ225" s="26"/>
      <c r="APR225" s="26"/>
      <c r="APS225" s="26"/>
      <c r="APT225" s="26"/>
      <c r="APU225" s="26"/>
      <c r="APV225" s="26"/>
      <c r="APW225" s="26"/>
      <c r="APX225" s="26"/>
      <c r="APY225" s="26"/>
      <c r="APZ225" s="26"/>
      <c r="AQA225" s="26"/>
      <c r="AQB225" s="26"/>
      <c r="AQC225" s="26"/>
      <c r="AQD225" s="26"/>
      <c r="AQE225" s="26"/>
      <c r="AQF225" s="26"/>
      <c r="AQG225" s="26"/>
      <c r="AQH225" s="26"/>
      <c r="AQI225" s="26"/>
      <c r="AQJ225" s="26"/>
      <c r="AQK225" s="26"/>
      <c r="AQL225" s="26"/>
      <c r="AQM225" s="26"/>
      <c r="AQN225" s="26"/>
      <c r="AQO225" s="26"/>
      <c r="AQP225" s="26"/>
      <c r="AQQ225" s="26"/>
      <c r="AQR225" s="26"/>
      <c r="AQS225" s="26"/>
      <c r="AQT225" s="26"/>
      <c r="AQU225" s="26"/>
      <c r="AQV225" s="26"/>
      <c r="AQW225" s="26"/>
      <c r="AQX225" s="26"/>
      <c r="AQY225" s="26"/>
      <c r="AQZ225" s="26"/>
      <c r="ARA225" s="26"/>
      <c r="ARB225" s="26"/>
      <c r="ARC225" s="26"/>
      <c r="ARD225" s="26"/>
      <c r="ARE225" s="26"/>
      <c r="ARF225" s="26"/>
      <c r="ARG225" s="26"/>
      <c r="ARH225" s="26"/>
      <c r="ARI225" s="26"/>
      <c r="ARJ225" s="26"/>
      <c r="ARK225" s="26"/>
      <c r="ARL225" s="26"/>
      <c r="ARM225" s="26"/>
      <c r="ARN225" s="26"/>
      <c r="ARO225" s="26"/>
      <c r="ARP225" s="26"/>
      <c r="ARQ225" s="26"/>
      <c r="ARR225" s="26"/>
      <c r="ARS225" s="26"/>
      <c r="ART225" s="26"/>
      <c r="ARU225" s="26"/>
      <c r="ARV225" s="26"/>
      <c r="ARW225" s="26"/>
      <c r="ARX225" s="26"/>
      <c r="ARY225" s="26"/>
      <c r="ARZ225" s="26"/>
      <c r="ASA225" s="26"/>
      <c r="ASB225" s="26"/>
      <c r="ASC225" s="26"/>
      <c r="ASD225" s="26"/>
      <c r="ASE225" s="26"/>
      <c r="ASF225" s="26"/>
      <c r="ASG225" s="26"/>
      <c r="ASH225" s="26"/>
      <c r="ASI225" s="26"/>
      <c r="ASJ225" s="26"/>
      <c r="ASK225" s="26"/>
      <c r="ASL225" s="26"/>
      <c r="ASM225" s="26"/>
      <c r="ASN225" s="26"/>
      <c r="ASO225" s="26"/>
      <c r="ASP225" s="26"/>
      <c r="ASQ225" s="26"/>
      <c r="ASR225" s="26"/>
      <c r="ASS225" s="26"/>
      <c r="AST225" s="26"/>
      <c r="ASU225" s="26"/>
      <c r="ASV225" s="26"/>
      <c r="ASW225" s="26"/>
      <c r="ASX225" s="26"/>
      <c r="ASY225" s="26"/>
      <c r="ASZ225" s="26"/>
      <c r="ATA225" s="26"/>
      <c r="ATB225" s="26"/>
      <c r="ATC225" s="26"/>
      <c r="ATD225" s="26"/>
      <c r="ATE225" s="26"/>
      <c r="ATF225" s="26"/>
      <c r="ATG225" s="26"/>
      <c r="ATH225" s="26"/>
      <c r="ATI225" s="26"/>
      <c r="ATJ225" s="26"/>
      <c r="ATK225" s="26"/>
      <c r="ATL225" s="26"/>
      <c r="ATM225" s="26"/>
      <c r="ATN225" s="26"/>
      <c r="ATO225" s="26"/>
      <c r="ATP225" s="26"/>
      <c r="ATQ225" s="26"/>
      <c r="ATR225" s="26"/>
      <c r="ATS225" s="26"/>
      <c r="ATT225" s="26"/>
      <c r="ATU225" s="26"/>
      <c r="ATV225" s="26"/>
      <c r="ATW225" s="26"/>
      <c r="ATX225" s="26"/>
      <c r="ATY225" s="26"/>
      <c r="ATZ225" s="26"/>
      <c r="AUA225" s="26"/>
      <c r="AUB225" s="26"/>
      <c r="AUC225" s="26"/>
      <c r="AUD225" s="26"/>
      <c r="AUE225" s="26"/>
      <c r="AUF225" s="26"/>
      <c r="AUG225" s="26"/>
      <c r="AUH225" s="26"/>
      <c r="AUI225" s="26"/>
      <c r="AUJ225" s="26"/>
      <c r="AUK225" s="26"/>
      <c r="AUL225" s="26"/>
      <c r="AUM225" s="26"/>
      <c r="AUN225" s="26"/>
      <c r="AUO225" s="26"/>
      <c r="AUP225" s="26"/>
      <c r="AUQ225" s="26"/>
      <c r="AUR225" s="26"/>
      <c r="AUS225" s="26"/>
      <c r="AUT225" s="26"/>
      <c r="AUU225" s="26"/>
      <c r="AUV225" s="26"/>
      <c r="AUW225" s="26"/>
      <c r="AUX225" s="26"/>
      <c r="AUY225" s="26"/>
      <c r="AUZ225" s="26"/>
      <c r="AVA225" s="26"/>
      <c r="AVB225" s="26"/>
      <c r="AVC225" s="26"/>
      <c r="AVD225" s="26"/>
      <c r="AVE225" s="26"/>
      <c r="AVF225" s="26"/>
      <c r="AVG225" s="26"/>
      <c r="AVH225" s="26"/>
      <c r="AVI225" s="26"/>
      <c r="AVJ225" s="26"/>
      <c r="AVK225" s="26"/>
      <c r="AVL225" s="26"/>
      <c r="AVM225" s="26"/>
      <c r="AVN225" s="26"/>
      <c r="AVO225" s="26"/>
      <c r="AVP225" s="26"/>
      <c r="AVQ225" s="26"/>
      <c r="AVR225" s="26"/>
      <c r="AVS225" s="26"/>
      <c r="AVT225" s="26"/>
      <c r="AVU225" s="26"/>
      <c r="AVV225" s="26"/>
      <c r="AVW225" s="26"/>
      <c r="AVX225" s="26"/>
      <c r="AVY225" s="26"/>
      <c r="AVZ225" s="26"/>
      <c r="AWA225" s="26"/>
      <c r="AWB225" s="26"/>
      <c r="AWC225" s="26"/>
      <c r="AWD225" s="26"/>
      <c r="AWE225" s="26"/>
      <c r="AWF225" s="26"/>
      <c r="AWG225" s="26"/>
      <c r="AWH225" s="26"/>
      <c r="AWI225" s="26"/>
      <c r="AWJ225" s="26"/>
      <c r="AWK225" s="26"/>
      <c r="AWL225" s="26"/>
      <c r="AWM225" s="26"/>
      <c r="AWN225" s="26"/>
      <c r="AWO225" s="26"/>
      <c r="AWP225" s="26"/>
      <c r="AWQ225" s="26"/>
      <c r="AWR225" s="26"/>
      <c r="AWS225" s="26"/>
      <c r="AWT225" s="26"/>
      <c r="AWU225" s="26"/>
      <c r="AWV225" s="26"/>
      <c r="AWW225" s="26"/>
      <c r="AWX225" s="26"/>
      <c r="AWY225" s="26"/>
      <c r="AWZ225" s="26"/>
      <c r="AXA225" s="26"/>
      <c r="AXB225" s="26"/>
      <c r="AXC225" s="26"/>
      <c r="AXD225" s="26"/>
      <c r="AXE225" s="26"/>
      <c r="AXF225" s="26"/>
      <c r="AXG225" s="26"/>
      <c r="AXH225" s="26"/>
      <c r="AXI225" s="26"/>
      <c r="AXJ225" s="26"/>
      <c r="AXK225" s="26"/>
      <c r="AXL225" s="26"/>
      <c r="AXM225" s="26"/>
      <c r="AXN225" s="26"/>
      <c r="AXO225" s="26"/>
      <c r="AXP225" s="26"/>
      <c r="AXQ225" s="26"/>
      <c r="AXR225" s="26"/>
      <c r="AXS225" s="26"/>
      <c r="AXT225" s="26"/>
      <c r="AXU225" s="26"/>
      <c r="AXV225" s="26"/>
      <c r="AXW225" s="26"/>
      <c r="AXX225" s="26"/>
      <c r="AXY225" s="26"/>
      <c r="AXZ225" s="26"/>
      <c r="AYA225" s="26"/>
      <c r="AYB225" s="26"/>
      <c r="AYC225" s="26"/>
      <c r="AYD225" s="26"/>
      <c r="AYE225" s="26"/>
      <c r="AYF225" s="26"/>
      <c r="AYG225" s="26"/>
      <c r="AYH225" s="26"/>
      <c r="AYI225" s="26"/>
      <c r="AYJ225" s="26"/>
      <c r="AYK225" s="26"/>
      <c r="AYL225" s="26"/>
      <c r="AYM225" s="26"/>
      <c r="AYN225" s="26"/>
      <c r="AYO225" s="26"/>
      <c r="AYP225" s="26"/>
      <c r="AYQ225" s="26"/>
      <c r="AYR225" s="26"/>
      <c r="AYS225" s="26"/>
      <c r="AYT225" s="26"/>
      <c r="AYU225" s="26"/>
      <c r="AYV225" s="26"/>
      <c r="AYW225" s="26"/>
      <c r="AYX225" s="26"/>
      <c r="AYY225" s="26"/>
      <c r="AYZ225" s="26"/>
      <c r="AZA225" s="26"/>
      <c r="AZB225" s="26"/>
      <c r="AZC225" s="26"/>
      <c r="AZD225" s="26"/>
      <c r="AZE225" s="26"/>
      <c r="AZF225" s="26"/>
      <c r="AZG225" s="26"/>
      <c r="AZH225" s="26"/>
      <c r="AZI225" s="26"/>
      <c r="AZJ225" s="26"/>
      <c r="AZK225" s="26"/>
      <c r="AZL225" s="26"/>
      <c r="AZM225" s="26"/>
      <c r="AZN225" s="26"/>
      <c r="AZO225" s="26"/>
      <c r="AZP225" s="26"/>
      <c r="AZQ225" s="26"/>
      <c r="AZR225" s="26"/>
      <c r="AZS225" s="26"/>
      <c r="AZT225" s="26"/>
      <c r="AZU225" s="26"/>
      <c r="AZV225" s="26"/>
      <c r="AZW225" s="26"/>
      <c r="AZX225" s="26"/>
      <c r="AZY225" s="26"/>
      <c r="AZZ225" s="26"/>
      <c r="BAA225" s="26"/>
      <c r="BAB225" s="26"/>
      <c r="BAC225" s="26"/>
      <c r="BAD225" s="26"/>
      <c r="BAE225" s="26"/>
      <c r="BAF225" s="26"/>
      <c r="BAG225" s="26"/>
      <c r="BAH225" s="26"/>
      <c r="BAI225" s="26"/>
      <c r="BAJ225" s="26"/>
      <c r="BAK225" s="26"/>
      <c r="BAL225" s="26"/>
      <c r="BAM225" s="26"/>
      <c r="BAN225" s="26"/>
      <c r="BAO225" s="26"/>
      <c r="BAP225" s="26"/>
      <c r="BAQ225" s="26"/>
      <c r="BAR225" s="26"/>
      <c r="BAS225" s="26"/>
      <c r="BAT225" s="26"/>
      <c r="BAU225" s="26"/>
      <c r="BAV225" s="26"/>
      <c r="BAW225" s="26"/>
      <c r="BAX225" s="26"/>
      <c r="BAY225" s="26"/>
      <c r="BAZ225" s="26"/>
      <c r="BBA225" s="26"/>
      <c r="BBB225" s="26"/>
      <c r="BBC225" s="26"/>
      <c r="BBD225" s="26"/>
      <c r="BBE225" s="26"/>
      <c r="BBF225" s="26"/>
      <c r="BBG225" s="26"/>
      <c r="BBH225" s="26"/>
      <c r="BBI225" s="26"/>
      <c r="BBJ225" s="26"/>
      <c r="BBK225" s="26"/>
      <c r="BBL225" s="26"/>
      <c r="BBM225" s="26"/>
      <c r="BBN225" s="26"/>
      <c r="BBO225" s="26"/>
      <c r="BBP225" s="26"/>
      <c r="BBQ225" s="26"/>
      <c r="BBR225" s="26"/>
      <c r="BBS225" s="26"/>
      <c r="BBT225" s="26"/>
      <c r="BBU225" s="26"/>
      <c r="BBV225" s="26"/>
      <c r="BBW225" s="26"/>
      <c r="BBX225" s="26"/>
      <c r="BBY225" s="26"/>
      <c r="BBZ225" s="26"/>
      <c r="BCA225" s="26"/>
      <c r="BCB225" s="26"/>
      <c r="BCC225" s="26"/>
      <c r="BCD225" s="26"/>
      <c r="BCE225" s="26"/>
      <c r="BCF225" s="26"/>
      <c r="BCG225" s="26"/>
      <c r="BCH225" s="26"/>
      <c r="BCI225" s="26"/>
      <c r="BCJ225" s="26"/>
      <c r="BCK225" s="26"/>
      <c r="BCL225" s="26"/>
      <c r="BCM225" s="26"/>
      <c r="BCN225" s="26"/>
      <c r="BCO225" s="26"/>
      <c r="BCP225" s="26"/>
      <c r="BCQ225" s="26"/>
      <c r="BCR225" s="26"/>
      <c r="BCS225" s="26"/>
      <c r="BCT225" s="26"/>
      <c r="BCU225" s="26"/>
      <c r="BCV225" s="26"/>
      <c r="BCW225" s="26"/>
      <c r="BCX225" s="26"/>
      <c r="BCY225" s="26"/>
      <c r="BCZ225" s="26"/>
      <c r="BDA225" s="26"/>
      <c r="BDB225" s="26"/>
      <c r="BDC225" s="26"/>
      <c r="BDD225" s="26"/>
      <c r="BDE225" s="26"/>
      <c r="BDF225" s="26"/>
      <c r="BDG225" s="26"/>
      <c r="BDH225" s="26"/>
      <c r="BDI225" s="26"/>
      <c r="BDJ225" s="26"/>
      <c r="BDK225" s="26"/>
      <c r="BDL225" s="26"/>
      <c r="BDM225" s="26"/>
      <c r="BDN225" s="26"/>
      <c r="BDO225" s="26"/>
      <c r="BDP225" s="26"/>
      <c r="BDQ225" s="26"/>
      <c r="BDR225" s="26"/>
      <c r="BDS225" s="26"/>
      <c r="BDT225" s="26"/>
      <c r="BDU225" s="26"/>
      <c r="BDV225" s="26"/>
      <c r="BDW225" s="26"/>
      <c r="BDX225" s="26"/>
      <c r="BDY225" s="26"/>
      <c r="BDZ225" s="26"/>
      <c r="BEA225" s="26"/>
      <c r="BEB225" s="26"/>
      <c r="BEC225" s="26"/>
      <c r="BED225" s="26"/>
      <c r="BEE225" s="26"/>
      <c r="BEF225" s="26"/>
      <c r="BEG225" s="26"/>
      <c r="BEH225" s="26"/>
      <c r="BEI225" s="26"/>
      <c r="BEJ225" s="26"/>
      <c r="BEK225" s="26"/>
      <c r="BEL225" s="26"/>
      <c r="BEM225" s="26"/>
      <c r="BEN225" s="26"/>
      <c r="BEO225" s="26"/>
      <c r="BEP225" s="26"/>
      <c r="BEQ225" s="26"/>
      <c r="BER225" s="26"/>
      <c r="BES225" s="26"/>
      <c r="BET225" s="26"/>
      <c r="BEU225" s="26"/>
      <c r="BEV225" s="26"/>
      <c r="BEW225" s="26"/>
      <c r="BEX225" s="26"/>
      <c r="BEY225" s="26"/>
      <c r="BEZ225" s="26"/>
      <c r="BFA225" s="26"/>
      <c r="BFB225" s="26"/>
      <c r="BFC225" s="26"/>
      <c r="BFD225" s="26"/>
      <c r="BFE225" s="26"/>
      <c r="BFF225" s="26"/>
      <c r="BFG225" s="26"/>
      <c r="BFH225" s="26"/>
      <c r="BFI225" s="26"/>
      <c r="BFJ225" s="26"/>
      <c r="BFK225" s="26"/>
      <c r="BFL225" s="26"/>
      <c r="BFM225" s="26"/>
      <c r="BFN225" s="26"/>
      <c r="BFO225" s="26"/>
      <c r="BFP225" s="26"/>
      <c r="BFQ225" s="26"/>
      <c r="BFR225" s="26"/>
      <c r="BFS225" s="26"/>
      <c r="BFT225" s="26"/>
      <c r="BFU225" s="26"/>
      <c r="BFV225" s="26"/>
      <c r="BFW225" s="26"/>
      <c r="BFX225" s="26"/>
      <c r="BFY225" s="26"/>
      <c r="BFZ225" s="26"/>
      <c r="BGA225" s="26"/>
      <c r="BGB225" s="26"/>
      <c r="BGC225" s="26"/>
      <c r="BGD225" s="26"/>
      <c r="BGE225" s="26"/>
      <c r="BGF225" s="26"/>
      <c r="BGG225" s="26"/>
      <c r="BGH225" s="26"/>
      <c r="BGI225" s="26"/>
      <c r="BGJ225" s="26"/>
      <c r="BGK225" s="26"/>
      <c r="BGL225" s="26"/>
      <c r="BGM225" s="26"/>
      <c r="BGN225" s="26"/>
      <c r="BGO225" s="26"/>
      <c r="BGP225" s="26"/>
      <c r="BGQ225" s="26"/>
      <c r="BGR225" s="26"/>
      <c r="BGS225" s="26"/>
      <c r="BGT225" s="26"/>
      <c r="BGU225" s="26"/>
      <c r="BGV225" s="26"/>
      <c r="BGW225" s="26"/>
      <c r="BGX225" s="26"/>
      <c r="BGY225" s="26"/>
      <c r="BGZ225" s="26"/>
      <c r="BHA225" s="26"/>
      <c r="BHB225" s="26"/>
      <c r="BHC225" s="26"/>
      <c r="BHD225" s="26"/>
      <c r="BHE225" s="26"/>
      <c r="BHF225" s="26"/>
      <c r="BHG225" s="26"/>
      <c r="BHH225" s="26"/>
      <c r="BHI225" s="26"/>
      <c r="BHJ225" s="26"/>
      <c r="BHK225" s="26"/>
      <c r="BHL225" s="26"/>
      <c r="BHM225" s="26"/>
      <c r="BHN225" s="26"/>
      <c r="BHO225" s="26"/>
      <c r="BHP225" s="26"/>
      <c r="BHQ225" s="26"/>
      <c r="BHR225" s="26"/>
      <c r="BHS225" s="26"/>
      <c r="BHT225" s="26"/>
      <c r="BHU225" s="26"/>
      <c r="BHV225" s="26"/>
      <c r="BHW225" s="26"/>
      <c r="BHX225" s="26"/>
      <c r="BHY225" s="26"/>
      <c r="BHZ225" s="26"/>
      <c r="BIA225" s="26"/>
      <c r="BIB225" s="26"/>
      <c r="BIC225" s="26"/>
      <c r="BID225" s="26"/>
      <c r="BIE225" s="26"/>
      <c r="BIF225" s="26"/>
      <c r="BIG225" s="26"/>
      <c r="BIH225" s="26"/>
      <c r="BII225" s="26"/>
      <c r="BIJ225" s="26"/>
      <c r="BIK225" s="26"/>
      <c r="BIL225" s="26"/>
      <c r="BIM225" s="26"/>
      <c r="BIN225" s="26"/>
      <c r="BIO225" s="26"/>
      <c r="BIP225" s="26"/>
      <c r="BIQ225" s="26"/>
      <c r="BIR225" s="26"/>
      <c r="BIS225" s="26"/>
      <c r="BIT225" s="26"/>
      <c r="BIU225" s="26"/>
      <c r="BIV225" s="26"/>
      <c r="BIW225" s="26"/>
      <c r="BIX225" s="26"/>
      <c r="BIY225" s="26"/>
      <c r="BIZ225" s="26"/>
      <c r="BJA225" s="26"/>
      <c r="BJB225" s="26"/>
      <c r="BJC225" s="26"/>
      <c r="BJD225" s="26"/>
      <c r="BJE225" s="26"/>
      <c r="BJF225" s="26"/>
      <c r="BJG225" s="26"/>
      <c r="BJH225" s="26"/>
      <c r="BJI225" s="26"/>
      <c r="BJJ225" s="26"/>
      <c r="BJK225" s="26"/>
      <c r="BJL225" s="26"/>
      <c r="BJM225" s="26"/>
      <c r="BJN225" s="26"/>
      <c r="BJO225" s="26"/>
      <c r="BJP225" s="26"/>
      <c r="BJQ225" s="26"/>
      <c r="BJR225" s="26"/>
      <c r="BJS225" s="26"/>
      <c r="BJT225" s="26"/>
      <c r="BJU225" s="26"/>
      <c r="BJV225" s="26"/>
      <c r="BJW225" s="26"/>
      <c r="BJX225" s="26"/>
      <c r="BJY225" s="26"/>
      <c r="BJZ225" s="26"/>
      <c r="BKA225" s="26"/>
      <c r="BKB225" s="26"/>
      <c r="BKC225" s="26"/>
      <c r="BKD225" s="26"/>
      <c r="BKE225" s="26"/>
      <c r="BKF225" s="26"/>
      <c r="BKG225" s="26"/>
      <c r="BKH225" s="26"/>
      <c r="BKI225" s="26"/>
      <c r="BKJ225" s="26"/>
      <c r="BKK225" s="26"/>
      <c r="BKL225" s="26"/>
      <c r="BKM225" s="26"/>
      <c r="BKN225" s="26"/>
      <c r="BKO225" s="26"/>
      <c r="BKP225" s="26"/>
      <c r="BKQ225" s="26"/>
      <c r="BKR225" s="26"/>
      <c r="BKS225" s="26"/>
      <c r="BKT225" s="26"/>
      <c r="BKU225" s="26"/>
      <c r="BKV225" s="26"/>
      <c r="BKW225" s="26"/>
      <c r="BKX225" s="26"/>
      <c r="BKY225" s="26"/>
      <c r="BKZ225" s="26"/>
      <c r="BLA225" s="26"/>
      <c r="BLB225" s="26"/>
      <c r="BLC225" s="26"/>
      <c r="BLD225" s="26"/>
      <c r="BLE225" s="26"/>
      <c r="BLF225" s="26"/>
      <c r="BLG225" s="26"/>
      <c r="BLH225" s="26"/>
      <c r="BLI225" s="26"/>
      <c r="BLJ225" s="26"/>
      <c r="BLK225" s="26"/>
      <c r="BLL225" s="26"/>
      <c r="BLM225" s="26"/>
      <c r="BLN225" s="26"/>
      <c r="BLO225" s="26"/>
      <c r="BLP225" s="26"/>
      <c r="BLQ225" s="26"/>
      <c r="BLR225" s="26"/>
      <c r="BLS225" s="26"/>
      <c r="BLT225" s="26"/>
      <c r="BLU225" s="26"/>
      <c r="BLV225" s="26"/>
      <c r="BLW225" s="26"/>
      <c r="BLX225" s="26"/>
      <c r="BLY225" s="26"/>
      <c r="BLZ225" s="26"/>
      <c r="BMA225" s="26"/>
      <c r="BMB225" s="26"/>
      <c r="BMC225" s="26"/>
      <c r="BMD225" s="26"/>
      <c r="BME225" s="26"/>
      <c r="BMF225" s="26"/>
      <c r="BMG225" s="26"/>
      <c r="BMH225" s="26"/>
      <c r="BMI225" s="26"/>
      <c r="BMJ225" s="26"/>
      <c r="BMK225" s="26"/>
      <c r="BML225" s="26"/>
      <c r="BMM225" s="26"/>
      <c r="BMN225" s="26"/>
      <c r="BMO225" s="26"/>
      <c r="BMP225" s="26"/>
      <c r="BMQ225" s="26"/>
      <c r="BMR225" s="26"/>
      <c r="BMS225" s="26"/>
      <c r="BMT225" s="26"/>
      <c r="BMU225" s="26"/>
      <c r="BMV225" s="26"/>
      <c r="BMW225" s="26"/>
      <c r="BMX225" s="26"/>
      <c r="BMY225" s="26"/>
      <c r="BMZ225" s="26"/>
      <c r="BNA225" s="26"/>
      <c r="BNB225" s="26"/>
      <c r="BNC225" s="26"/>
      <c r="BND225" s="26"/>
      <c r="BNE225" s="26"/>
      <c r="BNF225" s="26"/>
      <c r="BNG225" s="26"/>
      <c r="BNH225" s="26"/>
      <c r="BNI225" s="26"/>
      <c r="BNJ225" s="26"/>
      <c r="BNK225" s="26"/>
      <c r="BNL225" s="26"/>
      <c r="BNM225" s="26"/>
      <c r="BNN225" s="26"/>
      <c r="BNO225" s="26"/>
      <c r="BNP225" s="26"/>
      <c r="BNQ225" s="26"/>
      <c r="BNR225" s="26"/>
      <c r="BNS225" s="26"/>
      <c r="BNT225" s="26"/>
      <c r="BNU225" s="26"/>
      <c r="BNV225" s="26"/>
      <c r="BNW225" s="26"/>
      <c r="BNX225" s="26"/>
      <c r="BNY225" s="26"/>
      <c r="BNZ225" s="26"/>
      <c r="BOA225" s="26"/>
      <c r="BOB225" s="26"/>
      <c r="BOC225" s="26"/>
      <c r="BOD225" s="26"/>
      <c r="BOE225" s="26"/>
      <c r="BOF225" s="26"/>
      <c r="BOG225" s="26"/>
      <c r="BOH225" s="26"/>
      <c r="BOI225" s="26"/>
      <c r="BOJ225" s="26"/>
      <c r="BOK225" s="26"/>
      <c r="BOL225" s="26"/>
      <c r="BOM225" s="26"/>
      <c r="BON225" s="26"/>
      <c r="BOO225" s="26"/>
      <c r="BOP225" s="26"/>
      <c r="BOQ225" s="26"/>
      <c r="BOR225" s="26"/>
      <c r="BOS225" s="26"/>
      <c r="BOT225" s="26"/>
      <c r="BOU225" s="26"/>
      <c r="BOV225" s="26"/>
      <c r="BOW225" s="26"/>
      <c r="BOX225" s="26"/>
      <c r="BOY225" s="26"/>
      <c r="BOZ225" s="26"/>
      <c r="BPA225" s="26"/>
      <c r="BPB225" s="26"/>
      <c r="BPC225" s="26"/>
      <c r="BPD225" s="26"/>
      <c r="BPE225" s="26"/>
      <c r="BPF225" s="26"/>
      <c r="BPG225" s="26"/>
      <c r="BPH225" s="26"/>
      <c r="BPI225" s="26"/>
      <c r="BPJ225" s="26"/>
      <c r="BPK225" s="26"/>
      <c r="BPL225" s="26"/>
      <c r="BPM225" s="26"/>
      <c r="BPN225" s="26"/>
      <c r="BPO225" s="26"/>
      <c r="BPP225" s="26"/>
      <c r="BPQ225" s="26"/>
      <c r="BPR225" s="26"/>
      <c r="BPS225" s="26"/>
      <c r="BPT225" s="26"/>
      <c r="BPU225" s="26"/>
      <c r="BPV225" s="26"/>
      <c r="BPW225" s="26"/>
      <c r="BPX225" s="26"/>
      <c r="BPY225" s="26"/>
      <c r="BPZ225" s="26"/>
      <c r="BQA225" s="26"/>
      <c r="BQB225" s="26"/>
      <c r="BQC225" s="26"/>
      <c r="BQD225" s="26"/>
      <c r="BQE225" s="26"/>
      <c r="BQF225" s="26"/>
      <c r="BQG225" s="26"/>
      <c r="BQH225" s="26"/>
      <c r="BQI225" s="26"/>
      <c r="BQJ225" s="26"/>
      <c r="BQK225" s="26"/>
      <c r="BQL225" s="26"/>
      <c r="BQM225" s="26"/>
      <c r="BQN225" s="26"/>
      <c r="BQO225" s="26"/>
      <c r="BQP225" s="26"/>
      <c r="BQQ225" s="26"/>
      <c r="BQR225" s="26"/>
      <c r="BQS225" s="26"/>
      <c r="BQT225" s="26"/>
      <c r="BQU225" s="26"/>
      <c r="BQV225" s="26"/>
      <c r="BQW225" s="26"/>
      <c r="BQX225" s="26"/>
      <c r="BQY225" s="26"/>
      <c r="BQZ225" s="26"/>
      <c r="BRA225" s="26"/>
      <c r="BRB225" s="26"/>
      <c r="BRC225" s="26"/>
      <c r="BRD225" s="26"/>
      <c r="BRE225" s="26"/>
      <c r="BRF225" s="26"/>
      <c r="BRG225" s="26"/>
      <c r="BRH225" s="26"/>
      <c r="BRI225" s="26"/>
      <c r="BRJ225" s="26"/>
      <c r="BRK225" s="26"/>
      <c r="BRL225" s="26"/>
      <c r="BRM225" s="26"/>
      <c r="BRN225" s="26"/>
      <c r="BRO225" s="26"/>
      <c r="BRP225" s="26"/>
      <c r="BRQ225" s="26"/>
      <c r="BRR225" s="26"/>
      <c r="BRS225" s="26"/>
      <c r="BRT225" s="26"/>
      <c r="BRU225" s="26"/>
      <c r="BRV225" s="26"/>
      <c r="BRW225" s="26"/>
      <c r="BRX225" s="26"/>
      <c r="BRY225" s="26"/>
      <c r="BRZ225" s="26"/>
      <c r="BSA225" s="26"/>
      <c r="BSB225" s="26"/>
      <c r="BSC225" s="26"/>
      <c r="BSD225" s="26"/>
      <c r="BSE225" s="26"/>
      <c r="BSF225" s="26"/>
      <c r="BSG225" s="26"/>
      <c r="BSH225" s="26"/>
      <c r="BSI225" s="26"/>
      <c r="BSJ225" s="26"/>
      <c r="BSK225" s="26"/>
      <c r="BSL225" s="26"/>
      <c r="BSM225" s="26"/>
      <c r="BSN225" s="26"/>
      <c r="BSO225" s="26"/>
      <c r="BSP225" s="26"/>
      <c r="BSQ225" s="26"/>
      <c r="BSR225" s="26"/>
      <c r="BSS225" s="26"/>
      <c r="BST225" s="26"/>
      <c r="BSU225" s="26"/>
      <c r="BSV225" s="26"/>
      <c r="BSW225" s="26"/>
      <c r="BSX225" s="26"/>
      <c r="BSY225" s="26"/>
      <c r="BSZ225" s="26"/>
      <c r="BTA225" s="26"/>
      <c r="BTB225" s="26"/>
      <c r="BTC225" s="26"/>
      <c r="BTD225" s="26"/>
      <c r="BTE225" s="26"/>
      <c r="BTF225" s="26"/>
      <c r="BTG225" s="26"/>
      <c r="BTH225" s="26"/>
      <c r="BTI225" s="26"/>
      <c r="BTJ225" s="26"/>
      <c r="BTK225" s="26"/>
      <c r="BTL225" s="26"/>
      <c r="BTM225" s="26"/>
      <c r="BTN225" s="26"/>
      <c r="BTO225" s="26"/>
      <c r="BTP225" s="26"/>
      <c r="BTQ225" s="26"/>
      <c r="BTR225" s="26"/>
      <c r="BTS225" s="26"/>
      <c r="BTT225" s="26"/>
      <c r="BTU225" s="26"/>
      <c r="BTV225" s="26"/>
      <c r="BTW225" s="26"/>
      <c r="BTX225" s="26"/>
      <c r="BTY225" s="26"/>
      <c r="BTZ225" s="26"/>
      <c r="BUA225" s="26"/>
      <c r="BUB225" s="26"/>
      <c r="BUC225" s="26"/>
      <c r="BUD225" s="26"/>
      <c r="BUE225" s="26"/>
      <c r="BUF225" s="26"/>
      <c r="BUG225" s="26"/>
      <c r="BUH225" s="26"/>
      <c r="BUI225" s="26"/>
      <c r="BUJ225" s="26"/>
      <c r="BUK225" s="26"/>
      <c r="BUL225" s="26"/>
      <c r="BUM225" s="26"/>
      <c r="BUN225" s="26"/>
      <c r="BUO225" s="26"/>
      <c r="BUP225" s="26"/>
      <c r="BUQ225" s="26"/>
      <c r="BUR225" s="26"/>
      <c r="BUS225" s="26"/>
      <c r="BUT225" s="26"/>
      <c r="BUU225" s="26"/>
      <c r="BUV225" s="26"/>
      <c r="BUW225" s="26"/>
      <c r="BUX225" s="26"/>
      <c r="BUY225" s="26"/>
      <c r="BUZ225" s="26"/>
      <c r="BVA225" s="26"/>
      <c r="BVB225" s="26"/>
      <c r="BVC225" s="26"/>
      <c r="BVD225" s="26"/>
      <c r="BVE225" s="26"/>
      <c r="BVF225" s="26"/>
      <c r="BVG225" s="26"/>
      <c r="BVH225" s="26"/>
      <c r="BVI225" s="26"/>
      <c r="BVJ225" s="26"/>
      <c r="BVK225" s="26"/>
      <c r="BVL225" s="26"/>
      <c r="BVM225" s="26"/>
      <c r="BVN225" s="26"/>
      <c r="BVO225" s="26"/>
      <c r="BVP225" s="26"/>
      <c r="BVQ225" s="26"/>
      <c r="BVR225" s="26"/>
      <c r="BVS225" s="26"/>
      <c r="BVT225" s="26"/>
      <c r="BVU225" s="26"/>
      <c r="BVV225" s="26"/>
      <c r="BVW225" s="26"/>
      <c r="BVX225" s="26"/>
      <c r="BVY225" s="26"/>
      <c r="BVZ225" s="26"/>
      <c r="BWA225" s="26"/>
      <c r="BWB225" s="26"/>
      <c r="BWC225" s="26"/>
      <c r="BWD225" s="26"/>
      <c r="BWE225" s="26"/>
      <c r="BWF225" s="26"/>
      <c r="BWG225" s="26"/>
      <c r="BWH225" s="26"/>
      <c r="BWI225" s="26"/>
      <c r="BWJ225" s="26"/>
      <c r="BWK225" s="26"/>
      <c r="BWL225" s="26"/>
      <c r="BWM225" s="26"/>
      <c r="BWN225" s="26"/>
      <c r="BWO225" s="26"/>
      <c r="BWP225" s="26"/>
      <c r="BWQ225" s="26"/>
      <c r="BWR225" s="26"/>
      <c r="BWS225" s="26"/>
      <c r="BWT225" s="26"/>
      <c r="BWU225" s="26"/>
      <c r="BWV225" s="26"/>
      <c r="BWW225" s="26"/>
      <c r="BWX225" s="26"/>
      <c r="BWY225" s="26"/>
      <c r="BWZ225" s="26"/>
      <c r="BXA225" s="26"/>
      <c r="BXB225" s="26"/>
      <c r="BXC225" s="26"/>
      <c r="BXD225" s="26"/>
      <c r="BXE225" s="26"/>
      <c r="BXF225" s="26"/>
      <c r="BXG225" s="26"/>
      <c r="BXH225" s="26"/>
      <c r="BXI225" s="26"/>
      <c r="BXJ225" s="26"/>
      <c r="BXK225" s="26"/>
      <c r="BXL225" s="26"/>
      <c r="BXM225" s="26"/>
      <c r="BXN225" s="26"/>
      <c r="BXO225" s="26"/>
      <c r="BXP225" s="26"/>
      <c r="BXQ225" s="26"/>
      <c r="BXR225" s="26"/>
      <c r="BXS225" s="26"/>
      <c r="BXT225" s="26"/>
      <c r="BXU225" s="26"/>
      <c r="BXV225" s="26"/>
      <c r="BXW225" s="26"/>
      <c r="BXX225" s="26"/>
      <c r="BXY225" s="26"/>
      <c r="BXZ225" s="26"/>
      <c r="BYA225" s="26"/>
      <c r="BYB225" s="26"/>
      <c r="BYC225" s="26"/>
      <c r="BYD225" s="26"/>
      <c r="BYE225" s="26"/>
      <c r="BYF225" s="26"/>
      <c r="BYG225" s="26"/>
      <c r="BYH225" s="26"/>
      <c r="BYI225" s="26"/>
      <c r="BYJ225" s="26"/>
      <c r="BYK225" s="26"/>
      <c r="BYL225" s="26"/>
      <c r="BYM225" s="26"/>
      <c r="BYN225" s="26"/>
      <c r="BYO225" s="26"/>
      <c r="BYP225" s="26"/>
      <c r="BYQ225" s="26"/>
      <c r="BYR225" s="26"/>
      <c r="BYS225" s="26"/>
      <c r="BYT225" s="26"/>
      <c r="BYU225" s="26"/>
      <c r="BYV225" s="26"/>
      <c r="BYW225" s="26"/>
      <c r="BYX225" s="26"/>
      <c r="BYY225" s="26"/>
      <c r="BYZ225" s="26"/>
      <c r="BZA225" s="26"/>
      <c r="BZB225" s="26"/>
      <c r="BZC225" s="26"/>
      <c r="BZD225" s="26"/>
      <c r="BZE225" s="26"/>
      <c r="BZF225" s="26"/>
      <c r="BZG225" s="26"/>
      <c r="BZH225" s="26"/>
      <c r="BZI225" s="26"/>
      <c r="BZJ225" s="26"/>
      <c r="BZK225" s="26"/>
      <c r="BZL225" s="26"/>
      <c r="BZM225" s="26"/>
      <c r="BZN225" s="26"/>
      <c r="BZO225" s="26"/>
      <c r="BZP225" s="26"/>
      <c r="BZQ225" s="26"/>
      <c r="BZR225" s="26"/>
      <c r="BZS225" s="26"/>
      <c r="BZT225" s="26"/>
      <c r="BZU225" s="26"/>
      <c r="BZV225" s="26"/>
      <c r="BZW225" s="26"/>
      <c r="BZX225" s="26"/>
      <c r="BZY225" s="26"/>
      <c r="BZZ225" s="26"/>
      <c r="CAA225" s="26"/>
      <c r="CAB225" s="26"/>
      <c r="CAC225" s="26"/>
      <c r="CAD225" s="26"/>
      <c r="CAE225" s="26"/>
      <c r="CAF225" s="26"/>
      <c r="CAG225" s="26"/>
      <c r="CAH225" s="26"/>
      <c r="CAI225" s="26"/>
      <c r="CAJ225" s="26"/>
      <c r="CAK225" s="26"/>
      <c r="CAL225" s="26"/>
      <c r="CAM225" s="26"/>
      <c r="CAN225" s="26"/>
      <c r="CAO225" s="26"/>
      <c r="CAP225" s="26"/>
      <c r="CAQ225" s="26"/>
      <c r="CAR225" s="26"/>
      <c r="CAS225" s="26"/>
      <c r="CAT225" s="26"/>
      <c r="CAU225" s="26"/>
      <c r="CAV225" s="26"/>
      <c r="CAW225" s="26"/>
      <c r="CAX225" s="26"/>
      <c r="CAY225" s="26"/>
      <c r="CAZ225" s="26"/>
      <c r="CBA225" s="26"/>
      <c r="CBB225" s="26"/>
      <c r="CBC225" s="26"/>
      <c r="CBD225" s="26"/>
      <c r="CBE225" s="26"/>
      <c r="CBF225" s="26"/>
      <c r="CBG225" s="26"/>
      <c r="CBH225" s="26"/>
      <c r="CBI225" s="26"/>
    </row>
    <row r="226" spans="1:2089" ht="14" customHeight="1">
      <c r="A226" s="27">
        <v>225</v>
      </c>
      <c r="B226" s="27" t="s">
        <v>385</v>
      </c>
      <c r="C226" s="27">
        <v>2011</v>
      </c>
      <c r="D226" s="26" t="s">
        <v>18</v>
      </c>
      <c r="E226" s="26" t="s">
        <v>566</v>
      </c>
      <c r="F226" s="82" t="s">
        <v>175</v>
      </c>
      <c r="G226" s="2" t="s">
        <v>84</v>
      </c>
      <c r="H226" s="2" t="s">
        <v>30</v>
      </c>
      <c r="I226" s="2" t="s">
        <v>548</v>
      </c>
      <c r="J226" s="2" t="s">
        <v>603</v>
      </c>
      <c r="K226" s="2" t="s">
        <v>548</v>
      </c>
      <c r="L226" s="2" t="s">
        <v>548</v>
      </c>
      <c r="M226" s="2" t="s">
        <v>175</v>
      </c>
      <c r="N226" s="2" t="s">
        <v>62</v>
      </c>
      <c r="O226" s="2" t="s">
        <v>43</v>
      </c>
      <c r="P226" s="2" t="s">
        <v>62</v>
      </c>
      <c r="Q226" s="26" t="s">
        <v>606</v>
      </c>
      <c r="R226" s="79" t="s">
        <v>613</v>
      </c>
      <c r="S226" s="88">
        <v>0</v>
      </c>
      <c r="T226" s="26">
        <v>13</v>
      </c>
      <c r="U226" s="82">
        <v>1</v>
      </c>
      <c r="V226" s="26">
        <v>0</v>
      </c>
      <c r="W226" s="26">
        <v>1</v>
      </c>
      <c r="X226" s="26">
        <v>0</v>
      </c>
      <c r="Y226" s="26">
        <v>0</v>
      </c>
      <c r="Z226" s="26">
        <v>0</v>
      </c>
      <c r="AA226" s="26">
        <v>0</v>
      </c>
      <c r="AB226" s="26">
        <v>0</v>
      </c>
      <c r="AC226" s="26" t="s">
        <v>70</v>
      </c>
      <c r="AD226" s="26" t="s">
        <v>70</v>
      </c>
      <c r="AE226" s="26" t="s">
        <v>70</v>
      </c>
      <c r="AF226" s="26" t="s">
        <v>70</v>
      </c>
      <c r="AG226" s="38" t="s">
        <v>70</v>
      </c>
      <c r="AH226" s="38" t="s">
        <v>70</v>
      </c>
      <c r="AI226" s="38" t="s">
        <v>70</v>
      </c>
      <c r="AJ226" s="26" t="s">
        <v>70</v>
      </c>
      <c r="AK226" s="38" t="s">
        <v>70</v>
      </c>
      <c r="AL226" s="38" t="s">
        <v>70</v>
      </c>
      <c r="AM226" s="35" t="s">
        <v>548</v>
      </c>
      <c r="AN226" s="26" t="s">
        <v>274</v>
      </c>
      <c r="AO226" s="35" t="s">
        <v>175</v>
      </c>
      <c r="AP226" s="35" t="s">
        <v>548</v>
      </c>
      <c r="AQ226" s="35" t="s">
        <v>548</v>
      </c>
      <c r="AR226" s="35" t="s">
        <v>548</v>
      </c>
      <c r="AS226" s="26" t="s">
        <v>175</v>
      </c>
      <c r="AT226" s="26" t="s">
        <v>70</v>
      </c>
      <c r="AU226" s="26" t="s">
        <v>70</v>
      </c>
      <c r="AV226" s="26">
        <v>4</v>
      </c>
    </row>
    <row r="227" spans="1:2089" ht="14" customHeight="1">
      <c r="A227" s="27">
        <v>226</v>
      </c>
      <c r="B227" s="27" t="s">
        <v>385</v>
      </c>
      <c r="C227" s="27">
        <v>2011</v>
      </c>
      <c r="D227" s="26" t="s">
        <v>18</v>
      </c>
      <c r="E227" s="26" t="s">
        <v>566</v>
      </c>
      <c r="F227" s="82" t="s">
        <v>175</v>
      </c>
      <c r="G227" s="2" t="s">
        <v>84</v>
      </c>
      <c r="H227" s="2" t="s">
        <v>30</v>
      </c>
      <c r="I227" s="2" t="s">
        <v>548</v>
      </c>
      <c r="J227" s="2" t="s">
        <v>604</v>
      </c>
      <c r="K227" s="2" t="s">
        <v>548</v>
      </c>
      <c r="L227" s="2" t="s">
        <v>548</v>
      </c>
      <c r="M227" s="2" t="s">
        <v>175</v>
      </c>
      <c r="N227" s="2" t="s">
        <v>62</v>
      </c>
      <c r="O227" s="2" t="s">
        <v>43</v>
      </c>
      <c r="P227" s="2" t="s">
        <v>62</v>
      </c>
      <c r="Q227" s="26" t="s">
        <v>606</v>
      </c>
      <c r="R227" s="79" t="s">
        <v>613</v>
      </c>
      <c r="S227" s="88">
        <v>1</v>
      </c>
      <c r="T227" s="26">
        <v>25</v>
      </c>
      <c r="U227" s="82">
        <v>1</v>
      </c>
      <c r="V227" s="26">
        <v>0</v>
      </c>
      <c r="W227" s="26">
        <v>1</v>
      </c>
      <c r="X227" s="26">
        <v>1</v>
      </c>
      <c r="Y227" s="26">
        <v>0</v>
      </c>
      <c r="Z227" s="26">
        <v>0</v>
      </c>
      <c r="AA227" s="26">
        <v>0</v>
      </c>
      <c r="AB227" s="26">
        <v>0</v>
      </c>
      <c r="AC227" s="26" t="s">
        <v>70</v>
      </c>
      <c r="AD227" s="26" t="s">
        <v>70</v>
      </c>
      <c r="AE227" s="26" t="s">
        <v>70</v>
      </c>
      <c r="AF227" s="26" t="s">
        <v>70</v>
      </c>
      <c r="AG227" s="38" t="s">
        <v>70</v>
      </c>
      <c r="AH227" s="38" t="s">
        <v>70</v>
      </c>
      <c r="AI227" s="38" t="s">
        <v>70</v>
      </c>
      <c r="AJ227" s="26" t="s">
        <v>110</v>
      </c>
      <c r="AK227" s="38" t="s">
        <v>70</v>
      </c>
      <c r="AL227" s="38" t="s">
        <v>70</v>
      </c>
      <c r="AM227" s="35" t="s">
        <v>548</v>
      </c>
      <c r="AN227" s="26" t="s">
        <v>274</v>
      </c>
      <c r="AO227" s="35" t="s">
        <v>175</v>
      </c>
      <c r="AP227" s="35" t="s">
        <v>548</v>
      </c>
      <c r="AQ227" s="35" t="s">
        <v>548</v>
      </c>
      <c r="AR227" s="35" t="s">
        <v>548</v>
      </c>
      <c r="AS227" s="26" t="s">
        <v>175</v>
      </c>
      <c r="AT227" s="26" t="s">
        <v>70</v>
      </c>
      <c r="AU227" s="26" t="s">
        <v>70</v>
      </c>
      <c r="AV227" s="26">
        <v>5</v>
      </c>
    </row>
    <row r="228" spans="1:2089" s="52" customFormat="1" ht="14" customHeight="1">
      <c r="A228" s="27">
        <v>227</v>
      </c>
      <c r="B228" s="27" t="s">
        <v>385</v>
      </c>
      <c r="C228" s="37">
        <v>2012</v>
      </c>
      <c r="D228" s="26" t="s">
        <v>18</v>
      </c>
      <c r="E228" s="26" t="s">
        <v>566</v>
      </c>
      <c r="F228" s="77" t="s">
        <v>175</v>
      </c>
      <c r="G228" s="77" t="s">
        <v>84</v>
      </c>
      <c r="H228" s="2" t="s">
        <v>30</v>
      </c>
      <c r="I228" s="2" t="s">
        <v>175</v>
      </c>
      <c r="J228" s="2" t="s">
        <v>603</v>
      </c>
      <c r="K228" s="2" t="s">
        <v>548</v>
      </c>
      <c r="L228" s="2" t="s">
        <v>548</v>
      </c>
      <c r="M228" s="2" t="s">
        <v>175</v>
      </c>
      <c r="N228" s="2" t="s">
        <v>62</v>
      </c>
      <c r="O228" s="2" t="s">
        <v>43</v>
      </c>
      <c r="P228" s="2" t="s">
        <v>62</v>
      </c>
      <c r="Q228" s="26" t="s">
        <v>606</v>
      </c>
      <c r="R228" s="79" t="s">
        <v>613</v>
      </c>
      <c r="S228" s="2">
        <f>40/T228</f>
        <v>0.81632653061224492</v>
      </c>
      <c r="T228" s="26">
        <v>49</v>
      </c>
      <c r="U228" s="77">
        <v>1</v>
      </c>
      <c r="V228" s="26">
        <v>0</v>
      </c>
      <c r="W228" s="26">
        <v>1</v>
      </c>
      <c r="X228" s="26">
        <v>1</v>
      </c>
      <c r="Y228" s="26">
        <v>0</v>
      </c>
      <c r="Z228" s="26">
        <v>0</v>
      </c>
      <c r="AA228" s="26">
        <v>0</v>
      </c>
      <c r="AB228" s="26">
        <v>0</v>
      </c>
      <c r="AC228" s="26" t="s">
        <v>70</v>
      </c>
      <c r="AD228" s="26" t="s">
        <v>70</v>
      </c>
      <c r="AE228" s="26" t="s">
        <v>70</v>
      </c>
      <c r="AF228" s="26" t="s">
        <v>70</v>
      </c>
      <c r="AG228" s="26" t="s">
        <v>70</v>
      </c>
      <c r="AH228" s="26" t="s">
        <v>70</v>
      </c>
      <c r="AI228" s="26" t="s">
        <v>70</v>
      </c>
      <c r="AJ228" s="26" t="s">
        <v>206</v>
      </c>
      <c r="AK228" s="26" t="s">
        <v>70</v>
      </c>
      <c r="AL228" s="26" t="s">
        <v>70</v>
      </c>
      <c r="AM228" s="35" t="s">
        <v>175</v>
      </c>
      <c r="AN228" s="32" t="s">
        <v>9</v>
      </c>
      <c r="AO228" s="35" t="s">
        <v>175</v>
      </c>
      <c r="AP228" s="35" t="s">
        <v>548</v>
      </c>
      <c r="AQ228" s="35" t="s">
        <v>548</v>
      </c>
      <c r="AR228" s="35" t="s">
        <v>548</v>
      </c>
      <c r="AS228" s="26" t="s">
        <v>175</v>
      </c>
      <c r="AT228" s="26" t="s">
        <v>70</v>
      </c>
      <c r="AU228" s="26" t="s">
        <v>70</v>
      </c>
      <c r="AV228" s="26">
        <v>7</v>
      </c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  <c r="GR228" s="26"/>
      <c r="GS228" s="26"/>
      <c r="GT228" s="26"/>
      <c r="GU228" s="26"/>
      <c r="GV228" s="26"/>
      <c r="GW228" s="26"/>
      <c r="GX228" s="26"/>
      <c r="GY228" s="26"/>
      <c r="GZ228" s="26"/>
      <c r="HA228" s="26"/>
      <c r="HB228" s="26"/>
      <c r="HC228" s="26"/>
      <c r="HD228" s="26"/>
      <c r="HE228" s="26"/>
      <c r="HF228" s="26"/>
      <c r="HG228" s="26"/>
      <c r="HH228" s="26"/>
      <c r="HI228" s="26"/>
      <c r="HJ228" s="26"/>
      <c r="HK228" s="26"/>
      <c r="HL228" s="26"/>
      <c r="HM228" s="26"/>
      <c r="HN228" s="26"/>
      <c r="HO228" s="26"/>
      <c r="HP228" s="26"/>
      <c r="HQ228" s="26"/>
      <c r="HR228" s="26"/>
      <c r="HS228" s="26"/>
      <c r="HT228" s="26"/>
      <c r="HU228" s="26"/>
      <c r="HV228" s="26"/>
      <c r="HW228" s="26"/>
      <c r="HX228" s="26"/>
      <c r="HY228" s="26"/>
      <c r="HZ228" s="26"/>
      <c r="IA228" s="26"/>
      <c r="IB228" s="26"/>
      <c r="IC228" s="26"/>
      <c r="ID228" s="26"/>
      <c r="IE228" s="26"/>
      <c r="IF228" s="26"/>
      <c r="IG228" s="26"/>
      <c r="IH228" s="26"/>
      <c r="II228" s="26"/>
      <c r="IJ228" s="26"/>
      <c r="IK228" s="26"/>
      <c r="IL228" s="26"/>
      <c r="IM228" s="26"/>
      <c r="IN228" s="26"/>
      <c r="IO228" s="26"/>
      <c r="IP228" s="26"/>
      <c r="IQ228" s="26"/>
      <c r="IR228" s="26"/>
      <c r="IS228" s="26"/>
      <c r="IT228" s="26"/>
      <c r="IU228" s="26"/>
      <c r="IV228" s="26"/>
      <c r="IW228" s="26"/>
      <c r="IX228" s="26"/>
      <c r="IY228" s="26"/>
      <c r="IZ228" s="26"/>
      <c r="JA228" s="26"/>
      <c r="JB228" s="26"/>
      <c r="JC228" s="26"/>
      <c r="JD228" s="26"/>
      <c r="JE228" s="26"/>
      <c r="JF228" s="26"/>
      <c r="JG228" s="26"/>
      <c r="JH228" s="26"/>
      <c r="JI228" s="26"/>
      <c r="JJ228" s="26"/>
      <c r="JK228" s="26"/>
      <c r="JL228" s="26"/>
      <c r="JM228" s="26"/>
      <c r="JN228" s="26"/>
      <c r="JO228" s="26"/>
      <c r="JP228" s="26"/>
      <c r="JQ228" s="26"/>
      <c r="JR228" s="26"/>
      <c r="JS228" s="26"/>
      <c r="JT228" s="26"/>
      <c r="JU228" s="26"/>
      <c r="JV228" s="26"/>
      <c r="JW228" s="26"/>
      <c r="JX228" s="26"/>
      <c r="JY228" s="26"/>
      <c r="JZ228" s="26"/>
      <c r="KA228" s="26"/>
      <c r="KB228" s="26"/>
      <c r="KC228" s="26"/>
      <c r="KD228" s="26"/>
      <c r="KE228" s="26"/>
      <c r="KF228" s="26"/>
      <c r="KG228" s="26"/>
      <c r="KH228" s="26"/>
      <c r="KI228" s="26"/>
      <c r="KJ228" s="26"/>
      <c r="KK228" s="26"/>
      <c r="KL228" s="26"/>
      <c r="KM228" s="26"/>
      <c r="KN228" s="26"/>
      <c r="KO228" s="26"/>
      <c r="KP228" s="26"/>
      <c r="KQ228" s="26"/>
      <c r="KR228" s="26"/>
      <c r="KS228" s="26"/>
      <c r="KT228" s="26"/>
      <c r="KU228" s="26"/>
      <c r="KV228" s="26"/>
      <c r="KW228" s="26"/>
      <c r="KX228" s="26"/>
      <c r="KY228" s="26"/>
      <c r="KZ228" s="26"/>
      <c r="LA228" s="26"/>
      <c r="LB228" s="26"/>
      <c r="LC228" s="26"/>
      <c r="LD228" s="26"/>
      <c r="LE228" s="26"/>
      <c r="LF228" s="26"/>
      <c r="LG228" s="26"/>
      <c r="LH228" s="26"/>
      <c r="LI228" s="26"/>
      <c r="LJ228" s="26"/>
      <c r="LK228" s="26"/>
      <c r="LL228" s="26"/>
      <c r="LM228" s="26"/>
      <c r="LN228" s="26"/>
      <c r="LO228" s="26"/>
      <c r="LP228" s="26"/>
      <c r="LQ228" s="26"/>
      <c r="LR228" s="26"/>
      <c r="LS228" s="26"/>
      <c r="LT228" s="26"/>
      <c r="LU228" s="26"/>
      <c r="LV228" s="26"/>
      <c r="LW228" s="26"/>
      <c r="LX228" s="26"/>
      <c r="LY228" s="26"/>
      <c r="LZ228" s="26"/>
      <c r="MA228" s="26"/>
      <c r="MB228" s="26"/>
      <c r="MC228" s="26"/>
      <c r="MD228" s="26"/>
      <c r="ME228" s="26"/>
      <c r="MF228" s="26"/>
      <c r="MG228" s="26"/>
      <c r="MH228" s="26"/>
      <c r="MI228" s="26"/>
      <c r="MJ228" s="26"/>
      <c r="MK228" s="26"/>
      <c r="ML228" s="26"/>
      <c r="MM228" s="26"/>
      <c r="MN228" s="26"/>
      <c r="MO228" s="26"/>
      <c r="MP228" s="26"/>
      <c r="MQ228" s="26"/>
      <c r="MR228" s="26"/>
      <c r="MS228" s="26"/>
      <c r="MT228" s="26"/>
      <c r="MU228" s="26"/>
      <c r="MV228" s="26"/>
      <c r="MW228" s="26"/>
      <c r="MX228" s="26"/>
      <c r="MY228" s="26"/>
      <c r="MZ228" s="26"/>
      <c r="NA228" s="26"/>
      <c r="NB228" s="26"/>
      <c r="NC228" s="26"/>
      <c r="ND228" s="26"/>
      <c r="NE228" s="26"/>
      <c r="NF228" s="26"/>
      <c r="NG228" s="26"/>
      <c r="NH228" s="26"/>
      <c r="NI228" s="26"/>
      <c r="NJ228" s="26"/>
      <c r="NK228" s="26"/>
      <c r="NL228" s="26"/>
      <c r="NM228" s="26"/>
      <c r="NN228" s="26"/>
      <c r="NO228" s="26"/>
      <c r="NP228" s="26"/>
      <c r="NQ228" s="26"/>
      <c r="NR228" s="26"/>
      <c r="NS228" s="26"/>
      <c r="NT228" s="26"/>
      <c r="NU228" s="26"/>
      <c r="NV228" s="26"/>
      <c r="NW228" s="26"/>
      <c r="NX228" s="26"/>
      <c r="NY228" s="26"/>
      <c r="NZ228" s="26"/>
      <c r="OA228" s="26"/>
      <c r="OB228" s="26"/>
      <c r="OC228" s="26"/>
      <c r="OD228" s="26"/>
      <c r="OE228" s="26"/>
      <c r="OF228" s="26"/>
      <c r="OG228" s="26"/>
      <c r="OH228" s="26"/>
      <c r="OI228" s="26"/>
      <c r="OJ228" s="26"/>
      <c r="OK228" s="26"/>
      <c r="OL228" s="26"/>
      <c r="OM228" s="26"/>
      <c r="ON228" s="26"/>
      <c r="OO228" s="26"/>
      <c r="OP228" s="26"/>
      <c r="OQ228" s="26"/>
      <c r="OR228" s="26"/>
      <c r="OS228" s="26"/>
      <c r="OT228" s="26"/>
      <c r="OU228" s="26"/>
      <c r="OV228" s="26"/>
      <c r="OW228" s="26"/>
      <c r="OX228" s="26"/>
      <c r="OY228" s="26"/>
      <c r="OZ228" s="26"/>
      <c r="PA228" s="26"/>
      <c r="PB228" s="26"/>
      <c r="PC228" s="26"/>
      <c r="PD228" s="26"/>
      <c r="PE228" s="26"/>
      <c r="PF228" s="26"/>
      <c r="PG228" s="26"/>
      <c r="PH228" s="26"/>
      <c r="PI228" s="26"/>
      <c r="PJ228" s="26"/>
      <c r="PK228" s="26"/>
      <c r="PL228" s="26"/>
      <c r="PM228" s="26"/>
      <c r="PN228" s="26"/>
      <c r="PO228" s="26"/>
      <c r="PP228" s="26"/>
      <c r="PQ228" s="26"/>
      <c r="PR228" s="26"/>
      <c r="PS228" s="26"/>
      <c r="PT228" s="26"/>
      <c r="PU228" s="26"/>
      <c r="PV228" s="26"/>
      <c r="PW228" s="26"/>
      <c r="PX228" s="26"/>
      <c r="PY228" s="26"/>
      <c r="PZ228" s="26"/>
      <c r="QA228" s="26"/>
      <c r="QB228" s="26"/>
      <c r="QC228" s="26"/>
      <c r="QD228" s="26"/>
      <c r="QE228" s="26"/>
      <c r="QF228" s="26"/>
      <c r="QG228" s="26"/>
      <c r="QH228" s="26"/>
      <c r="QI228" s="26"/>
      <c r="QJ228" s="26"/>
      <c r="QK228" s="26"/>
      <c r="QL228" s="26"/>
      <c r="QM228" s="26"/>
      <c r="QN228" s="26"/>
      <c r="QO228" s="26"/>
      <c r="QP228" s="26"/>
      <c r="QQ228" s="26"/>
      <c r="QR228" s="26"/>
      <c r="QS228" s="26"/>
      <c r="QT228" s="26"/>
      <c r="QU228" s="26"/>
      <c r="QV228" s="26"/>
      <c r="QW228" s="26"/>
      <c r="QX228" s="26"/>
      <c r="QY228" s="26"/>
      <c r="QZ228" s="26"/>
      <c r="RA228" s="26"/>
      <c r="RB228" s="26"/>
      <c r="RC228" s="26"/>
      <c r="RD228" s="26"/>
      <c r="RE228" s="26"/>
      <c r="RF228" s="26"/>
      <c r="RG228" s="26"/>
      <c r="RH228" s="26"/>
      <c r="RI228" s="26"/>
      <c r="RJ228" s="26"/>
      <c r="RK228" s="26"/>
      <c r="RL228" s="26"/>
      <c r="RM228" s="26"/>
      <c r="RN228" s="26"/>
      <c r="RO228" s="26"/>
      <c r="RP228" s="26"/>
      <c r="RQ228" s="26"/>
      <c r="RR228" s="26"/>
      <c r="RS228" s="26"/>
      <c r="RT228" s="26"/>
      <c r="RU228" s="26"/>
      <c r="RV228" s="26"/>
      <c r="RW228" s="26"/>
      <c r="RX228" s="26"/>
      <c r="RY228" s="26"/>
      <c r="RZ228" s="26"/>
      <c r="SA228" s="26"/>
      <c r="SB228" s="26"/>
      <c r="SC228" s="26"/>
      <c r="SD228" s="26"/>
      <c r="SE228" s="26"/>
      <c r="SF228" s="26"/>
      <c r="SG228" s="26"/>
      <c r="SH228" s="26"/>
      <c r="SI228" s="26"/>
      <c r="SJ228" s="26"/>
      <c r="SK228" s="26"/>
      <c r="SL228" s="26"/>
      <c r="SM228" s="26"/>
      <c r="SN228" s="26"/>
      <c r="SO228" s="26"/>
      <c r="SP228" s="26"/>
      <c r="SQ228" s="26"/>
      <c r="SR228" s="26"/>
      <c r="SS228" s="26"/>
      <c r="ST228" s="26"/>
      <c r="SU228" s="26"/>
      <c r="SV228" s="26"/>
      <c r="SW228" s="26"/>
      <c r="SX228" s="26"/>
      <c r="SY228" s="26"/>
      <c r="SZ228" s="26"/>
      <c r="TA228" s="26"/>
      <c r="TB228" s="26"/>
      <c r="TC228" s="26"/>
      <c r="TD228" s="26"/>
      <c r="TE228" s="26"/>
      <c r="TF228" s="26"/>
      <c r="TG228" s="26"/>
      <c r="TH228" s="26"/>
      <c r="TI228" s="26"/>
      <c r="TJ228" s="26"/>
      <c r="TK228" s="26"/>
      <c r="TL228" s="26"/>
      <c r="TM228" s="26"/>
      <c r="TN228" s="26"/>
      <c r="TO228" s="26"/>
      <c r="TP228" s="26"/>
      <c r="TQ228" s="26"/>
      <c r="TR228" s="26"/>
      <c r="TS228" s="26"/>
      <c r="TT228" s="26"/>
      <c r="TU228" s="26"/>
      <c r="TV228" s="26"/>
      <c r="TW228" s="26"/>
      <c r="TX228" s="26"/>
      <c r="TY228" s="26"/>
      <c r="TZ228" s="26"/>
      <c r="UA228" s="26"/>
      <c r="UB228" s="26"/>
      <c r="UC228" s="26"/>
      <c r="UD228" s="26"/>
      <c r="UE228" s="26"/>
      <c r="UF228" s="26"/>
      <c r="UG228" s="26"/>
      <c r="UH228" s="26"/>
      <c r="UI228" s="26"/>
      <c r="UJ228" s="26"/>
      <c r="UK228" s="26"/>
      <c r="UL228" s="26"/>
      <c r="UM228" s="26"/>
      <c r="UN228" s="26"/>
      <c r="UO228" s="26"/>
      <c r="UP228" s="26"/>
      <c r="UQ228" s="26"/>
      <c r="UR228" s="26"/>
      <c r="US228" s="26"/>
      <c r="UT228" s="26"/>
      <c r="UU228" s="26"/>
      <c r="UV228" s="26"/>
      <c r="UW228" s="26"/>
      <c r="UX228" s="26"/>
      <c r="UY228" s="26"/>
      <c r="UZ228" s="26"/>
      <c r="VA228" s="26"/>
      <c r="VB228" s="26"/>
      <c r="VC228" s="26"/>
      <c r="VD228" s="26"/>
      <c r="VE228" s="26"/>
      <c r="VF228" s="26"/>
      <c r="VG228" s="26"/>
      <c r="VH228" s="26"/>
      <c r="VI228" s="26"/>
      <c r="VJ228" s="26"/>
      <c r="VK228" s="26"/>
      <c r="VL228" s="26"/>
      <c r="VM228" s="26"/>
      <c r="VN228" s="26"/>
      <c r="VO228" s="26"/>
      <c r="VP228" s="26"/>
      <c r="VQ228" s="26"/>
      <c r="VR228" s="26"/>
      <c r="VS228" s="26"/>
      <c r="VT228" s="26"/>
      <c r="VU228" s="26"/>
      <c r="VV228" s="26"/>
      <c r="VW228" s="26"/>
      <c r="VX228" s="26"/>
      <c r="VY228" s="26"/>
      <c r="VZ228" s="26"/>
      <c r="WA228" s="26"/>
      <c r="WB228" s="26"/>
      <c r="WC228" s="26"/>
      <c r="WD228" s="26"/>
      <c r="WE228" s="26"/>
      <c r="WF228" s="26"/>
      <c r="WG228" s="26"/>
      <c r="WH228" s="26"/>
      <c r="WI228" s="26"/>
      <c r="WJ228" s="26"/>
      <c r="WK228" s="26"/>
      <c r="WL228" s="26"/>
      <c r="WM228" s="26"/>
      <c r="WN228" s="26"/>
      <c r="WO228" s="26"/>
      <c r="WP228" s="26"/>
      <c r="WQ228" s="26"/>
      <c r="WR228" s="26"/>
      <c r="WS228" s="26"/>
      <c r="WT228" s="26"/>
      <c r="WU228" s="26"/>
      <c r="WV228" s="26"/>
      <c r="WW228" s="26"/>
      <c r="WX228" s="26"/>
      <c r="WY228" s="26"/>
      <c r="WZ228" s="26"/>
      <c r="XA228" s="26"/>
      <c r="XB228" s="26"/>
      <c r="XC228" s="26"/>
      <c r="XD228" s="26"/>
      <c r="XE228" s="26"/>
      <c r="XF228" s="26"/>
      <c r="XG228" s="26"/>
      <c r="XH228" s="26"/>
      <c r="XI228" s="26"/>
      <c r="XJ228" s="26"/>
      <c r="XK228" s="26"/>
      <c r="XL228" s="26"/>
      <c r="XM228" s="26"/>
      <c r="XN228" s="26"/>
      <c r="XO228" s="26"/>
      <c r="XP228" s="26"/>
      <c r="XQ228" s="26"/>
      <c r="XR228" s="26"/>
      <c r="XS228" s="26"/>
      <c r="XT228" s="26"/>
      <c r="XU228" s="26"/>
      <c r="XV228" s="26"/>
      <c r="XW228" s="26"/>
      <c r="XX228" s="26"/>
      <c r="XY228" s="26"/>
      <c r="XZ228" s="26"/>
      <c r="YA228" s="26"/>
      <c r="YB228" s="26"/>
      <c r="YC228" s="26"/>
      <c r="YD228" s="26"/>
      <c r="YE228" s="26"/>
      <c r="YF228" s="26"/>
      <c r="YG228" s="26"/>
      <c r="YH228" s="26"/>
      <c r="YI228" s="26"/>
      <c r="YJ228" s="26"/>
      <c r="YK228" s="26"/>
      <c r="YL228" s="26"/>
      <c r="YM228" s="26"/>
      <c r="YN228" s="26"/>
      <c r="YO228" s="26"/>
      <c r="YP228" s="26"/>
      <c r="YQ228" s="26"/>
      <c r="YR228" s="26"/>
      <c r="YS228" s="26"/>
      <c r="YT228" s="26"/>
      <c r="YU228" s="26"/>
      <c r="YV228" s="26"/>
      <c r="YW228" s="26"/>
      <c r="YX228" s="26"/>
      <c r="YY228" s="26"/>
      <c r="YZ228" s="26"/>
      <c r="ZA228" s="26"/>
      <c r="ZB228" s="26"/>
      <c r="ZC228" s="26"/>
      <c r="ZD228" s="26"/>
      <c r="ZE228" s="26"/>
      <c r="ZF228" s="26"/>
      <c r="ZG228" s="26"/>
      <c r="ZH228" s="26"/>
      <c r="ZI228" s="26"/>
      <c r="ZJ228" s="26"/>
      <c r="ZK228" s="26"/>
      <c r="ZL228" s="26"/>
      <c r="ZM228" s="26"/>
      <c r="ZN228" s="26"/>
      <c r="ZO228" s="26"/>
      <c r="ZP228" s="26"/>
      <c r="ZQ228" s="26"/>
      <c r="ZR228" s="26"/>
      <c r="ZS228" s="26"/>
      <c r="ZT228" s="26"/>
      <c r="ZU228" s="26"/>
      <c r="ZV228" s="26"/>
      <c r="ZW228" s="26"/>
      <c r="ZX228" s="26"/>
      <c r="ZY228" s="26"/>
      <c r="ZZ228" s="26"/>
      <c r="AAA228" s="26"/>
      <c r="AAB228" s="26"/>
      <c r="AAC228" s="26"/>
      <c r="AAD228" s="26"/>
      <c r="AAE228" s="26"/>
      <c r="AAF228" s="26"/>
      <c r="AAG228" s="26"/>
      <c r="AAH228" s="26"/>
      <c r="AAI228" s="26"/>
      <c r="AAJ228" s="26"/>
      <c r="AAK228" s="26"/>
      <c r="AAL228" s="26"/>
      <c r="AAM228" s="26"/>
      <c r="AAN228" s="26"/>
      <c r="AAO228" s="26"/>
      <c r="AAP228" s="26"/>
      <c r="AAQ228" s="26"/>
      <c r="AAR228" s="26"/>
      <c r="AAS228" s="26"/>
      <c r="AAT228" s="26"/>
      <c r="AAU228" s="26"/>
      <c r="AAV228" s="26"/>
      <c r="AAW228" s="26"/>
      <c r="AAX228" s="26"/>
      <c r="AAY228" s="26"/>
      <c r="AAZ228" s="26"/>
      <c r="ABA228" s="26"/>
      <c r="ABB228" s="26"/>
      <c r="ABC228" s="26"/>
      <c r="ABD228" s="26"/>
      <c r="ABE228" s="26"/>
      <c r="ABF228" s="26"/>
      <c r="ABG228" s="26"/>
      <c r="ABH228" s="26"/>
      <c r="ABI228" s="26"/>
      <c r="ABJ228" s="26"/>
      <c r="ABK228" s="26"/>
      <c r="ABL228" s="26"/>
      <c r="ABM228" s="26"/>
      <c r="ABN228" s="26"/>
      <c r="ABO228" s="26"/>
      <c r="ABP228" s="26"/>
      <c r="ABQ228" s="26"/>
      <c r="ABR228" s="26"/>
      <c r="ABS228" s="26"/>
      <c r="ABT228" s="26"/>
      <c r="ABU228" s="26"/>
      <c r="ABV228" s="26"/>
      <c r="ABW228" s="26"/>
      <c r="ABX228" s="26"/>
      <c r="ABY228" s="26"/>
      <c r="ABZ228" s="26"/>
      <c r="ACA228" s="26"/>
      <c r="ACB228" s="26"/>
      <c r="ACC228" s="26"/>
      <c r="ACD228" s="26"/>
      <c r="ACE228" s="26"/>
      <c r="ACF228" s="26"/>
      <c r="ACG228" s="26"/>
      <c r="ACH228" s="26"/>
      <c r="ACI228" s="26"/>
      <c r="ACJ228" s="26"/>
      <c r="ACK228" s="26"/>
      <c r="ACL228" s="26"/>
      <c r="ACM228" s="26"/>
      <c r="ACN228" s="26"/>
      <c r="ACO228" s="26"/>
      <c r="ACP228" s="26"/>
      <c r="ACQ228" s="26"/>
      <c r="ACR228" s="26"/>
      <c r="ACS228" s="26"/>
      <c r="ACT228" s="26"/>
      <c r="ACU228" s="26"/>
      <c r="ACV228" s="26"/>
      <c r="ACW228" s="26"/>
      <c r="ACX228" s="26"/>
      <c r="ACY228" s="26"/>
      <c r="ACZ228" s="26"/>
      <c r="ADA228" s="26"/>
      <c r="ADB228" s="26"/>
      <c r="ADC228" s="26"/>
      <c r="ADD228" s="26"/>
      <c r="ADE228" s="26"/>
      <c r="ADF228" s="26"/>
      <c r="ADG228" s="26"/>
      <c r="ADH228" s="26"/>
      <c r="ADI228" s="26"/>
      <c r="ADJ228" s="26"/>
      <c r="ADK228" s="26"/>
      <c r="ADL228" s="26"/>
      <c r="ADM228" s="26"/>
      <c r="ADN228" s="26"/>
      <c r="ADO228" s="26"/>
      <c r="ADP228" s="26"/>
      <c r="ADQ228" s="26"/>
      <c r="ADR228" s="26"/>
      <c r="ADS228" s="26"/>
      <c r="ADT228" s="26"/>
      <c r="ADU228" s="26"/>
      <c r="ADV228" s="26"/>
      <c r="ADW228" s="26"/>
      <c r="ADX228" s="26"/>
      <c r="ADY228" s="26"/>
      <c r="ADZ228" s="26"/>
      <c r="AEA228" s="26"/>
      <c r="AEB228" s="26"/>
      <c r="AEC228" s="26"/>
      <c r="AED228" s="26"/>
      <c r="AEE228" s="26"/>
      <c r="AEF228" s="26"/>
      <c r="AEG228" s="26"/>
      <c r="AEH228" s="26"/>
      <c r="AEI228" s="26"/>
      <c r="AEJ228" s="26"/>
      <c r="AEK228" s="26"/>
      <c r="AEL228" s="26"/>
      <c r="AEM228" s="26"/>
      <c r="AEN228" s="26"/>
      <c r="AEO228" s="26"/>
      <c r="AEP228" s="26"/>
      <c r="AEQ228" s="26"/>
      <c r="AER228" s="26"/>
      <c r="AES228" s="26"/>
      <c r="AET228" s="26"/>
      <c r="AEU228" s="26"/>
      <c r="AEV228" s="26"/>
      <c r="AEW228" s="26"/>
      <c r="AEX228" s="26"/>
      <c r="AEY228" s="26"/>
      <c r="AEZ228" s="26"/>
      <c r="AFA228" s="26"/>
      <c r="AFB228" s="26"/>
      <c r="AFC228" s="26"/>
      <c r="AFD228" s="26"/>
      <c r="AFE228" s="26"/>
      <c r="AFF228" s="26"/>
      <c r="AFG228" s="26"/>
      <c r="AFH228" s="26"/>
      <c r="AFI228" s="26"/>
      <c r="AFJ228" s="26"/>
      <c r="AFK228" s="26"/>
      <c r="AFL228" s="26"/>
      <c r="AFM228" s="26"/>
      <c r="AFN228" s="26"/>
      <c r="AFO228" s="26"/>
      <c r="AFP228" s="26"/>
      <c r="AFQ228" s="26"/>
      <c r="AFR228" s="26"/>
      <c r="AFS228" s="26"/>
      <c r="AFT228" s="26"/>
      <c r="AFU228" s="26"/>
      <c r="AFV228" s="26"/>
      <c r="AFW228" s="26"/>
      <c r="AFX228" s="26"/>
      <c r="AFY228" s="26"/>
      <c r="AFZ228" s="26"/>
      <c r="AGA228" s="26"/>
      <c r="AGB228" s="26"/>
      <c r="AGC228" s="26"/>
      <c r="AGD228" s="26"/>
      <c r="AGE228" s="26"/>
      <c r="AGF228" s="26"/>
      <c r="AGG228" s="26"/>
      <c r="AGH228" s="26"/>
      <c r="AGI228" s="26"/>
      <c r="AGJ228" s="26"/>
      <c r="AGK228" s="26"/>
      <c r="AGL228" s="26"/>
      <c r="AGM228" s="26"/>
      <c r="AGN228" s="26"/>
      <c r="AGO228" s="26"/>
      <c r="AGP228" s="26"/>
      <c r="AGQ228" s="26"/>
      <c r="AGR228" s="26"/>
      <c r="AGS228" s="26"/>
      <c r="AGT228" s="26"/>
      <c r="AGU228" s="26"/>
      <c r="AGV228" s="26"/>
      <c r="AGW228" s="26"/>
      <c r="AGX228" s="26"/>
      <c r="AGY228" s="26"/>
      <c r="AGZ228" s="26"/>
      <c r="AHA228" s="26"/>
      <c r="AHB228" s="26"/>
      <c r="AHC228" s="26"/>
      <c r="AHD228" s="26"/>
      <c r="AHE228" s="26"/>
      <c r="AHF228" s="26"/>
      <c r="AHG228" s="26"/>
      <c r="AHH228" s="26"/>
      <c r="AHI228" s="26"/>
      <c r="AHJ228" s="26"/>
      <c r="AHK228" s="26"/>
      <c r="AHL228" s="26"/>
      <c r="AHM228" s="26"/>
      <c r="AHN228" s="26"/>
      <c r="AHO228" s="26"/>
      <c r="AHP228" s="26"/>
      <c r="AHQ228" s="26"/>
      <c r="AHR228" s="26"/>
      <c r="AHS228" s="26"/>
      <c r="AHT228" s="26"/>
      <c r="AHU228" s="26"/>
      <c r="AHV228" s="26"/>
      <c r="AHW228" s="26"/>
      <c r="AHX228" s="26"/>
      <c r="AHY228" s="26"/>
      <c r="AHZ228" s="26"/>
      <c r="AIA228" s="26"/>
      <c r="AIB228" s="26"/>
      <c r="AIC228" s="26"/>
      <c r="AID228" s="26"/>
      <c r="AIE228" s="26"/>
      <c r="AIF228" s="26"/>
      <c r="AIG228" s="26"/>
      <c r="AIH228" s="26"/>
      <c r="AII228" s="26"/>
      <c r="AIJ228" s="26"/>
      <c r="AIK228" s="26"/>
      <c r="AIL228" s="26"/>
      <c r="AIM228" s="26"/>
      <c r="AIN228" s="26"/>
      <c r="AIO228" s="26"/>
      <c r="AIP228" s="26"/>
      <c r="AIQ228" s="26"/>
      <c r="AIR228" s="26"/>
      <c r="AIS228" s="26"/>
      <c r="AIT228" s="26"/>
      <c r="AIU228" s="26"/>
      <c r="AIV228" s="26"/>
      <c r="AIW228" s="26"/>
      <c r="AIX228" s="26"/>
      <c r="AIY228" s="26"/>
      <c r="AIZ228" s="26"/>
      <c r="AJA228" s="26"/>
      <c r="AJB228" s="26"/>
      <c r="AJC228" s="26"/>
      <c r="AJD228" s="26"/>
      <c r="AJE228" s="26"/>
      <c r="AJF228" s="26"/>
      <c r="AJG228" s="26"/>
      <c r="AJH228" s="26"/>
      <c r="AJI228" s="26"/>
      <c r="AJJ228" s="26"/>
      <c r="AJK228" s="26"/>
      <c r="AJL228" s="26"/>
      <c r="AJM228" s="26"/>
      <c r="AJN228" s="26"/>
      <c r="AJO228" s="26"/>
      <c r="AJP228" s="26"/>
      <c r="AJQ228" s="26"/>
      <c r="AJR228" s="26"/>
      <c r="AJS228" s="26"/>
      <c r="AJT228" s="26"/>
      <c r="AJU228" s="26"/>
      <c r="AJV228" s="26"/>
      <c r="AJW228" s="26"/>
      <c r="AJX228" s="26"/>
      <c r="AJY228" s="26"/>
      <c r="AJZ228" s="26"/>
      <c r="AKA228" s="26"/>
      <c r="AKB228" s="26"/>
      <c r="AKC228" s="26"/>
      <c r="AKD228" s="26"/>
      <c r="AKE228" s="26"/>
      <c r="AKF228" s="26"/>
      <c r="AKG228" s="26"/>
      <c r="AKH228" s="26"/>
      <c r="AKI228" s="26"/>
      <c r="AKJ228" s="26"/>
      <c r="AKK228" s="26"/>
      <c r="AKL228" s="26"/>
      <c r="AKM228" s="26"/>
      <c r="AKN228" s="26"/>
      <c r="AKO228" s="26"/>
      <c r="AKP228" s="26"/>
      <c r="AKQ228" s="26"/>
      <c r="AKR228" s="26"/>
      <c r="AKS228" s="26"/>
      <c r="AKT228" s="26"/>
      <c r="AKU228" s="26"/>
      <c r="AKV228" s="26"/>
      <c r="AKW228" s="26"/>
      <c r="AKX228" s="26"/>
      <c r="AKY228" s="26"/>
      <c r="AKZ228" s="26"/>
      <c r="ALA228" s="26"/>
      <c r="ALB228" s="26"/>
      <c r="ALC228" s="26"/>
      <c r="ALD228" s="26"/>
      <c r="ALE228" s="26"/>
      <c r="ALF228" s="26"/>
      <c r="ALG228" s="26"/>
      <c r="ALH228" s="26"/>
      <c r="ALI228" s="26"/>
      <c r="ALJ228" s="26"/>
      <c r="ALK228" s="26"/>
      <c r="ALL228" s="26"/>
      <c r="ALM228" s="26"/>
      <c r="ALN228" s="26"/>
      <c r="ALO228" s="26"/>
      <c r="ALP228" s="26"/>
      <c r="ALQ228" s="26"/>
      <c r="ALR228" s="26"/>
      <c r="ALS228" s="26"/>
      <c r="ALT228" s="26"/>
      <c r="ALU228" s="26"/>
      <c r="ALV228" s="26"/>
      <c r="ALW228" s="26"/>
      <c r="ALX228" s="26"/>
      <c r="ALY228" s="26"/>
      <c r="ALZ228" s="26"/>
      <c r="AMA228" s="26"/>
      <c r="AMB228" s="26"/>
      <c r="AMC228" s="26"/>
      <c r="AMD228" s="26"/>
      <c r="AME228" s="26"/>
      <c r="AMF228" s="26"/>
      <c r="AMG228" s="26"/>
      <c r="AMH228" s="26"/>
      <c r="AMI228" s="26"/>
      <c r="AMJ228" s="26"/>
      <c r="AMK228" s="26"/>
      <c r="AML228" s="26"/>
      <c r="AMM228" s="26"/>
      <c r="AMN228" s="26"/>
      <c r="AMO228" s="26"/>
      <c r="AMP228" s="26"/>
      <c r="AMQ228" s="26"/>
      <c r="AMR228" s="26"/>
      <c r="AMS228" s="26"/>
      <c r="AMT228" s="26"/>
      <c r="AMU228" s="26"/>
      <c r="AMV228" s="26"/>
      <c r="AMW228" s="26"/>
      <c r="AMX228" s="26"/>
      <c r="AMY228" s="26"/>
      <c r="AMZ228" s="26"/>
      <c r="ANA228" s="26"/>
      <c r="ANB228" s="26"/>
      <c r="ANC228" s="26"/>
      <c r="AND228" s="26"/>
      <c r="ANE228" s="26"/>
      <c r="ANF228" s="26"/>
      <c r="ANG228" s="26"/>
      <c r="ANH228" s="26"/>
      <c r="ANI228" s="26"/>
      <c r="ANJ228" s="26"/>
      <c r="ANK228" s="26"/>
      <c r="ANL228" s="26"/>
      <c r="ANM228" s="26"/>
      <c r="ANN228" s="26"/>
      <c r="ANO228" s="26"/>
      <c r="ANP228" s="26"/>
      <c r="ANQ228" s="26"/>
      <c r="ANR228" s="26"/>
      <c r="ANS228" s="26"/>
      <c r="ANT228" s="26"/>
      <c r="ANU228" s="26"/>
      <c r="ANV228" s="26"/>
      <c r="ANW228" s="26"/>
      <c r="ANX228" s="26"/>
      <c r="ANY228" s="26"/>
      <c r="ANZ228" s="26"/>
      <c r="AOA228" s="26"/>
      <c r="AOB228" s="26"/>
      <c r="AOC228" s="26"/>
      <c r="AOD228" s="26"/>
      <c r="AOE228" s="26"/>
      <c r="AOF228" s="26"/>
      <c r="AOG228" s="26"/>
      <c r="AOH228" s="26"/>
      <c r="AOI228" s="26"/>
      <c r="AOJ228" s="26"/>
      <c r="AOK228" s="26"/>
      <c r="AOL228" s="26"/>
      <c r="AOM228" s="26"/>
      <c r="AON228" s="26"/>
      <c r="AOO228" s="26"/>
      <c r="AOP228" s="26"/>
      <c r="AOQ228" s="26"/>
      <c r="AOR228" s="26"/>
      <c r="AOS228" s="26"/>
      <c r="AOT228" s="26"/>
      <c r="AOU228" s="26"/>
      <c r="AOV228" s="26"/>
      <c r="AOW228" s="26"/>
      <c r="AOX228" s="26"/>
      <c r="AOY228" s="26"/>
      <c r="AOZ228" s="26"/>
      <c r="APA228" s="26"/>
      <c r="APB228" s="26"/>
      <c r="APC228" s="26"/>
      <c r="APD228" s="26"/>
      <c r="APE228" s="26"/>
      <c r="APF228" s="26"/>
      <c r="APG228" s="26"/>
      <c r="APH228" s="26"/>
      <c r="API228" s="26"/>
      <c r="APJ228" s="26"/>
      <c r="APK228" s="26"/>
      <c r="APL228" s="26"/>
      <c r="APM228" s="26"/>
      <c r="APN228" s="26"/>
      <c r="APO228" s="26"/>
      <c r="APP228" s="26"/>
      <c r="APQ228" s="26"/>
      <c r="APR228" s="26"/>
      <c r="APS228" s="26"/>
      <c r="APT228" s="26"/>
      <c r="APU228" s="26"/>
      <c r="APV228" s="26"/>
      <c r="APW228" s="26"/>
      <c r="APX228" s="26"/>
      <c r="APY228" s="26"/>
      <c r="APZ228" s="26"/>
      <c r="AQA228" s="26"/>
      <c r="AQB228" s="26"/>
      <c r="AQC228" s="26"/>
      <c r="AQD228" s="26"/>
      <c r="AQE228" s="26"/>
      <c r="AQF228" s="26"/>
      <c r="AQG228" s="26"/>
      <c r="AQH228" s="26"/>
      <c r="AQI228" s="26"/>
      <c r="AQJ228" s="26"/>
      <c r="AQK228" s="26"/>
      <c r="AQL228" s="26"/>
      <c r="AQM228" s="26"/>
      <c r="AQN228" s="26"/>
      <c r="AQO228" s="26"/>
      <c r="AQP228" s="26"/>
      <c r="AQQ228" s="26"/>
      <c r="AQR228" s="26"/>
      <c r="AQS228" s="26"/>
      <c r="AQT228" s="26"/>
      <c r="AQU228" s="26"/>
      <c r="AQV228" s="26"/>
      <c r="AQW228" s="26"/>
      <c r="AQX228" s="26"/>
      <c r="AQY228" s="26"/>
      <c r="AQZ228" s="26"/>
      <c r="ARA228" s="26"/>
      <c r="ARB228" s="26"/>
      <c r="ARC228" s="26"/>
      <c r="ARD228" s="26"/>
      <c r="ARE228" s="26"/>
      <c r="ARF228" s="26"/>
      <c r="ARG228" s="26"/>
      <c r="ARH228" s="26"/>
      <c r="ARI228" s="26"/>
      <c r="ARJ228" s="26"/>
      <c r="ARK228" s="26"/>
      <c r="ARL228" s="26"/>
      <c r="ARM228" s="26"/>
      <c r="ARN228" s="26"/>
      <c r="ARO228" s="26"/>
      <c r="ARP228" s="26"/>
      <c r="ARQ228" s="26"/>
      <c r="ARR228" s="26"/>
      <c r="ARS228" s="26"/>
      <c r="ART228" s="26"/>
      <c r="ARU228" s="26"/>
      <c r="ARV228" s="26"/>
      <c r="ARW228" s="26"/>
      <c r="ARX228" s="26"/>
      <c r="ARY228" s="26"/>
      <c r="ARZ228" s="26"/>
      <c r="ASA228" s="26"/>
      <c r="ASB228" s="26"/>
      <c r="ASC228" s="26"/>
      <c r="ASD228" s="26"/>
      <c r="ASE228" s="26"/>
      <c r="ASF228" s="26"/>
      <c r="ASG228" s="26"/>
      <c r="ASH228" s="26"/>
      <c r="ASI228" s="26"/>
      <c r="ASJ228" s="26"/>
      <c r="ASK228" s="26"/>
      <c r="ASL228" s="26"/>
      <c r="ASM228" s="26"/>
      <c r="ASN228" s="26"/>
      <c r="ASO228" s="26"/>
      <c r="ASP228" s="26"/>
      <c r="ASQ228" s="26"/>
      <c r="ASR228" s="26"/>
      <c r="ASS228" s="26"/>
      <c r="AST228" s="26"/>
      <c r="ASU228" s="26"/>
      <c r="ASV228" s="26"/>
      <c r="ASW228" s="26"/>
      <c r="ASX228" s="26"/>
      <c r="ASY228" s="26"/>
      <c r="ASZ228" s="26"/>
      <c r="ATA228" s="26"/>
      <c r="ATB228" s="26"/>
      <c r="ATC228" s="26"/>
      <c r="ATD228" s="26"/>
      <c r="ATE228" s="26"/>
      <c r="ATF228" s="26"/>
      <c r="ATG228" s="26"/>
      <c r="ATH228" s="26"/>
      <c r="ATI228" s="26"/>
      <c r="ATJ228" s="26"/>
      <c r="ATK228" s="26"/>
      <c r="ATL228" s="26"/>
      <c r="ATM228" s="26"/>
      <c r="ATN228" s="26"/>
      <c r="ATO228" s="26"/>
      <c r="ATP228" s="26"/>
      <c r="ATQ228" s="26"/>
      <c r="ATR228" s="26"/>
      <c r="ATS228" s="26"/>
      <c r="ATT228" s="26"/>
      <c r="ATU228" s="26"/>
      <c r="ATV228" s="26"/>
      <c r="ATW228" s="26"/>
      <c r="ATX228" s="26"/>
      <c r="ATY228" s="26"/>
      <c r="ATZ228" s="26"/>
      <c r="AUA228" s="26"/>
      <c r="AUB228" s="26"/>
      <c r="AUC228" s="26"/>
      <c r="AUD228" s="26"/>
      <c r="AUE228" s="26"/>
      <c r="AUF228" s="26"/>
      <c r="AUG228" s="26"/>
      <c r="AUH228" s="26"/>
      <c r="AUI228" s="26"/>
      <c r="AUJ228" s="26"/>
      <c r="AUK228" s="26"/>
      <c r="AUL228" s="26"/>
      <c r="AUM228" s="26"/>
      <c r="AUN228" s="26"/>
      <c r="AUO228" s="26"/>
      <c r="AUP228" s="26"/>
      <c r="AUQ228" s="26"/>
      <c r="AUR228" s="26"/>
      <c r="AUS228" s="26"/>
      <c r="AUT228" s="26"/>
      <c r="AUU228" s="26"/>
      <c r="AUV228" s="26"/>
      <c r="AUW228" s="26"/>
      <c r="AUX228" s="26"/>
      <c r="AUY228" s="26"/>
      <c r="AUZ228" s="26"/>
      <c r="AVA228" s="26"/>
      <c r="AVB228" s="26"/>
      <c r="AVC228" s="26"/>
      <c r="AVD228" s="26"/>
      <c r="AVE228" s="26"/>
      <c r="AVF228" s="26"/>
      <c r="AVG228" s="26"/>
      <c r="AVH228" s="26"/>
      <c r="AVI228" s="26"/>
      <c r="AVJ228" s="26"/>
      <c r="AVK228" s="26"/>
      <c r="AVL228" s="26"/>
      <c r="AVM228" s="26"/>
      <c r="AVN228" s="26"/>
      <c r="AVO228" s="26"/>
      <c r="AVP228" s="26"/>
      <c r="AVQ228" s="26"/>
      <c r="AVR228" s="26"/>
      <c r="AVS228" s="26"/>
      <c r="AVT228" s="26"/>
      <c r="AVU228" s="26"/>
      <c r="AVV228" s="26"/>
      <c r="AVW228" s="26"/>
      <c r="AVX228" s="26"/>
      <c r="AVY228" s="26"/>
      <c r="AVZ228" s="26"/>
      <c r="AWA228" s="26"/>
      <c r="AWB228" s="26"/>
      <c r="AWC228" s="26"/>
      <c r="AWD228" s="26"/>
      <c r="AWE228" s="26"/>
      <c r="AWF228" s="26"/>
      <c r="AWG228" s="26"/>
      <c r="AWH228" s="26"/>
      <c r="AWI228" s="26"/>
      <c r="AWJ228" s="26"/>
      <c r="AWK228" s="26"/>
      <c r="AWL228" s="26"/>
      <c r="AWM228" s="26"/>
      <c r="AWN228" s="26"/>
      <c r="AWO228" s="26"/>
      <c r="AWP228" s="26"/>
      <c r="AWQ228" s="26"/>
      <c r="AWR228" s="26"/>
      <c r="AWS228" s="26"/>
      <c r="AWT228" s="26"/>
      <c r="AWU228" s="26"/>
      <c r="AWV228" s="26"/>
      <c r="AWW228" s="26"/>
      <c r="AWX228" s="26"/>
      <c r="AWY228" s="26"/>
      <c r="AWZ228" s="26"/>
      <c r="AXA228" s="26"/>
      <c r="AXB228" s="26"/>
      <c r="AXC228" s="26"/>
      <c r="AXD228" s="26"/>
      <c r="AXE228" s="26"/>
      <c r="AXF228" s="26"/>
      <c r="AXG228" s="26"/>
      <c r="AXH228" s="26"/>
      <c r="AXI228" s="26"/>
      <c r="AXJ228" s="26"/>
      <c r="AXK228" s="26"/>
      <c r="AXL228" s="26"/>
      <c r="AXM228" s="26"/>
      <c r="AXN228" s="26"/>
      <c r="AXO228" s="26"/>
      <c r="AXP228" s="26"/>
      <c r="AXQ228" s="26"/>
      <c r="AXR228" s="26"/>
      <c r="AXS228" s="26"/>
      <c r="AXT228" s="26"/>
      <c r="AXU228" s="26"/>
      <c r="AXV228" s="26"/>
      <c r="AXW228" s="26"/>
      <c r="AXX228" s="26"/>
      <c r="AXY228" s="26"/>
      <c r="AXZ228" s="26"/>
      <c r="AYA228" s="26"/>
      <c r="AYB228" s="26"/>
      <c r="AYC228" s="26"/>
      <c r="AYD228" s="26"/>
      <c r="AYE228" s="26"/>
      <c r="AYF228" s="26"/>
      <c r="AYG228" s="26"/>
      <c r="AYH228" s="26"/>
      <c r="AYI228" s="26"/>
      <c r="AYJ228" s="26"/>
      <c r="AYK228" s="26"/>
      <c r="AYL228" s="26"/>
      <c r="AYM228" s="26"/>
      <c r="AYN228" s="26"/>
      <c r="AYO228" s="26"/>
      <c r="AYP228" s="26"/>
      <c r="AYQ228" s="26"/>
      <c r="AYR228" s="26"/>
      <c r="AYS228" s="26"/>
      <c r="AYT228" s="26"/>
      <c r="AYU228" s="26"/>
      <c r="AYV228" s="26"/>
      <c r="AYW228" s="26"/>
      <c r="AYX228" s="26"/>
      <c r="AYY228" s="26"/>
      <c r="AYZ228" s="26"/>
      <c r="AZA228" s="26"/>
      <c r="AZB228" s="26"/>
      <c r="AZC228" s="26"/>
      <c r="AZD228" s="26"/>
      <c r="AZE228" s="26"/>
      <c r="AZF228" s="26"/>
      <c r="AZG228" s="26"/>
      <c r="AZH228" s="26"/>
      <c r="AZI228" s="26"/>
      <c r="AZJ228" s="26"/>
      <c r="AZK228" s="26"/>
      <c r="AZL228" s="26"/>
      <c r="AZM228" s="26"/>
      <c r="AZN228" s="26"/>
      <c r="AZO228" s="26"/>
      <c r="AZP228" s="26"/>
      <c r="AZQ228" s="26"/>
      <c r="AZR228" s="26"/>
      <c r="AZS228" s="26"/>
      <c r="AZT228" s="26"/>
      <c r="AZU228" s="26"/>
      <c r="AZV228" s="26"/>
      <c r="AZW228" s="26"/>
      <c r="AZX228" s="26"/>
      <c r="AZY228" s="26"/>
      <c r="AZZ228" s="26"/>
      <c r="BAA228" s="26"/>
      <c r="BAB228" s="26"/>
      <c r="BAC228" s="26"/>
      <c r="BAD228" s="26"/>
      <c r="BAE228" s="26"/>
      <c r="BAF228" s="26"/>
      <c r="BAG228" s="26"/>
      <c r="BAH228" s="26"/>
      <c r="BAI228" s="26"/>
      <c r="BAJ228" s="26"/>
      <c r="BAK228" s="26"/>
      <c r="BAL228" s="26"/>
      <c r="BAM228" s="26"/>
      <c r="BAN228" s="26"/>
      <c r="BAO228" s="26"/>
      <c r="BAP228" s="26"/>
      <c r="BAQ228" s="26"/>
      <c r="BAR228" s="26"/>
      <c r="BAS228" s="26"/>
      <c r="BAT228" s="26"/>
      <c r="BAU228" s="26"/>
      <c r="BAV228" s="26"/>
      <c r="BAW228" s="26"/>
      <c r="BAX228" s="26"/>
      <c r="BAY228" s="26"/>
      <c r="BAZ228" s="26"/>
      <c r="BBA228" s="26"/>
      <c r="BBB228" s="26"/>
      <c r="BBC228" s="26"/>
      <c r="BBD228" s="26"/>
      <c r="BBE228" s="26"/>
      <c r="BBF228" s="26"/>
      <c r="BBG228" s="26"/>
      <c r="BBH228" s="26"/>
      <c r="BBI228" s="26"/>
      <c r="BBJ228" s="26"/>
      <c r="BBK228" s="26"/>
      <c r="BBL228" s="26"/>
      <c r="BBM228" s="26"/>
      <c r="BBN228" s="26"/>
      <c r="BBO228" s="26"/>
      <c r="BBP228" s="26"/>
      <c r="BBQ228" s="26"/>
      <c r="BBR228" s="26"/>
      <c r="BBS228" s="26"/>
      <c r="BBT228" s="26"/>
      <c r="BBU228" s="26"/>
      <c r="BBV228" s="26"/>
      <c r="BBW228" s="26"/>
      <c r="BBX228" s="26"/>
      <c r="BBY228" s="26"/>
      <c r="BBZ228" s="26"/>
      <c r="BCA228" s="26"/>
      <c r="BCB228" s="26"/>
      <c r="BCC228" s="26"/>
      <c r="BCD228" s="26"/>
      <c r="BCE228" s="26"/>
      <c r="BCF228" s="26"/>
      <c r="BCG228" s="26"/>
      <c r="BCH228" s="26"/>
      <c r="BCI228" s="26"/>
      <c r="BCJ228" s="26"/>
      <c r="BCK228" s="26"/>
      <c r="BCL228" s="26"/>
      <c r="BCM228" s="26"/>
      <c r="BCN228" s="26"/>
      <c r="BCO228" s="26"/>
      <c r="BCP228" s="26"/>
      <c r="BCQ228" s="26"/>
      <c r="BCR228" s="26"/>
      <c r="BCS228" s="26"/>
      <c r="BCT228" s="26"/>
      <c r="BCU228" s="26"/>
      <c r="BCV228" s="26"/>
      <c r="BCW228" s="26"/>
      <c r="BCX228" s="26"/>
      <c r="BCY228" s="26"/>
      <c r="BCZ228" s="26"/>
      <c r="BDA228" s="26"/>
      <c r="BDB228" s="26"/>
      <c r="BDC228" s="26"/>
      <c r="BDD228" s="26"/>
      <c r="BDE228" s="26"/>
      <c r="BDF228" s="26"/>
      <c r="BDG228" s="26"/>
      <c r="BDH228" s="26"/>
      <c r="BDI228" s="26"/>
      <c r="BDJ228" s="26"/>
      <c r="BDK228" s="26"/>
      <c r="BDL228" s="26"/>
      <c r="BDM228" s="26"/>
      <c r="BDN228" s="26"/>
      <c r="BDO228" s="26"/>
      <c r="BDP228" s="26"/>
      <c r="BDQ228" s="26"/>
      <c r="BDR228" s="26"/>
      <c r="BDS228" s="26"/>
      <c r="BDT228" s="26"/>
      <c r="BDU228" s="26"/>
      <c r="BDV228" s="26"/>
      <c r="BDW228" s="26"/>
      <c r="BDX228" s="26"/>
      <c r="BDY228" s="26"/>
      <c r="BDZ228" s="26"/>
      <c r="BEA228" s="26"/>
      <c r="BEB228" s="26"/>
      <c r="BEC228" s="26"/>
      <c r="BED228" s="26"/>
      <c r="BEE228" s="26"/>
      <c r="BEF228" s="26"/>
      <c r="BEG228" s="26"/>
      <c r="BEH228" s="26"/>
      <c r="BEI228" s="26"/>
      <c r="BEJ228" s="26"/>
      <c r="BEK228" s="26"/>
      <c r="BEL228" s="26"/>
      <c r="BEM228" s="26"/>
      <c r="BEN228" s="26"/>
      <c r="BEO228" s="26"/>
      <c r="BEP228" s="26"/>
      <c r="BEQ228" s="26"/>
      <c r="BER228" s="26"/>
      <c r="BES228" s="26"/>
      <c r="BET228" s="26"/>
      <c r="BEU228" s="26"/>
      <c r="BEV228" s="26"/>
      <c r="BEW228" s="26"/>
      <c r="BEX228" s="26"/>
      <c r="BEY228" s="26"/>
      <c r="BEZ228" s="26"/>
      <c r="BFA228" s="26"/>
      <c r="BFB228" s="26"/>
      <c r="BFC228" s="26"/>
      <c r="BFD228" s="26"/>
      <c r="BFE228" s="26"/>
      <c r="BFF228" s="26"/>
      <c r="BFG228" s="26"/>
      <c r="BFH228" s="26"/>
      <c r="BFI228" s="26"/>
      <c r="BFJ228" s="26"/>
      <c r="BFK228" s="26"/>
      <c r="BFL228" s="26"/>
      <c r="BFM228" s="26"/>
      <c r="BFN228" s="26"/>
      <c r="BFO228" s="26"/>
      <c r="BFP228" s="26"/>
      <c r="BFQ228" s="26"/>
      <c r="BFR228" s="26"/>
      <c r="BFS228" s="26"/>
      <c r="BFT228" s="26"/>
      <c r="BFU228" s="26"/>
      <c r="BFV228" s="26"/>
      <c r="BFW228" s="26"/>
      <c r="BFX228" s="26"/>
      <c r="BFY228" s="26"/>
      <c r="BFZ228" s="26"/>
      <c r="BGA228" s="26"/>
      <c r="BGB228" s="26"/>
      <c r="BGC228" s="26"/>
      <c r="BGD228" s="26"/>
      <c r="BGE228" s="26"/>
      <c r="BGF228" s="26"/>
      <c r="BGG228" s="26"/>
      <c r="BGH228" s="26"/>
      <c r="BGI228" s="26"/>
      <c r="BGJ228" s="26"/>
      <c r="BGK228" s="26"/>
      <c r="BGL228" s="26"/>
      <c r="BGM228" s="26"/>
      <c r="BGN228" s="26"/>
      <c r="BGO228" s="26"/>
      <c r="BGP228" s="26"/>
      <c r="BGQ228" s="26"/>
      <c r="BGR228" s="26"/>
      <c r="BGS228" s="26"/>
      <c r="BGT228" s="26"/>
      <c r="BGU228" s="26"/>
      <c r="BGV228" s="26"/>
      <c r="BGW228" s="26"/>
      <c r="BGX228" s="26"/>
      <c r="BGY228" s="26"/>
      <c r="BGZ228" s="26"/>
      <c r="BHA228" s="26"/>
      <c r="BHB228" s="26"/>
      <c r="BHC228" s="26"/>
      <c r="BHD228" s="26"/>
      <c r="BHE228" s="26"/>
      <c r="BHF228" s="26"/>
      <c r="BHG228" s="26"/>
      <c r="BHH228" s="26"/>
      <c r="BHI228" s="26"/>
      <c r="BHJ228" s="26"/>
      <c r="BHK228" s="26"/>
      <c r="BHL228" s="26"/>
      <c r="BHM228" s="26"/>
      <c r="BHN228" s="26"/>
      <c r="BHO228" s="26"/>
      <c r="BHP228" s="26"/>
      <c r="BHQ228" s="26"/>
      <c r="BHR228" s="26"/>
      <c r="BHS228" s="26"/>
      <c r="BHT228" s="26"/>
      <c r="BHU228" s="26"/>
      <c r="BHV228" s="26"/>
      <c r="BHW228" s="26"/>
      <c r="BHX228" s="26"/>
      <c r="BHY228" s="26"/>
      <c r="BHZ228" s="26"/>
      <c r="BIA228" s="26"/>
      <c r="BIB228" s="26"/>
      <c r="BIC228" s="26"/>
      <c r="BID228" s="26"/>
      <c r="BIE228" s="26"/>
      <c r="BIF228" s="26"/>
      <c r="BIG228" s="26"/>
      <c r="BIH228" s="26"/>
      <c r="BII228" s="26"/>
      <c r="BIJ228" s="26"/>
      <c r="BIK228" s="26"/>
      <c r="BIL228" s="26"/>
      <c r="BIM228" s="26"/>
      <c r="BIN228" s="26"/>
      <c r="BIO228" s="26"/>
      <c r="BIP228" s="26"/>
      <c r="BIQ228" s="26"/>
      <c r="BIR228" s="26"/>
      <c r="BIS228" s="26"/>
      <c r="BIT228" s="26"/>
      <c r="BIU228" s="26"/>
      <c r="BIV228" s="26"/>
      <c r="BIW228" s="26"/>
      <c r="BIX228" s="26"/>
      <c r="BIY228" s="26"/>
      <c r="BIZ228" s="26"/>
      <c r="BJA228" s="26"/>
      <c r="BJB228" s="26"/>
      <c r="BJC228" s="26"/>
      <c r="BJD228" s="26"/>
      <c r="BJE228" s="26"/>
      <c r="BJF228" s="26"/>
      <c r="BJG228" s="26"/>
      <c r="BJH228" s="26"/>
      <c r="BJI228" s="26"/>
      <c r="BJJ228" s="26"/>
      <c r="BJK228" s="26"/>
      <c r="BJL228" s="26"/>
      <c r="BJM228" s="26"/>
      <c r="BJN228" s="26"/>
      <c r="BJO228" s="26"/>
      <c r="BJP228" s="26"/>
      <c r="BJQ228" s="26"/>
      <c r="BJR228" s="26"/>
      <c r="BJS228" s="26"/>
      <c r="BJT228" s="26"/>
      <c r="BJU228" s="26"/>
      <c r="BJV228" s="26"/>
      <c r="BJW228" s="26"/>
      <c r="BJX228" s="26"/>
      <c r="BJY228" s="26"/>
      <c r="BJZ228" s="26"/>
      <c r="BKA228" s="26"/>
      <c r="BKB228" s="26"/>
      <c r="BKC228" s="26"/>
      <c r="BKD228" s="26"/>
      <c r="BKE228" s="26"/>
      <c r="BKF228" s="26"/>
      <c r="BKG228" s="26"/>
      <c r="BKH228" s="26"/>
      <c r="BKI228" s="26"/>
      <c r="BKJ228" s="26"/>
      <c r="BKK228" s="26"/>
      <c r="BKL228" s="26"/>
      <c r="BKM228" s="26"/>
      <c r="BKN228" s="26"/>
      <c r="BKO228" s="26"/>
      <c r="BKP228" s="26"/>
      <c r="BKQ228" s="26"/>
      <c r="BKR228" s="26"/>
      <c r="BKS228" s="26"/>
      <c r="BKT228" s="26"/>
      <c r="BKU228" s="26"/>
      <c r="BKV228" s="26"/>
      <c r="BKW228" s="26"/>
      <c r="BKX228" s="26"/>
      <c r="BKY228" s="26"/>
      <c r="BKZ228" s="26"/>
      <c r="BLA228" s="26"/>
      <c r="BLB228" s="26"/>
      <c r="BLC228" s="26"/>
      <c r="BLD228" s="26"/>
      <c r="BLE228" s="26"/>
      <c r="BLF228" s="26"/>
      <c r="BLG228" s="26"/>
      <c r="BLH228" s="26"/>
      <c r="BLI228" s="26"/>
      <c r="BLJ228" s="26"/>
      <c r="BLK228" s="26"/>
      <c r="BLL228" s="26"/>
      <c r="BLM228" s="26"/>
      <c r="BLN228" s="26"/>
      <c r="BLO228" s="26"/>
      <c r="BLP228" s="26"/>
      <c r="BLQ228" s="26"/>
      <c r="BLR228" s="26"/>
      <c r="BLS228" s="26"/>
      <c r="BLT228" s="26"/>
      <c r="BLU228" s="26"/>
      <c r="BLV228" s="26"/>
      <c r="BLW228" s="26"/>
      <c r="BLX228" s="26"/>
      <c r="BLY228" s="26"/>
      <c r="BLZ228" s="26"/>
      <c r="BMA228" s="26"/>
      <c r="BMB228" s="26"/>
      <c r="BMC228" s="26"/>
      <c r="BMD228" s="26"/>
      <c r="BME228" s="26"/>
      <c r="BMF228" s="26"/>
      <c r="BMG228" s="26"/>
      <c r="BMH228" s="26"/>
      <c r="BMI228" s="26"/>
      <c r="BMJ228" s="26"/>
      <c r="BMK228" s="26"/>
      <c r="BML228" s="26"/>
      <c r="BMM228" s="26"/>
      <c r="BMN228" s="26"/>
      <c r="BMO228" s="26"/>
      <c r="BMP228" s="26"/>
      <c r="BMQ228" s="26"/>
      <c r="BMR228" s="26"/>
      <c r="BMS228" s="26"/>
      <c r="BMT228" s="26"/>
      <c r="BMU228" s="26"/>
      <c r="BMV228" s="26"/>
      <c r="BMW228" s="26"/>
      <c r="BMX228" s="26"/>
      <c r="BMY228" s="26"/>
      <c r="BMZ228" s="26"/>
      <c r="BNA228" s="26"/>
      <c r="BNB228" s="26"/>
      <c r="BNC228" s="26"/>
      <c r="BND228" s="26"/>
      <c r="BNE228" s="26"/>
      <c r="BNF228" s="26"/>
      <c r="BNG228" s="26"/>
      <c r="BNH228" s="26"/>
      <c r="BNI228" s="26"/>
      <c r="BNJ228" s="26"/>
      <c r="BNK228" s="26"/>
      <c r="BNL228" s="26"/>
      <c r="BNM228" s="26"/>
      <c r="BNN228" s="26"/>
      <c r="BNO228" s="26"/>
      <c r="BNP228" s="26"/>
      <c r="BNQ228" s="26"/>
      <c r="BNR228" s="26"/>
      <c r="BNS228" s="26"/>
      <c r="BNT228" s="26"/>
      <c r="BNU228" s="26"/>
      <c r="BNV228" s="26"/>
      <c r="BNW228" s="26"/>
      <c r="BNX228" s="26"/>
      <c r="BNY228" s="26"/>
      <c r="BNZ228" s="26"/>
      <c r="BOA228" s="26"/>
      <c r="BOB228" s="26"/>
      <c r="BOC228" s="26"/>
      <c r="BOD228" s="26"/>
      <c r="BOE228" s="26"/>
      <c r="BOF228" s="26"/>
      <c r="BOG228" s="26"/>
      <c r="BOH228" s="26"/>
      <c r="BOI228" s="26"/>
      <c r="BOJ228" s="26"/>
      <c r="BOK228" s="26"/>
      <c r="BOL228" s="26"/>
      <c r="BOM228" s="26"/>
      <c r="BON228" s="26"/>
      <c r="BOO228" s="26"/>
      <c r="BOP228" s="26"/>
      <c r="BOQ228" s="26"/>
      <c r="BOR228" s="26"/>
      <c r="BOS228" s="26"/>
      <c r="BOT228" s="26"/>
      <c r="BOU228" s="26"/>
      <c r="BOV228" s="26"/>
      <c r="BOW228" s="26"/>
      <c r="BOX228" s="26"/>
      <c r="BOY228" s="26"/>
      <c r="BOZ228" s="26"/>
      <c r="BPA228" s="26"/>
      <c r="BPB228" s="26"/>
      <c r="BPC228" s="26"/>
      <c r="BPD228" s="26"/>
      <c r="BPE228" s="26"/>
      <c r="BPF228" s="26"/>
      <c r="BPG228" s="26"/>
      <c r="BPH228" s="26"/>
      <c r="BPI228" s="26"/>
      <c r="BPJ228" s="26"/>
      <c r="BPK228" s="26"/>
      <c r="BPL228" s="26"/>
      <c r="BPM228" s="26"/>
      <c r="BPN228" s="26"/>
      <c r="BPO228" s="26"/>
      <c r="BPP228" s="26"/>
      <c r="BPQ228" s="26"/>
      <c r="BPR228" s="26"/>
      <c r="BPS228" s="26"/>
      <c r="BPT228" s="26"/>
      <c r="BPU228" s="26"/>
      <c r="BPV228" s="26"/>
      <c r="BPW228" s="26"/>
      <c r="BPX228" s="26"/>
      <c r="BPY228" s="26"/>
      <c r="BPZ228" s="26"/>
      <c r="BQA228" s="26"/>
      <c r="BQB228" s="26"/>
      <c r="BQC228" s="26"/>
      <c r="BQD228" s="26"/>
      <c r="BQE228" s="26"/>
      <c r="BQF228" s="26"/>
      <c r="BQG228" s="26"/>
      <c r="BQH228" s="26"/>
      <c r="BQI228" s="26"/>
      <c r="BQJ228" s="26"/>
      <c r="BQK228" s="26"/>
      <c r="BQL228" s="26"/>
      <c r="BQM228" s="26"/>
      <c r="BQN228" s="26"/>
      <c r="BQO228" s="26"/>
      <c r="BQP228" s="26"/>
      <c r="BQQ228" s="26"/>
      <c r="BQR228" s="26"/>
      <c r="BQS228" s="26"/>
      <c r="BQT228" s="26"/>
      <c r="BQU228" s="26"/>
      <c r="BQV228" s="26"/>
      <c r="BQW228" s="26"/>
      <c r="BQX228" s="26"/>
      <c r="BQY228" s="26"/>
      <c r="BQZ228" s="26"/>
      <c r="BRA228" s="26"/>
      <c r="BRB228" s="26"/>
      <c r="BRC228" s="26"/>
      <c r="BRD228" s="26"/>
      <c r="BRE228" s="26"/>
      <c r="BRF228" s="26"/>
      <c r="BRG228" s="26"/>
      <c r="BRH228" s="26"/>
      <c r="BRI228" s="26"/>
      <c r="BRJ228" s="26"/>
      <c r="BRK228" s="26"/>
      <c r="BRL228" s="26"/>
      <c r="BRM228" s="26"/>
      <c r="BRN228" s="26"/>
      <c r="BRO228" s="26"/>
      <c r="BRP228" s="26"/>
      <c r="BRQ228" s="26"/>
      <c r="BRR228" s="26"/>
      <c r="BRS228" s="26"/>
      <c r="BRT228" s="26"/>
      <c r="BRU228" s="26"/>
      <c r="BRV228" s="26"/>
      <c r="BRW228" s="26"/>
      <c r="BRX228" s="26"/>
      <c r="BRY228" s="26"/>
      <c r="BRZ228" s="26"/>
      <c r="BSA228" s="26"/>
      <c r="BSB228" s="26"/>
      <c r="BSC228" s="26"/>
      <c r="BSD228" s="26"/>
      <c r="BSE228" s="26"/>
      <c r="BSF228" s="26"/>
      <c r="BSG228" s="26"/>
      <c r="BSH228" s="26"/>
      <c r="BSI228" s="26"/>
      <c r="BSJ228" s="26"/>
      <c r="BSK228" s="26"/>
      <c r="BSL228" s="26"/>
      <c r="BSM228" s="26"/>
      <c r="BSN228" s="26"/>
      <c r="BSO228" s="26"/>
      <c r="BSP228" s="26"/>
      <c r="BSQ228" s="26"/>
      <c r="BSR228" s="26"/>
      <c r="BSS228" s="26"/>
      <c r="BST228" s="26"/>
      <c r="BSU228" s="26"/>
      <c r="BSV228" s="26"/>
      <c r="BSW228" s="26"/>
      <c r="BSX228" s="26"/>
      <c r="BSY228" s="26"/>
      <c r="BSZ228" s="26"/>
      <c r="BTA228" s="26"/>
      <c r="BTB228" s="26"/>
      <c r="BTC228" s="26"/>
      <c r="BTD228" s="26"/>
      <c r="BTE228" s="26"/>
      <c r="BTF228" s="26"/>
      <c r="BTG228" s="26"/>
      <c r="BTH228" s="26"/>
      <c r="BTI228" s="26"/>
      <c r="BTJ228" s="26"/>
      <c r="BTK228" s="26"/>
      <c r="BTL228" s="26"/>
      <c r="BTM228" s="26"/>
      <c r="BTN228" s="26"/>
      <c r="BTO228" s="26"/>
      <c r="BTP228" s="26"/>
      <c r="BTQ228" s="26"/>
      <c r="BTR228" s="26"/>
      <c r="BTS228" s="26"/>
      <c r="BTT228" s="26"/>
      <c r="BTU228" s="26"/>
      <c r="BTV228" s="26"/>
      <c r="BTW228" s="26"/>
      <c r="BTX228" s="26"/>
      <c r="BTY228" s="26"/>
      <c r="BTZ228" s="26"/>
      <c r="BUA228" s="26"/>
      <c r="BUB228" s="26"/>
      <c r="BUC228" s="26"/>
      <c r="BUD228" s="26"/>
      <c r="BUE228" s="26"/>
      <c r="BUF228" s="26"/>
      <c r="BUG228" s="26"/>
      <c r="BUH228" s="26"/>
      <c r="BUI228" s="26"/>
      <c r="BUJ228" s="26"/>
      <c r="BUK228" s="26"/>
      <c r="BUL228" s="26"/>
      <c r="BUM228" s="26"/>
      <c r="BUN228" s="26"/>
      <c r="BUO228" s="26"/>
      <c r="BUP228" s="26"/>
      <c r="BUQ228" s="26"/>
      <c r="BUR228" s="26"/>
      <c r="BUS228" s="26"/>
      <c r="BUT228" s="26"/>
      <c r="BUU228" s="26"/>
      <c r="BUV228" s="26"/>
      <c r="BUW228" s="26"/>
      <c r="BUX228" s="26"/>
      <c r="BUY228" s="26"/>
      <c r="BUZ228" s="26"/>
      <c r="BVA228" s="26"/>
      <c r="BVB228" s="26"/>
      <c r="BVC228" s="26"/>
      <c r="BVD228" s="26"/>
      <c r="BVE228" s="26"/>
      <c r="BVF228" s="26"/>
      <c r="BVG228" s="26"/>
      <c r="BVH228" s="26"/>
      <c r="BVI228" s="26"/>
      <c r="BVJ228" s="26"/>
      <c r="BVK228" s="26"/>
      <c r="BVL228" s="26"/>
      <c r="BVM228" s="26"/>
      <c r="BVN228" s="26"/>
      <c r="BVO228" s="26"/>
      <c r="BVP228" s="26"/>
      <c r="BVQ228" s="26"/>
      <c r="BVR228" s="26"/>
      <c r="BVS228" s="26"/>
      <c r="BVT228" s="26"/>
      <c r="BVU228" s="26"/>
      <c r="BVV228" s="26"/>
      <c r="BVW228" s="26"/>
      <c r="BVX228" s="26"/>
      <c r="BVY228" s="26"/>
      <c r="BVZ228" s="26"/>
      <c r="BWA228" s="26"/>
      <c r="BWB228" s="26"/>
      <c r="BWC228" s="26"/>
      <c r="BWD228" s="26"/>
      <c r="BWE228" s="26"/>
      <c r="BWF228" s="26"/>
      <c r="BWG228" s="26"/>
      <c r="BWH228" s="26"/>
      <c r="BWI228" s="26"/>
      <c r="BWJ228" s="26"/>
      <c r="BWK228" s="26"/>
      <c r="BWL228" s="26"/>
      <c r="BWM228" s="26"/>
      <c r="BWN228" s="26"/>
      <c r="BWO228" s="26"/>
      <c r="BWP228" s="26"/>
      <c r="BWQ228" s="26"/>
      <c r="BWR228" s="26"/>
      <c r="BWS228" s="26"/>
      <c r="BWT228" s="26"/>
      <c r="BWU228" s="26"/>
      <c r="BWV228" s="26"/>
      <c r="BWW228" s="26"/>
      <c r="BWX228" s="26"/>
      <c r="BWY228" s="26"/>
      <c r="BWZ228" s="26"/>
      <c r="BXA228" s="26"/>
      <c r="BXB228" s="26"/>
      <c r="BXC228" s="26"/>
      <c r="BXD228" s="26"/>
      <c r="BXE228" s="26"/>
      <c r="BXF228" s="26"/>
      <c r="BXG228" s="26"/>
      <c r="BXH228" s="26"/>
      <c r="BXI228" s="26"/>
      <c r="BXJ228" s="26"/>
      <c r="BXK228" s="26"/>
      <c r="BXL228" s="26"/>
      <c r="BXM228" s="26"/>
      <c r="BXN228" s="26"/>
      <c r="BXO228" s="26"/>
      <c r="BXP228" s="26"/>
      <c r="BXQ228" s="26"/>
      <c r="BXR228" s="26"/>
      <c r="BXS228" s="26"/>
      <c r="BXT228" s="26"/>
      <c r="BXU228" s="26"/>
      <c r="BXV228" s="26"/>
      <c r="BXW228" s="26"/>
      <c r="BXX228" s="26"/>
      <c r="BXY228" s="26"/>
      <c r="BXZ228" s="26"/>
      <c r="BYA228" s="26"/>
      <c r="BYB228" s="26"/>
      <c r="BYC228" s="26"/>
      <c r="BYD228" s="26"/>
      <c r="BYE228" s="26"/>
      <c r="BYF228" s="26"/>
      <c r="BYG228" s="26"/>
      <c r="BYH228" s="26"/>
      <c r="BYI228" s="26"/>
      <c r="BYJ228" s="26"/>
      <c r="BYK228" s="26"/>
      <c r="BYL228" s="26"/>
      <c r="BYM228" s="26"/>
      <c r="BYN228" s="26"/>
      <c r="BYO228" s="26"/>
      <c r="BYP228" s="26"/>
      <c r="BYQ228" s="26"/>
      <c r="BYR228" s="26"/>
      <c r="BYS228" s="26"/>
      <c r="BYT228" s="26"/>
      <c r="BYU228" s="26"/>
      <c r="BYV228" s="26"/>
      <c r="BYW228" s="26"/>
      <c r="BYX228" s="26"/>
      <c r="BYY228" s="26"/>
      <c r="BYZ228" s="26"/>
      <c r="BZA228" s="26"/>
      <c r="BZB228" s="26"/>
      <c r="BZC228" s="26"/>
      <c r="BZD228" s="26"/>
      <c r="BZE228" s="26"/>
      <c r="BZF228" s="26"/>
      <c r="BZG228" s="26"/>
      <c r="BZH228" s="26"/>
      <c r="BZI228" s="26"/>
      <c r="BZJ228" s="26"/>
      <c r="BZK228" s="26"/>
      <c r="BZL228" s="26"/>
      <c r="BZM228" s="26"/>
      <c r="BZN228" s="26"/>
      <c r="BZO228" s="26"/>
      <c r="BZP228" s="26"/>
      <c r="BZQ228" s="26"/>
      <c r="BZR228" s="26"/>
      <c r="BZS228" s="26"/>
      <c r="BZT228" s="26"/>
      <c r="BZU228" s="26"/>
      <c r="BZV228" s="26"/>
      <c r="BZW228" s="26"/>
      <c r="BZX228" s="26"/>
      <c r="BZY228" s="26"/>
      <c r="BZZ228" s="26"/>
      <c r="CAA228" s="26"/>
      <c r="CAB228" s="26"/>
      <c r="CAC228" s="26"/>
      <c r="CAD228" s="26"/>
      <c r="CAE228" s="26"/>
      <c r="CAF228" s="26"/>
      <c r="CAG228" s="26"/>
      <c r="CAH228" s="26"/>
      <c r="CAI228" s="26"/>
      <c r="CAJ228" s="26"/>
      <c r="CAK228" s="26"/>
      <c r="CAL228" s="26"/>
      <c r="CAM228" s="26"/>
      <c r="CAN228" s="26"/>
      <c r="CAO228" s="26"/>
      <c r="CAP228" s="26"/>
      <c r="CAQ228" s="26"/>
      <c r="CAR228" s="26"/>
      <c r="CAS228" s="26"/>
      <c r="CAT228" s="26"/>
      <c r="CAU228" s="26"/>
      <c r="CAV228" s="26"/>
      <c r="CAW228" s="26"/>
      <c r="CAX228" s="26"/>
      <c r="CAY228" s="26"/>
      <c r="CAZ228" s="26"/>
      <c r="CBA228" s="26"/>
      <c r="CBB228" s="26"/>
      <c r="CBC228" s="26"/>
      <c r="CBD228" s="26"/>
      <c r="CBE228" s="26"/>
      <c r="CBF228" s="26"/>
      <c r="CBG228" s="26"/>
      <c r="CBH228" s="26"/>
      <c r="CBI228" s="26"/>
    </row>
    <row r="229" spans="1:2089" s="52" customFormat="1" ht="14" customHeight="1">
      <c r="A229" s="27">
        <v>228</v>
      </c>
      <c r="B229" s="27" t="s">
        <v>386</v>
      </c>
      <c r="C229" s="28">
        <v>2001</v>
      </c>
      <c r="D229" s="26" t="s">
        <v>49</v>
      </c>
      <c r="E229" s="26" t="s">
        <v>566</v>
      </c>
      <c r="F229" s="2" t="s">
        <v>175</v>
      </c>
      <c r="G229" s="2" t="s">
        <v>84</v>
      </c>
      <c r="H229" s="2" t="s">
        <v>30</v>
      </c>
      <c r="I229" s="2" t="s">
        <v>548</v>
      </c>
      <c r="J229" s="2" t="s">
        <v>604</v>
      </c>
      <c r="K229" s="2" t="s">
        <v>548</v>
      </c>
      <c r="L229" s="2" t="s">
        <v>548</v>
      </c>
      <c r="M229" s="2" t="s">
        <v>548</v>
      </c>
      <c r="N229" s="2" t="s">
        <v>62</v>
      </c>
      <c r="O229" s="2" t="s">
        <v>43</v>
      </c>
      <c r="P229" s="2" t="s">
        <v>62</v>
      </c>
      <c r="Q229" s="26" t="s">
        <v>606</v>
      </c>
      <c r="R229" s="79" t="s">
        <v>613</v>
      </c>
      <c r="S229" s="88">
        <v>0.56000000000000005</v>
      </c>
      <c r="T229" s="61">
        <v>25</v>
      </c>
      <c r="U229" s="2">
        <v>1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f>11/25</f>
        <v>0.44</v>
      </c>
      <c r="AD229" s="26">
        <f>7/25</f>
        <v>0.28000000000000003</v>
      </c>
      <c r="AE229" s="26">
        <f>5/25</f>
        <v>0.2</v>
      </c>
      <c r="AF229" s="26">
        <f>2/25</f>
        <v>0.08</v>
      </c>
      <c r="AG229" s="70" t="s">
        <v>70</v>
      </c>
      <c r="AH229" s="70" t="s">
        <v>70</v>
      </c>
      <c r="AI229" s="70" t="s">
        <v>70</v>
      </c>
      <c r="AJ229" s="70" t="s">
        <v>70</v>
      </c>
      <c r="AK229" s="33" t="s">
        <v>70</v>
      </c>
      <c r="AL229" s="33" t="s">
        <v>70</v>
      </c>
      <c r="AM229" s="61" t="s">
        <v>548</v>
      </c>
      <c r="AN229" s="26" t="s">
        <v>274</v>
      </c>
      <c r="AO229" s="26" t="s">
        <v>548</v>
      </c>
      <c r="AP229" s="26" t="s">
        <v>548</v>
      </c>
      <c r="AQ229" s="26" t="s">
        <v>548</v>
      </c>
      <c r="AR229" s="26" t="s">
        <v>175</v>
      </c>
      <c r="AS229" s="26" t="s">
        <v>175</v>
      </c>
      <c r="AT229" s="26" t="s">
        <v>70</v>
      </c>
      <c r="AU229" s="26" t="s">
        <v>70</v>
      </c>
      <c r="AV229" s="26">
        <v>2</v>
      </c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  <c r="GR229" s="26"/>
      <c r="GS229" s="26"/>
      <c r="GT229" s="26"/>
      <c r="GU229" s="26"/>
      <c r="GV229" s="26"/>
      <c r="GW229" s="26"/>
      <c r="GX229" s="26"/>
      <c r="GY229" s="26"/>
      <c r="GZ229" s="26"/>
      <c r="HA229" s="26"/>
      <c r="HB229" s="26"/>
      <c r="HC229" s="26"/>
      <c r="HD229" s="26"/>
      <c r="HE229" s="26"/>
      <c r="HF229" s="26"/>
      <c r="HG229" s="26"/>
      <c r="HH229" s="26"/>
      <c r="HI229" s="26"/>
      <c r="HJ229" s="26"/>
      <c r="HK229" s="26"/>
      <c r="HL229" s="26"/>
      <c r="HM229" s="26"/>
      <c r="HN229" s="26"/>
      <c r="HO229" s="26"/>
      <c r="HP229" s="26"/>
      <c r="HQ229" s="26"/>
      <c r="HR229" s="26"/>
      <c r="HS229" s="26"/>
      <c r="HT229" s="26"/>
      <c r="HU229" s="26"/>
      <c r="HV229" s="26"/>
      <c r="HW229" s="26"/>
      <c r="HX229" s="26"/>
      <c r="HY229" s="26"/>
      <c r="HZ229" s="26"/>
      <c r="IA229" s="26"/>
      <c r="IB229" s="26"/>
      <c r="IC229" s="26"/>
      <c r="ID229" s="26"/>
      <c r="IE229" s="26"/>
      <c r="IF229" s="26"/>
      <c r="IG229" s="26"/>
      <c r="IH229" s="26"/>
      <c r="II229" s="26"/>
      <c r="IJ229" s="26"/>
      <c r="IK229" s="26"/>
      <c r="IL229" s="26"/>
      <c r="IM229" s="26"/>
      <c r="IN229" s="26"/>
      <c r="IO229" s="26"/>
      <c r="IP229" s="26"/>
      <c r="IQ229" s="26"/>
      <c r="IR229" s="26"/>
      <c r="IS229" s="26"/>
      <c r="IT229" s="26"/>
      <c r="IU229" s="26"/>
      <c r="IV229" s="26"/>
      <c r="IW229" s="26"/>
      <c r="IX229" s="26"/>
      <c r="IY229" s="26"/>
      <c r="IZ229" s="26"/>
      <c r="JA229" s="26"/>
      <c r="JB229" s="26"/>
      <c r="JC229" s="26"/>
      <c r="JD229" s="26"/>
      <c r="JE229" s="26"/>
      <c r="JF229" s="26"/>
      <c r="JG229" s="26"/>
      <c r="JH229" s="26"/>
      <c r="JI229" s="26"/>
      <c r="JJ229" s="26"/>
      <c r="JK229" s="26"/>
      <c r="JL229" s="26"/>
      <c r="JM229" s="26"/>
      <c r="JN229" s="26"/>
      <c r="JO229" s="26"/>
      <c r="JP229" s="26"/>
      <c r="JQ229" s="26"/>
      <c r="JR229" s="26"/>
      <c r="JS229" s="26"/>
      <c r="JT229" s="26"/>
      <c r="JU229" s="26"/>
      <c r="JV229" s="26"/>
      <c r="JW229" s="26"/>
      <c r="JX229" s="26"/>
      <c r="JY229" s="26"/>
      <c r="JZ229" s="26"/>
      <c r="KA229" s="26"/>
      <c r="KB229" s="26"/>
      <c r="KC229" s="26"/>
      <c r="KD229" s="26"/>
      <c r="KE229" s="26"/>
      <c r="KF229" s="26"/>
      <c r="KG229" s="26"/>
      <c r="KH229" s="26"/>
      <c r="KI229" s="26"/>
      <c r="KJ229" s="26"/>
      <c r="KK229" s="26"/>
      <c r="KL229" s="26"/>
      <c r="KM229" s="26"/>
      <c r="KN229" s="26"/>
      <c r="KO229" s="26"/>
      <c r="KP229" s="26"/>
      <c r="KQ229" s="26"/>
      <c r="KR229" s="26"/>
      <c r="KS229" s="26"/>
      <c r="KT229" s="26"/>
      <c r="KU229" s="26"/>
      <c r="KV229" s="26"/>
      <c r="KW229" s="26"/>
      <c r="KX229" s="26"/>
      <c r="KY229" s="26"/>
      <c r="KZ229" s="26"/>
      <c r="LA229" s="26"/>
      <c r="LB229" s="26"/>
      <c r="LC229" s="26"/>
      <c r="LD229" s="26"/>
      <c r="LE229" s="26"/>
      <c r="LF229" s="26"/>
      <c r="LG229" s="26"/>
      <c r="LH229" s="26"/>
      <c r="LI229" s="26"/>
      <c r="LJ229" s="26"/>
      <c r="LK229" s="26"/>
      <c r="LL229" s="26"/>
      <c r="LM229" s="26"/>
      <c r="LN229" s="26"/>
      <c r="LO229" s="26"/>
      <c r="LP229" s="26"/>
      <c r="LQ229" s="26"/>
      <c r="LR229" s="26"/>
      <c r="LS229" s="26"/>
      <c r="LT229" s="26"/>
      <c r="LU229" s="26"/>
      <c r="LV229" s="26"/>
      <c r="LW229" s="26"/>
      <c r="LX229" s="26"/>
      <c r="LY229" s="26"/>
      <c r="LZ229" s="26"/>
      <c r="MA229" s="26"/>
      <c r="MB229" s="26"/>
      <c r="MC229" s="26"/>
      <c r="MD229" s="26"/>
      <c r="ME229" s="26"/>
      <c r="MF229" s="26"/>
      <c r="MG229" s="26"/>
      <c r="MH229" s="26"/>
      <c r="MI229" s="26"/>
      <c r="MJ229" s="26"/>
      <c r="MK229" s="26"/>
      <c r="ML229" s="26"/>
      <c r="MM229" s="26"/>
      <c r="MN229" s="26"/>
      <c r="MO229" s="26"/>
      <c r="MP229" s="26"/>
      <c r="MQ229" s="26"/>
      <c r="MR229" s="26"/>
      <c r="MS229" s="26"/>
      <c r="MT229" s="26"/>
      <c r="MU229" s="26"/>
      <c r="MV229" s="26"/>
      <c r="MW229" s="26"/>
      <c r="MX229" s="26"/>
      <c r="MY229" s="26"/>
      <c r="MZ229" s="26"/>
      <c r="NA229" s="26"/>
      <c r="NB229" s="26"/>
      <c r="NC229" s="26"/>
      <c r="ND229" s="26"/>
      <c r="NE229" s="26"/>
      <c r="NF229" s="26"/>
      <c r="NG229" s="26"/>
      <c r="NH229" s="26"/>
      <c r="NI229" s="26"/>
      <c r="NJ229" s="26"/>
      <c r="NK229" s="26"/>
      <c r="NL229" s="26"/>
      <c r="NM229" s="26"/>
      <c r="NN229" s="26"/>
      <c r="NO229" s="26"/>
      <c r="NP229" s="26"/>
      <c r="NQ229" s="26"/>
      <c r="NR229" s="26"/>
      <c r="NS229" s="26"/>
      <c r="NT229" s="26"/>
      <c r="NU229" s="26"/>
      <c r="NV229" s="26"/>
      <c r="NW229" s="26"/>
      <c r="NX229" s="26"/>
      <c r="NY229" s="26"/>
      <c r="NZ229" s="26"/>
      <c r="OA229" s="26"/>
      <c r="OB229" s="26"/>
      <c r="OC229" s="26"/>
      <c r="OD229" s="26"/>
      <c r="OE229" s="26"/>
      <c r="OF229" s="26"/>
      <c r="OG229" s="26"/>
      <c r="OH229" s="26"/>
      <c r="OI229" s="26"/>
      <c r="OJ229" s="26"/>
      <c r="OK229" s="26"/>
      <c r="OL229" s="26"/>
      <c r="OM229" s="26"/>
      <c r="ON229" s="26"/>
      <c r="OO229" s="26"/>
      <c r="OP229" s="26"/>
      <c r="OQ229" s="26"/>
      <c r="OR229" s="26"/>
      <c r="OS229" s="26"/>
      <c r="OT229" s="26"/>
      <c r="OU229" s="26"/>
      <c r="OV229" s="26"/>
      <c r="OW229" s="26"/>
      <c r="OX229" s="26"/>
      <c r="OY229" s="26"/>
      <c r="OZ229" s="26"/>
      <c r="PA229" s="26"/>
      <c r="PB229" s="26"/>
      <c r="PC229" s="26"/>
      <c r="PD229" s="26"/>
      <c r="PE229" s="26"/>
      <c r="PF229" s="26"/>
      <c r="PG229" s="26"/>
      <c r="PH229" s="26"/>
      <c r="PI229" s="26"/>
      <c r="PJ229" s="26"/>
      <c r="PK229" s="26"/>
      <c r="PL229" s="26"/>
      <c r="PM229" s="26"/>
      <c r="PN229" s="26"/>
      <c r="PO229" s="26"/>
      <c r="PP229" s="26"/>
      <c r="PQ229" s="26"/>
      <c r="PR229" s="26"/>
      <c r="PS229" s="26"/>
      <c r="PT229" s="26"/>
      <c r="PU229" s="26"/>
      <c r="PV229" s="26"/>
      <c r="PW229" s="26"/>
      <c r="PX229" s="26"/>
      <c r="PY229" s="26"/>
      <c r="PZ229" s="26"/>
      <c r="QA229" s="26"/>
      <c r="QB229" s="26"/>
      <c r="QC229" s="26"/>
      <c r="QD229" s="26"/>
      <c r="QE229" s="26"/>
      <c r="QF229" s="26"/>
      <c r="QG229" s="26"/>
      <c r="QH229" s="26"/>
      <c r="QI229" s="26"/>
      <c r="QJ229" s="26"/>
      <c r="QK229" s="26"/>
      <c r="QL229" s="26"/>
      <c r="QM229" s="26"/>
      <c r="QN229" s="26"/>
      <c r="QO229" s="26"/>
      <c r="QP229" s="26"/>
      <c r="QQ229" s="26"/>
      <c r="QR229" s="26"/>
      <c r="QS229" s="26"/>
      <c r="QT229" s="26"/>
      <c r="QU229" s="26"/>
      <c r="QV229" s="26"/>
      <c r="QW229" s="26"/>
      <c r="QX229" s="26"/>
      <c r="QY229" s="26"/>
      <c r="QZ229" s="26"/>
      <c r="RA229" s="26"/>
      <c r="RB229" s="26"/>
      <c r="RC229" s="26"/>
      <c r="RD229" s="26"/>
      <c r="RE229" s="26"/>
      <c r="RF229" s="26"/>
      <c r="RG229" s="26"/>
      <c r="RH229" s="26"/>
      <c r="RI229" s="26"/>
      <c r="RJ229" s="26"/>
      <c r="RK229" s="26"/>
      <c r="RL229" s="26"/>
      <c r="RM229" s="26"/>
      <c r="RN229" s="26"/>
      <c r="RO229" s="26"/>
      <c r="RP229" s="26"/>
      <c r="RQ229" s="26"/>
      <c r="RR229" s="26"/>
      <c r="RS229" s="26"/>
      <c r="RT229" s="26"/>
      <c r="RU229" s="26"/>
      <c r="RV229" s="26"/>
      <c r="RW229" s="26"/>
      <c r="RX229" s="26"/>
      <c r="RY229" s="26"/>
      <c r="RZ229" s="26"/>
      <c r="SA229" s="26"/>
      <c r="SB229" s="26"/>
      <c r="SC229" s="26"/>
      <c r="SD229" s="26"/>
      <c r="SE229" s="26"/>
      <c r="SF229" s="26"/>
      <c r="SG229" s="26"/>
      <c r="SH229" s="26"/>
      <c r="SI229" s="26"/>
      <c r="SJ229" s="26"/>
      <c r="SK229" s="26"/>
      <c r="SL229" s="26"/>
      <c r="SM229" s="26"/>
      <c r="SN229" s="26"/>
      <c r="SO229" s="26"/>
      <c r="SP229" s="26"/>
      <c r="SQ229" s="26"/>
      <c r="SR229" s="26"/>
      <c r="SS229" s="26"/>
      <c r="ST229" s="26"/>
      <c r="SU229" s="26"/>
      <c r="SV229" s="26"/>
      <c r="SW229" s="26"/>
      <c r="SX229" s="26"/>
      <c r="SY229" s="26"/>
      <c r="SZ229" s="26"/>
      <c r="TA229" s="26"/>
      <c r="TB229" s="26"/>
      <c r="TC229" s="26"/>
      <c r="TD229" s="26"/>
      <c r="TE229" s="26"/>
      <c r="TF229" s="26"/>
      <c r="TG229" s="26"/>
      <c r="TH229" s="26"/>
      <c r="TI229" s="26"/>
      <c r="TJ229" s="26"/>
      <c r="TK229" s="26"/>
      <c r="TL229" s="26"/>
      <c r="TM229" s="26"/>
      <c r="TN229" s="26"/>
      <c r="TO229" s="26"/>
      <c r="TP229" s="26"/>
      <c r="TQ229" s="26"/>
      <c r="TR229" s="26"/>
      <c r="TS229" s="26"/>
      <c r="TT229" s="26"/>
      <c r="TU229" s="26"/>
      <c r="TV229" s="26"/>
      <c r="TW229" s="26"/>
      <c r="TX229" s="26"/>
      <c r="TY229" s="26"/>
      <c r="TZ229" s="26"/>
      <c r="UA229" s="26"/>
      <c r="UB229" s="26"/>
      <c r="UC229" s="26"/>
      <c r="UD229" s="26"/>
      <c r="UE229" s="26"/>
      <c r="UF229" s="26"/>
      <c r="UG229" s="26"/>
      <c r="UH229" s="26"/>
      <c r="UI229" s="26"/>
      <c r="UJ229" s="26"/>
      <c r="UK229" s="26"/>
      <c r="UL229" s="26"/>
      <c r="UM229" s="26"/>
      <c r="UN229" s="26"/>
      <c r="UO229" s="26"/>
      <c r="UP229" s="26"/>
      <c r="UQ229" s="26"/>
      <c r="UR229" s="26"/>
      <c r="US229" s="26"/>
      <c r="UT229" s="26"/>
      <c r="UU229" s="26"/>
      <c r="UV229" s="26"/>
      <c r="UW229" s="26"/>
      <c r="UX229" s="26"/>
      <c r="UY229" s="26"/>
      <c r="UZ229" s="26"/>
      <c r="VA229" s="26"/>
      <c r="VB229" s="26"/>
      <c r="VC229" s="26"/>
      <c r="VD229" s="26"/>
      <c r="VE229" s="26"/>
      <c r="VF229" s="26"/>
      <c r="VG229" s="26"/>
      <c r="VH229" s="26"/>
      <c r="VI229" s="26"/>
      <c r="VJ229" s="26"/>
      <c r="VK229" s="26"/>
      <c r="VL229" s="26"/>
      <c r="VM229" s="26"/>
      <c r="VN229" s="26"/>
      <c r="VO229" s="26"/>
      <c r="VP229" s="26"/>
      <c r="VQ229" s="26"/>
      <c r="VR229" s="26"/>
      <c r="VS229" s="26"/>
      <c r="VT229" s="26"/>
      <c r="VU229" s="26"/>
      <c r="VV229" s="26"/>
      <c r="VW229" s="26"/>
      <c r="VX229" s="26"/>
      <c r="VY229" s="26"/>
      <c r="VZ229" s="26"/>
      <c r="WA229" s="26"/>
      <c r="WB229" s="26"/>
      <c r="WC229" s="26"/>
      <c r="WD229" s="26"/>
      <c r="WE229" s="26"/>
      <c r="WF229" s="26"/>
      <c r="WG229" s="26"/>
      <c r="WH229" s="26"/>
      <c r="WI229" s="26"/>
      <c r="WJ229" s="26"/>
      <c r="WK229" s="26"/>
      <c r="WL229" s="26"/>
      <c r="WM229" s="26"/>
      <c r="WN229" s="26"/>
      <c r="WO229" s="26"/>
      <c r="WP229" s="26"/>
      <c r="WQ229" s="26"/>
      <c r="WR229" s="26"/>
      <c r="WS229" s="26"/>
      <c r="WT229" s="26"/>
      <c r="WU229" s="26"/>
      <c r="WV229" s="26"/>
      <c r="WW229" s="26"/>
      <c r="WX229" s="26"/>
      <c r="WY229" s="26"/>
      <c r="WZ229" s="26"/>
      <c r="XA229" s="26"/>
      <c r="XB229" s="26"/>
      <c r="XC229" s="26"/>
      <c r="XD229" s="26"/>
      <c r="XE229" s="26"/>
      <c r="XF229" s="26"/>
      <c r="XG229" s="26"/>
      <c r="XH229" s="26"/>
      <c r="XI229" s="26"/>
      <c r="XJ229" s="26"/>
      <c r="XK229" s="26"/>
      <c r="XL229" s="26"/>
      <c r="XM229" s="26"/>
      <c r="XN229" s="26"/>
      <c r="XO229" s="26"/>
      <c r="XP229" s="26"/>
      <c r="XQ229" s="26"/>
      <c r="XR229" s="26"/>
      <c r="XS229" s="26"/>
      <c r="XT229" s="26"/>
      <c r="XU229" s="26"/>
      <c r="XV229" s="26"/>
      <c r="XW229" s="26"/>
      <c r="XX229" s="26"/>
      <c r="XY229" s="26"/>
      <c r="XZ229" s="26"/>
      <c r="YA229" s="26"/>
      <c r="YB229" s="26"/>
      <c r="YC229" s="26"/>
      <c r="YD229" s="26"/>
      <c r="YE229" s="26"/>
      <c r="YF229" s="26"/>
      <c r="YG229" s="26"/>
      <c r="YH229" s="26"/>
      <c r="YI229" s="26"/>
      <c r="YJ229" s="26"/>
      <c r="YK229" s="26"/>
      <c r="YL229" s="26"/>
      <c r="YM229" s="26"/>
      <c r="YN229" s="26"/>
      <c r="YO229" s="26"/>
      <c r="YP229" s="26"/>
      <c r="YQ229" s="26"/>
      <c r="YR229" s="26"/>
      <c r="YS229" s="26"/>
      <c r="YT229" s="26"/>
      <c r="YU229" s="26"/>
      <c r="YV229" s="26"/>
      <c r="YW229" s="26"/>
      <c r="YX229" s="26"/>
      <c r="YY229" s="26"/>
      <c r="YZ229" s="26"/>
      <c r="ZA229" s="26"/>
      <c r="ZB229" s="26"/>
      <c r="ZC229" s="26"/>
      <c r="ZD229" s="26"/>
      <c r="ZE229" s="26"/>
      <c r="ZF229" s="26"/>
      <c r="ZG229" s="26"/>
      <c r="ZH229" s="26"/>
      <c r="ZI229" s="26"/>
      <c r="ZJ229" s="26"/>
      <c r="ZK229" s="26"/>
      <c r="ZL229" s="26"/>
      <c r="ZM229" s="26"/>
      <c r="ZN229" s="26"/>
      <c r="ZO229" s="26"/>
      <c r="ZP229" s="26"/>
      <c r="ZQ229" s="26"/>
      <c r="ZR229" s="26"/>
      <c r="ZS229" s="26"/>
      <c r="ZT229" s="26"/>
      <c r="ZU229" s="26"/>
      <c r="ZV229" s="26"/>
      <c r="ZW229" s="26"/>
      <c r="ZX229" s="26"/>
      <c r="ZY229" s="26"/>
      <c r="ZZ229" s="26"/>
      <c r="AAA229" s="26"/>
      <c r="AAB229" s="26"/>
      <c r="AAC229" s="26"/>
      <c r="AAD229" s="26"/>
      <c r="AAE229" s="26"/>
      <c r="AAF229" s="26"/>
      <c r="AAG229" s="26"/>
      <c r="AAH229" s="26"/>
      <c r="AAI229" s="26"/>
      <c r="AAJ229" s="26"/>
      <c r="AAK229" s="26"/>
      <c r="AAL229" s="26"/>
      <c r="AAM229" s="26"/>
      <c r="AAN229" s="26"/>
      <c r="AAO229" s="26"/>
      <c r="AAP229" s="26"/>
      <c r="AAQ229" s="26"/>
      <c r="AAR229" s="26"/>
      <c r="AAS229" s="26"/>
      <c r="AAT229" s="26"/>
      <c r="AAU229" s="26"/>
      <c r="AAV229" s="26"/>
      <c r="AAW229" s="26"/>
      <c r="AAX229" s="26"/>
      <c r="AAY229" s="26"/>
      <c r="AAZ229" s="26"/>
      <c r="ABA229" s="26"/>
      <c r="ABB229" s="26"/>
      <c r="ABC229" s="26"/>
      <c r="ABD229" s="26"/>
      <c r="ABE229" s="26"/>
      <c r="ABF229" s="26"/>
      <c r="ABG229" s="26"/>
      <c r="ABH229" s="26"/>
      <c r="ABI229" s="26"/>
      <c r="ABJ229" s="26"/>
      <c r="ABK229" s="26"/>
      <c r="ABL229" s="26"/>
      <c r="ABM229" s="26"/>
      <c r="ABN229" s="26"/>
      <c r="ABO229" s="26"/>
      <c r="ABP229" s="26"/>
      <c r="ABQ229" s="26"/>
      <c r="ABR229" s="26"/>
      <c r="ABS229" s="26"/>
      <c r="ABT229" s="26"/>
      <c r="ABU229" s="26"/>
      <c r="ABV229" s="26"/>
      <c r="ABW229" s="26"/>
      <c r="ABX229" s="26"/>
      <c r="ABY229" s="26"/>
      <c r="ABZ229" s="26"/>
      <c r="ACA229" s="26"/>
      <c r="ACB229" s="26"/>
      <c r="ACC229" s="26"/>
      <c r="ACD229" s="26"/>
      <c r="ACE229" s="26"/>
      <c r="ACF229" s="26"/>
      <c r="ACG229" s="26"/>
      <c r="ACH229" s="26"/>
      <c r="ACI229" s="26"/>
      <c r="ACJ229" s="26"/>
      <c r="ACK229" s="26"/>
      <c r="ACL229" s="26"/>
      <c r="ACM229" s="26"/>
      <c r="ACN229" s="26"/>
      <c r="ACO229" s="26"/>
      <c r="ACP229" s="26"/>
      <c r="ACQ229" s="26"/>
      <c r="ACR229" s="26"/>
      <c r="ACS229" s="26"/>
      <c r="ACT229" s="26"/>
      <c r="ACU229" s="26"/>
      <c r="ACV229" s="26"/>
      <c r="ACW229" s="26"/>
      <c r="ACX229" s="26"/>
      <c r="ACY229" s="26"/>
      <c r="ACZ229" s="26"/>
      <c r="ADA229" s="26"/>
      <c r="ADB229" s="26"/>
      <c r="ADC229" s="26"/>
      <c r="ADD229" s="26"/>
      <c r="ADE229" s="26"/>
      <c r="ADF229" s="26"/>
      <c r="ADG229" s="26"/>
      <c r="ADH229" s="26"/>
      <c r="ADI229" s="26"/>
      <c r="ADJ229" s="26"/>
      <c r="ADK229" s="26"/>
      <c r="ADL229" s="26"/>
      <c r="ADM229" s="26"/>
      <c r="ADN229" s="26"/>
      <c r="ADO229" s="26"/>
      <c r="ADP229" s="26"/>
      <c r="ADQ229" s="26"/>
      <c r="ADR229" s="26"/>
      <c r="ADS229" s="26"/>
      <c r="ADT229" s="26"/>
      <c r="ADU229" s="26"/>
      <c r="ADV229" s="26"/>
      <c r="ADW229" s="26"/>
      <c r="ADX229" s="26"/>
      <c r="ADY229" s="26"/>
      <c r="ADZ229" s="26"/>
      <c r="AEA229" s="26"/>
      <c r="AEB229" s="26"/>
      <c r="AEC229" s="26"/>
      <c r="AED229" s="26"/>
      <c r="AEE229" s="26"/>
      <c r="AEF229" s="26"/>
      <c r="AEG229" s="26"/>
      <c r="AEH229" s="26"/>
      <c r="AEI229" s="26"/>
      <c r="AEJ229" s="26"/>
      <c r="AEK229" s="26"/>
      <c r="AEL229" s="26"/>
      <c r="AEM229" s="26"/>
      <c r="AEN229" s="26"/>
      <c r="AEO229" s="26"/>
      <c r="AEP229" s="26"/>
      <c r="AEQ229" s="26"/>
      <c r="AER229" s="26"/>
      <c r="AES229" s="26"/>
      <c r="AET229" s="26"/>
      <c r="AEU229" s="26"/>
      <c r="AEV229" s="26"/>
      <c r="AEW229" s="26"/>
      <c r="AEX229" s="26"/>
      <c r="AEY229" s="26"/>
      <c r="AEZ229" s="26"/>
      <c r="AFA229" s="26"/>
      <c r="AFB229" s="26"/>
      <c r="AFC229" s="26"/>
      <c r="AFD229" s="26"/>
      <c r="AFE229" s="26"/>
      <c r="AFF229" s="26"/>
      <c r="AFG229" s="26"/>
      <c r="AFH229" s="26"/>
      <c r="AFI229" s="26"/>
      <c r="AFJ229" s="26"/>
      <c r="AFK229" s="26"/>
      <c r="AFL229" s="26"/>
      <c r="AFM229" s="26"/>
      <c r="AFN229" s="26"/>
      <c r="AFO229" s="26"/>
      <c r="AFP229" s="26"/>
      <c r="AFQ229" s="26"/>
      <c r="AFR229" s="26"/>
      <c r="AFS229" s="26"/>
      <c r="AFT229" s="26"/>
      <c r="AFU229" s="26"/>
      <c r="AFV229" s="26"/>
      <c r="AFW229" s="26"/>
      <c r="AFX229" s="26"/>
      <c r="AFY229" s="26"/>
      <c r="AFZ229" s="26"/>
      <c r="AGA229" s="26"/>
      <c r="AGB229" s="26"/>
      <c r="AGC229" s="26"/>
      <c r="AGD229" s="26"/>
      <c r="AGE229" s="26"/>
      <c r="AGF229" s="26"/>
      <c r="AGG229" s="26"/>
      <c r="AGH229" s="26"/>
      <c r="AGI229" s="26"/>
      <c r="AGJ229" s="26"/>
      <c r="AGK229" s="26"/>
      <c r="AGL229" s="26"/>
      <c r="AGM229" s="26"/>
      <c r="AGN229" s="26"/>
      <c r="AGO229" s="26"/>
      <c r="AGP229" s="26"/>
      <c r="AGQ229" s="26"/>
      <c r="AGR229" s="26"/>
      <c r="AGS229" s="26"/>
      <c r="AGT229" s="26"/>
      <c r="AGU229" s="26"/>
      <c r="AGV229" s="26"/>
      <c r="AGW229" s="26"/>
      <c r="AGX229" s="26"/>
      <c r="AGY229" s="26"/>
      <c r="AGZ229" s="26"/>
      <c r="AHA229" s="26"/>
      <c r="AHB229" s="26"/>
      <c r="AHC229" s="26"/>
      <c r="AHD229" s="26"/>
      <c r="AHE229" s="26"/>
      <c r="AHF229" s="26"/>
      <c r="AHG229" s="26"/>
      <c r="AHH229" s="26"/>
      <c r="AHI229" s="26"/>
      <c r="AHJ229" s="26"/>
      <c r="AHK229" s="26"/>
      <c r="AHL229" s="26"/>
      <c r="AHM229" s="26"/>
      <c r="AHN229" s="26"/>
      <c r="AHO229" s="26"/>
      <c r="AHP229" s="26"/>
      <c r="AHQ229" s="26"/>
      <c r="AHR229" s="26"/>
      <c r="AHS229" s="26"/>
      <c r="AHT229" s="26"/>
      <c r="AHU229" s="26"/>
      <c r="AHV229" s="26"/>
      <c r="AHW229" s="26"/>
      <c r="AHX229" s="26"/>
      <c r="AHY229" s="26"/>
      <c r="AHZ229" s="26"/>
      <c r="AIA229" s="26"/>
      <c r="AIB229" s="26"/>
      <c r="AIC229" s="26"/>
      <c r="AID229" s="26"/>
      <c r="AIE229" s="26"/>
      <c r="AIF229" s="26"/>
      <c r="AIG229" s="26"/>
      <c r="AIH229" s="26"/>
      <c r="AII229" s="26"/>
      <c r="AIJ229" s="26"/>
      <c r="AIK229" s="26"/>
      <c r="AIL229" s="26"/>
      <c r="AIM229" s="26"/>
      <c r="AIN229" s="26"/>
      <c r="AIO229" s="26"/>
      <c r="AIP229" s="26"/>
      <c r="AIQ229" s="26"/>
      <c r="AIR229" s="26"/>
      <c r="AIS229" s="26"/>
      <c r="AIT229" s="26"/>
      <c r="AIU229" s="26"/>
      <c r="AIV229" s="26"/>
      <c r="AIW229" s="26"/>
      <c r="AIX229" s="26"/>
      <c r="AIY229" s="26"/>
      <c r="AIZ229" s="26"/>
      <c r="AJA229" s="26"/>
      <c r="AJB229" s="26"/>
      <c r="AJC229" s="26"/>
      <c r="AJD229" s="26"/>
      <c r="AJE229" s="26"/>
      <c r="AJF229" s="26"/>
      <c r="AJG229" s="26"/>
      <c r="AJH229" s="26"/>
      <c r="AJI229" s="26"/>
      <c r="AJJ229" s="26"/>
      <c r="AJK229" s="26"/>
      <c r="AJL229" s="26"/>
      <c r="AJM229" s="26"/>
      <c r="AJN229" s="26"/>
      <c r="AJO229" s="26"/>
      <c r="AJP229" s="26"/>
      <c r="AJQ229" s="26"/>
      <c r="AJR229" s="26"/>
      <c r="AJS229" s="26"/>
      <c r="AJT229" s="26"/>
      <c r="AJU229" s="26"/>
      <c r="AJV229" s="26"/>
      <c r="AJW229" s="26"/>
      <c r="AJX229" s="26"/>
      <c r="AJY229" s="26"/>
      <c r="AJZ229" s="26"/>
      <c r="AKA229" s="26"/>
      <c r="AKB229" s="26"/>
      <c r="AKC229" s="26"/>
      <c r="AKD229" s="26"/>
      <c r="AKE229" s="26"/>
      <c r="AKF229" s="26"/>
      <c r="AKG229" s="26"/>
      <c r="AKH229" s="26"/>
      <c r="AKI229" s="26"/>
      <c r="AKJ229" s="26"/>
      <c r="AKK229" s="26"/>
      <c r="AKL229" s="26"/>
      <c r="AKM229" s="26"/>
      <c r="AKN229" s="26"/>
      <c r="AKO229" s="26"/>
      <c r="AKP229" s="26"/>
      <c r="AKQ229" s="26"/>
      <c r="AKR229" s="26"/>
      <c r="AKS229" s="26"/>
      <c r="AKT229" s="26"/>
      <c r="AKU229" s="26"/>
      <c r="AKV229" s="26"/>
      <c r="AKW229" s="26"/>
      <c r="AKX229" s="26"/>
      <c r="AKY229" s="26"/>
      <c r="AKZ229" s="26"/>
      <c r="ALA229" s="26"/>
      <c r="ALB229" s="26"/>
      <c r="ALC229" s="26"/>
      <c r="ALD229" s="26"/>
      <c r="ALE229" s="26"/>
      <c r="ALF229" s="26"/>
      <c r="ALG229" s="26"/>
      <c r="ALH229" s="26"/>
      <c r="ALI229" s="26"/>
      <c r="ALJ229" s="26"/>
      <c r="ALK229" s="26"/>
      <c r="ALL229" s="26"/>
      <c r="ALM229" s="26"/>
      <c r="ALN229" s="26"/>
      <c r="ALO229" s="26"/>
      <c r="ALP229" s="26"/>
      <c r="ALQ229" s="26"/>
      <c r="ALR229" s="26"/>
      <c r="ALS229" s="26"/>
      <c r="ALT229" s="26"/>
      <c r="ALU229" s="26"/>
      <c r="ALV229" s="26"/>
      <c r="ALW229" s="26"/>
      <c r="ALX229" s="26"/>
      <c r="ALY229" s="26"/>
      <c r="ALZ229" s="26"/>
      <c r="AMA229" s="26"/>
      <c r="AMB229" s="26"/>
      <c r="AMC229" s="26"/>
      <c r="AMD229" s="26"/>
      <c r="AME229" s="26"/>
      <c r="AMF229" s="26"/>
      <c r="AMG229" s="26"/>
      <c r="AMH229" s="26"/>
      <c r="AMI229" s="26"/>
      <c r="AMJ229" s="26"/>
      <c r="AMK229" s="26"/>
      <c r="AML229" s="26"/>
      <c r="AMM229" s="26"/>
      <c r="AMN229" s="26"/>
      <c r="AMO229" s="26"/>
      <c r="AMP229" s="26"/>
      <c r="AMQ229" s="26"/>
      <c r="AMR229" s="26"/>
      <c r="AMS229" s="26"/>
      <c r="AMT229" s="26"/>
      <c r="AMU229" s="26"/>
      <c r="AMV229" s="26"/>
      <c r="AMW229" s="26"/>
      <c r="AMX229" s="26"/>
      <c r="AMY229" s="26"/>
      <c r="AMZ229" s="26"/>
      <c r="ANA229" s="26"/>
      <c r="ANB229" s="26"/>
      <c r="ANC229" s="26"/>
      <c r="AND229" s="26"/>
      <c r="ANE229" s="26"/>
      <c r="ANF229" s="26"/>
      <c r="ANG229" s="26"/>
      <c r="ANH229" s="26"/>
      <c r="ANI229" s="26"/>
      <c r="ANJ229" s="26"/>
      <c r="ANK229" s="26"/>
      <c r="ANL229" s="26"/>
      <c r="ANM229" s="26"/>
      <c r="ANN229" s="26"/>
      <c r="ANO229" s="26"/>
      <c r="ANP229" s="26"/>
      <c r="ANQ229" s="26"/>
      <c r="ANR229" s="26"/>
      <c r="ANS229" s="26"/>
      <c r="ANT229" s="26"/>
      <c r="ANU229" s="26"/>
      <c r="ANV229" s="26"/>
      <c r="ANW229" s="26"/>
      <c r="ANX229" s="26"/>
      <c r="ANY229" s="26"/>
      <c r="ANZ229" s="26"/>
      <c r="AOA229" s="26"/>
      <c r="AOB229" s="26"/>
      <c r="AOC229" s="26"/>
      <c r="AOD229" s="26"/>
      <c r="AOE229" s="26"/>
      <c r="AOF229" s="26"/>
      <c r="AOG229" s="26"/>
      <c r="AOH229" s="26"/>
      <c r="AOI229" s="26"/>
      <c r="AOJ229" s="26"/>
      <c r="AOK229" s="26"/>
      <c r="AOL229" s="26"/>
      <c r="AOM229" s="26"/>
      <c r="AON229" s="26"/>
      <c r="AOO229" s="26"/>
      <c r="AOP229" s="26"/>
      <c r="AOQ229" s="26"/>
      <c r="AOR229" s="26"/>
      <c r="AOS229" s="26"/>
      <c r="AOT229" s="26"/>
      <c r="AOU229" s="26"/>
      <c r="AOV229" s="26"/>
      <c r="AOW229" s="26"/>
      <c r="AOX229" s="26"/>
      <c r="AOY229" s="26"/>
      <c r="AOZ229" s="26"/>
      <c r="APA229" s="26"/>
      <c r="APB229" s="26"/>
      <c r="APC229" s="26"/>
      <c r="APD229" s="26"/>
      <c r="APE229" s="26"/>
      <c r="APF229" s="26"/>
      <c r="APG229" s="26"/>
      <c r="APH229" s="26"/>
      <c r="API229" s="26"/>
      <c r="APJ229" s="26"/>
      <c r="APK229" s="26"/>
      <c r="APL229" s="26"/>
      <c r="APM229" s="26"/>
      <c r="APN229" s="26"/>
      <c r="APO229" s="26"/>
      <c r="APP229" s="26"/>
      <c r="APQ229" s="26"/>
      <c r="APR229" s="26"/>
      <c r="APS229" s="26"/>
      <c r="APT229" s="26"/>
      <c r="APU229" s="26"/>
      <c r="APV229" s="26"/>
      <c r="APW229" s="26"/>
      <c r="APX229" s="26"/>
      <c r="APY229" s="26"/>
      <c r="APZ229" s="26"/>
      <c r="AQA229" s="26"/>
      <c r="AQB229" s="26"/>
      <c r="AQC229" s="26"/>
      <c r="AQD229" s="26"/>
      <c r="AQE229" s="26"/>
      <c r="AQF229" s="26"/>
      <c r="AQG229" s="26"/>
      <c r="AQH229" s="26"/>
      <c r="AQI229" s="26"/>
      <c r="AQJ229" s="26"/>
      <c r="AQK229" s="26"/>
      <c r="AQL229" s="26"/>
      <c r="AQM229" s="26"/>
      <c r="AQN229" s="26"/>
      <c r="AQO229" s="26"/>
      <c r="AQP229" s="26"/>
      <c r="AQQ229" s="26"/>
      <c r="AQR229" s="26"/>
      <c r="AQS229" s="26"/>
      <c r="AQT229" s="26"/>
      <c r="AQU229" s="26"/>
      <c r="AQV229" s="26"/>
      <c r="AQW229" s="26"/>
      <c r="AQX229" s="26"/>
      <c r="AQY229" s="26"/>
      <c r="AQZ229" s="26"/>
      <c r="ARA229" s="26"/>
      <c r="ARB229" s="26"/>
      <c r="ARC229" s="26"/>
      <c r="ARD229" s="26"/>
      <c r="ARE229" s="26"/>
      <c r="ARF229" s="26"/>
      <c r="ARG229" s="26"/>
      <c r="ARH229" s="26"/>
      <c r="ARI229" s="26"/>
      <c r="ARJ229" s="26"/>
      <c r="ARK229" s="26"/>
      <c r="ARL229" s="26"/>
      <c r="ARM229" s="26"/>
      <c r="ARN229" s="26"/>
      <c r="ARO229" s="26"/>
      <c r="ARP229" s="26"/>
      <c r="ARQ229" s="26"/>
      <c r="ARR229" s="26"/>
      <c r="ARS229" s="26"/>
      <c r="ART229" s="26"/>
      <c r="ARU229" s="26"/>
      <c r="ARV229" s="26"/>
      <c r="ARW229" s="26"/>
      <c r="ARX229" s="26"/>
      <c r="ARY229" s="26"/>
      <c r="ARZ229" s="26"/>
      <c r="ASA229" s="26"/>
      <c r="ASB229" s="26"/>
      <c r="ASC229" s="26"/>
      <c r="ASD229" s="26"/>
      <c r="ASE229" s="26"/>
      <c r="ASF229" s="26"/>
      <c r="ASG229" s="26"/>
      <c r="ASH229" s="26"/>
      <c r="ASI229" s="26"/>
      <c r="ASJ229" s="26"/>
      <c r="ASK229" s="26"/>
      <c r="ASL229" s="26"/>
      <c r="ASM229" s="26"/>
      <c r="ASN229" s="26"/>
      <c r="ASO229" s="26"/>
      <c r="ASP229" s="26"/>
      <c r="ASQ229" s="26"/>
      <c r="ASR229" s="26"/>
      <c r="ASS229" s="26"/>
      <c r="AST229" s="26"/>
      <c r="ASU229" s="26"/>
      <c r="ASV229" s="26"/>
      <c r="ASW229" s="26"/>
      <c r="ASX229" s="26"/>
      <c r="ASY229" s="26"/>
      <c r="ASZ229" s="26"/>
      <c r="ATA229" s="26"/>
      <c r="ATB229" s="26"/>
      <c r="ATC229" s="26"/>
      <c r="ATD229" s="26"/>
      <c r="ATE229" s="26"/>
      <c r="ATF229" s="26"/>
      <c r="ATG229" s="26"/>
      <c r="ATH229" s="26"/>
      <c r="ATI229" s="26"/>
      <c r="ATJ229" s="26"/>
      <c r="ATK229" s="26"/>
      <c r="ATL229" s="26"/>
      <c r="ATM229" s="26"/>
      <c r="ATN229" s="26"/>
      <c r="ATO229" s="26"/>
      <c r="ATP229" s="26"/>
      <c r="ATQ229" s="26"/>
      <c r="ATR229" s="26"/>
      <c r="ATS229" s="26"/>
      <c r="ATT229" s="26"/>
      <c r="ATU229" s="26"/>
      <c r="ATV229" s="26"/>
      <c r="ATW229" s="26"/>
      <c r="ATX229" s="26"/>
      <c r="ATY229" s="26"/>
      <c r="ATZ229" s="26"/>
      <c r="AUA229" s="26"/>
      <c r="AUB229" s="26"/>
      <c r="AUC229" s="26"/>
      <c r="AUD229" s="26"/>
      <c r="AUE229" s="26"/>
      <c r="AUF229" s="26"/>
      <c r="AUG229" s="26"/>
      <c r="AUH229" s="26"/>
      <c r="AUI229" s="26"/>
      <c r="AUJ229" s="26"/>
      <c r="AUK229" s="26"/>
      <c r="AUL229" s="26"/>
      <c r="AUM229" s="26"/>
      <c r="AUN229" s="26"/>
      <c r="AUO229" s="26"/>
      <c r="AUP229" s="26"/>
      <c r="AUQ229" s="26"/>
      <c r="AUR229" s="26"/>
      <c r="AUS229" s="26"/>
      <c r="AUT229" s="26"/>
      <c r="AUU229" s="26"/>
      <c r="AUV229" s="26"/>
      <c r="AUW229" s="26"/>
      <c r="AUX229" s="26"/>
      <c r="AUY229" s="26"/>
      <c r="AUZ229" s="26"/>
      <c r="AVA229" s="26"/>
      <c r="AVB229" s="26"/>
      <c r="AVC229" s="26"/>
      <c r="AVD229" s="26"/>
      <c r="AVE229" s="26"/>
      <c r="AVF229" s="26"/>
      <c r="AVG229" s="26"/>
      <c r="AVH229" s="26"/>
      <c r="AVI229" s="26"/>
      <c r="AVJ229" s="26"/>
      <c r="AVK229" s="26"/>
      <c r="AVL229" s="26"/>
      <c r="AVM229" s="26"/>
      <c r="AVN229" s="26"/>
      <c r="AVO229" s="26"/>
      <c r="AVP229" s="26"/>
      <c r="AVQ229" s="26"/>
      <c r="AVR229" s="26"/>
      <c r="AVS229" s="26"/>
      <c r="AVT229" s="26"/>
      <c r="AVU229" s="26"/>
      <c r="AVV229" s="26"/>
      <c r="AVW229" s="26"/>
      <c r="AVX229" s="26"/>
      <c r="AVY229" s="26"/>
      <c r="AVZ229" s="26"/>
      <c r="AWA229" s="26"/>
      <c r="AWB229" s="26"/>
      <c r="AWC229" s="26"/>
      <c r="AWD229" s="26"/>
      <c r="AWE229" s="26"/>
      <c r="AWF229" s="26"/>
      <c r="AWG229" s="26"/>
      <c r="AWH229" s="26"/>
      <c r="AWI229" s="26"/>
      <c r="AWJ229" s="26"/>
      <c r="AWK229" s="26"/>
      <c r="AWL229" s="26"/>
      <c r="AWM229" s="26"/>
      <c r="AWN229" s="26"/>
      <c r="AWO229" s="26"/>
      <c r="AWP229" s="26"/>
      <c r="AWQ229" s="26"/>
      <c r="AWR229" s="26"/>
      <c r="AWS229" s="26"/>
      <c r="AWT229" s="26"/>
      <c r="AWU229" s="26"/>
      <c r="AWV229" s="26"/>
      <c r="AWW229" s="26"/>
      <c r="AWX229" s="26"/>
      <c r="AWY229" s="26"/>
      <c r="AWZ229" s="26"/>
      <c r="AXA229" s="26"/>
      <c r="AXB229" s="26"/>
      <c r="AXC229" s="26"/>
      <c r="AXD229" s="26"/>
      <c r="AXE229" s="26"/>
      <c r="AXF229" s="26"/>
      <c r="AXG229" s="26"/>
      <c r="AXH229" s="26"/>
      <c r="AXI229" s="26"/>
      <c r="AXJ229" s="26"/>
      <c r="AXK229" s="26"/>
      <c r="AXL229" s="26"/>
      <c r="AXM229" s="26"/>
      <c r="AXN229" s="26"/>
      <c r="AXO229" s="26"/>
      <c r="AXP229" s="26"/>
      <c r="AXQ229" s="26"/>
      <c r="AXR229" s="26"/>
      <c r="AXS229" s="26"/>
      <c r="AXT229" s="26"/>
      <c r="AXU229" s="26"/>
      <c r="AXV229" s="26"/>
      <c r="AXW229" s="26"/>
      <c r="AXX229" s="26"/>
      <c r="AXY229" s="26"/>
      <c r="AXZ229" s="26"/>
      <c r="AYA229" s="26"/>
      <c r="AYB229" s="26"/>
      <c r="AYC229" s="26"/>
      <c r="AYD229" s="26"/>
      <c r="AYE229" s="26"/>
      <c r="AYF229" s="26"/>
      <c r="AYG229" s="26"/>
      <c r="AYH229" s="26"/>
      <c r="AYI229" s="26"/>
      <c r="AYJ229" s="26"/>
      <c r="AYK229" s="26"/>
      <c r="AYL229" s="26"/>
      <c r="AYM229" s="26"/>
      <c r="AYN229" s="26"/>
      <c r="AYO229" s="26"/>
      <c r="AYP229" s="26"/>
      <c r="AYQ229" s="26"/>
      <c r="AYR229" s="26"/>
      <c r="AYS229" s="26"/>
      <c r="AYT229" s="26"/>
      <c r="AYU229" s="26"/>
      <c r="AYV229" s="26"/>
      <c r="AYW229" s="26"/>
      <c r="AYX229" s="26"/>
      <c r="AYY229" s="26"/>
      <c r="AYZ229" s="26"/>
      <c r="AZA229" s="26"/>
      <c r="AZB229" s="26"/>
      <c r="AZC229" s="26"/>
      <c r="AZD229" s="26"/>
      <c r="AZE229" s="26"/>
      <c r="AZF229" s="26"/>
      <c r="AZG229" s="26"/>
      <c r="AZH229" s="26"/>
      <c r="AZI229" s="26"/>
      <c r="AZJ229" s="26"/>
      <c r="AZK229" s="26"/>
      <c r="AZL229" s="26"/>
      <c r="AZM229" s="26"/>
      <c r="AZN229" s="26"/>
      <c r="AZO229" s="26"/>
      <c r="AZP229" s="26"/>
      <c r="AZQ229" s="26"/>
      <c r="AZR229" s="26"/>
      <c r="AZS229" s="26"/>
      <c r="AZT229" s="26"/>
      <c r="AZU229" s="26"/>
      <c r="AZV229" s="26"/>
      <c r="AZW229" s="26"/>
      <c r="AZX229" s="26"/>
      <c r="AZY229" s="26"/>
      <c r="AZZ229" s="26"/>
      <c r="BAA229" s="26"/>
      <c r="BAB229" s="26"/>
      <c r="BAC229" s="26"/>
      <c r="BAD229" s="26"/>
      <c r="BAE229" s="26"/>
      <c r="BAF229" s="26"/>
      <c r="BAG229" s="26"/>
      <c r="BAH229" s="26"/>
      <c r="BAI229" s="26"/>
      <c r="BAJ229" s="26"/>
      <c r="BAK229" s="26"/>
      <c r="BAL229" s="26"/>
      <c r="BAM229" s="26"/>
      <c r="BAN229" s="26"/>
      <c r="BAO229" s="26"/>
      <c r="BAP229" s="26"/>
      <c r="BAQ229" s="26"/>
      <c r="BAR229" s="26"/>
      <c r="BAS229" s="26"/>
      <c r="BAT229" s="26"/>
      <c r="BAU229" s="26"/>
      <c r="BAV229" s="26"/>
      <c r="BAW229" s="26"/>
      <c r="BAX229" s="26"/>
      <c r="BAY229" s="26"/>
      <c r="BAZ229" s="26"/>
      <c r="BBA229" s="26"/>
      <c r="BBB229" s="26"/>
      <c r="BBC229" s="26"/>
      <c r="BBD229" s="26"/>
      <c r="BBE229" s="26"/>
      <c r="BBF229" s="26"/>
      <c r="BBG229" s="26"/>
      <c r="BBH229" s="26"/>
      <c r="BBI229" s="26"/>
      <c r="BBJ229" s="26"/>
      <c r="BBK229" s="26"/>
      <c r="BBL229" s="26"/>
      <c r="BBM229" s="26"/>
      <c r="BBN229" s="26"/>
      <c r="BBO229" s="26"/>
      <c r="BBP229" s="26"/>
      <c r="BBQ229" s="26"/>
      <c r="BBR229" s="26"/>
      <c r="BBS229" s="26"/>
      <c r="BBT229" s="26"/>
      <c r="BBU229" s="26"/>
      <c r="BBV229" s="26"/>
      <c r="BBW229" s="26"/>
      <c r="BBX229" s="26"/>
      <c r="BBY229" s="26"/>
      <c r="BBZ229" s="26"/>
      <c r="BCA229" s="26"/>
      <c r="BCB229" s="26"/>
      <c r="BCC229" s="26"/>
      <c r="BCD229" s="26"/>
      <c r="BCE229" s="26"/>
      <c r="BCF229" s="26"/>
      <c r="BCG229" s="26"/>
      <c r="BCH229" s="26"/>
      <c r="BCI229" s="26"/>
      <c r="BCJ229" s="26"/>
      <c r="BCK229" s="26"/>
      <c r="BCL229" s="26"/>
      <c r="BCM229" s="26"/>
      <c r="BCN229" s="26"/>
      <c r="BCO229" s="26"/>
      <c r="BCP229" s="26"/>
      <c r="BCQ229" s="26"/>
      <c r="BCR229" s="26"/>
      <c r="BCS229" s="26"/>
      <c r="BCT229" s="26"/>
      <c r="BCU229" s="26"/>
      <c r="BCV229" s="26"/>
      <c r="BCW229" s="26"/>
      <c r="BCX229" s="26"/>
      <c r="BCY229" s="26"/>
      <c r="BCZ229" s="26"/>
      <c r="BDA229" s="26"/>
      <c r="BDB229" s="26"/>
      <c r="BDC229" s="26"/>
      <c r="BDD229" s="26"/>
      <c r="BDE229" s="26"/>
      <c r="BDF229" s="26"/>
      <c r="BDG229" s="26"/>
      <c r="BDH229" s="26"/>
      <c r="BDI229" s="26"/>
      <c r="BDJ229" s="26"/>
      <c r="BDK229" s="26"/>
      <c r="BDL229" s="26"/>
      <c r="BDM229" s="26"/>
      <c r="BDN229" s="26"/>
      <c r="BDO229" s="26"/>
      <c r="BDP229" s="26"/>
      <c r="BDQ229" s="26"/>
      <c r="BDR229" s="26"/>
      <c r="BDS229" s="26"/>
      <c r="BDT229" s="26"/>
      <c r="BDU229" s="26"/>
      <c r="BDV229" s="26"/>
      <c r="BDW229" s="26"/>
      <c r="BDX229" s="26"/>
      <c r="BDY229" s="26"/>
      <c r="BDZ229" s="26"/>
      <c r="BEA229" s="26"/>
      <c r="BEB229" s="26"/>
      <c r="BEC229" s="26"/>
      <c r="BED229" s="26"/>
      <c r="BEE229" s="26"/>
      <c r="BEF229" s="26"/>
      <c r="BEG229" s="26"/>
      <c r="BEH229" s="26"/>
      <c r="BEI229" s="26"/>
      <c r="BEJ229" s="26"/>
      <c r="BEK229" s="26"/>
      <c r="BEL229" s="26"/>
      <c r="BEM229" s="26"/>
      <c r="BEN229" s="26"/>
      <c r="BEO229" s="26"/>
      <c r="BEP229" s="26"/>
      <c r="BEQ229" s="26"/>
      <c r="BER229" s="26"/>
      <c r="BES229" s="26"/>
      <c r="BET229" s="26"/>
      <c r="BEU229" s="26"/>
      <c r="BEV229" s="26"/>
      <c r="BEW229" s="26"/>
      <c r="BEX229" s="26"/>
      <c r="BEY229" s="26"/>
      <c r="BEZ229" s="26"/>
      <c r="BFA229" s="26"/>
      <c r="BFB229" s="26"/>
      <c r="BFC229" s="26"/>
      <c r="BFD229" s="26"/>
      <c r="BFE229" s="26"/>
      <c r="BFF229" s="26"/>
      <c r="BFG229" s="26"/>
      <c r="BFH229" s="26"/>
      <c r="BFI229" s="26"/>
      <c r="BFJ229" s="26"/>
      <c r="BFK229" s="26"/>
      <c r="BFL229" s="26"/>
      <c r="BFM229" s="26"/>
      <c r="BFN229" s="26"/>
      <c r="BFO229" s="26"/>
      <c r="BFP229" s="26"/>
      <c r="BFQ229" s="26"/>
      <c r="BFR229" s="26"/>
      <c r="BFS229" s="26"/>
      <c r="BFT229" s="26"/>
      <c r="BFU229" s="26"/>
      <c r="BFV229" s="26"/>
      <c r="BFW229" s="26"/>
      <c r="BFX229" s="26"/>
      <c r="BFY229" s="26"/>
      <c r="BFZ229" s="26"/>
      <c r="BGA229" s="26"/>
      <c r="BGB229" s="26"/>
      <c r="BGC229" s="26"/>
      <c r="BGD229" s="26"/>
      <c r="BGE229" s="26"/>
      <c r="BGF229" s="26"/>
      <c r="BGG229" s="26"/>
      <c r="BGH229" s="26"/>
      <c r="BGI229" s="26"/>
      <c r="BGJ229" s="26"/>
      <c r="BGK229" s="26"/>
      <c r="BGL229" s="26"/>
      <c r="BGM229" s="26"/>
      <c r="BGN229" s="26"/>
      <c r="BGO229" s="26"/>
      <c r="BGP229" s="26"/>
      <c r="BGQ229" s="26"/>
      <c r="BGR229" s="26"/>
      <c r="BGS229" s="26"/>
      <c r="BGT229" s="26"/>
      <c r="BGU229" s="26"/>
      <c r="BGV229" s="26"/>
      <c r="BGW229" s="26"/>
      <c r="BGX229" s="26"/>
      <c r="BGY229" s="26"/>
      <c r="BGZ229" s="26"/>
      <c r="BHA229" s="26"/>
      <c r="BHB229" s="26"/>
      <c r="BHC229" s="26"/>
      <c r="BHD229" s="26"/>
      <c r="BHE229" s="26"/>
      <c r="BHF229" s="26"/>
      <c r="BHG229" s="26"/>
      <c r="BHH229" s="26"/>
      <c r="BHI229" s="26"/>
      <c r="BHJ229" s="26"/>
      <c r="BHK229" s="26"/>
      <c r="BHL229" s="26"/>
      <c r="BHM229" s="26"/>
      <c r="BHN229" s="26"/>
      <c r="BHO229" s="26"/>
      <c r="BHP229" s="26"/>
      <c r="BHQ229" s="26"/>
      <c r="BHR229" s="26"/>
      <c r="BHS229" s="26"/>
      <c r="BHT229" s="26"/>
      <c r="BHU229" s="26"/>
      <c r="BHV229" s="26"/>
      <c r="BHW229" s="26"/>
      <c r="BHX229" s="26"/>
      <c r="BHY229" s="26"/>
      <c r="BHZ229" s="26"/>
      <c r="BIA229" s="26"/>
      <c r="BIB229" s="26"/>
      <c r="BIC229" s="26"/>
      <c r="BID229" s="26"/>
      <c r="BIE229" s="26"/>
      <c r="BIF229" s="26"/>
      <c r="BIG229" s="26"/>
      <c r="BIH229" s="26"/>
      <c r="BII229" s="26"/>
      <c r="BIJ229" s="26"/>
      <c r="BIK229" s="26"/>
      <c r="BIL229" s="26"/>
      <c r="BIM229" s="26"/>
      <c r="BIN229" s="26"/>
      <c r="BIO229" s="26"/>
      <c r="BIP229" s="26"/>
      <c r="BIQ229" s="26"/>
      <c r="BIR229" s="26"/>
      <c r="BIS229" s="26"/>
      <c r="BIT229" s="26"/>
      <c r="BIU229" s="26"/>
      <c r="BIV229" s="26"/>
      <c r="BIW229" s="26"/>
      <c r="BIX229" s="26"/>
      <c r="BIY229" s="26"/>
      <c r="BIZ229" s="26"/>
      <c r="BJA229" s="26"/>
      <c r="BJB229" s="26"/>
      <c r="BJC229" s="26"/>
      <c r="BJD229" s="26"/>
      <c r="BJE229" s="26"/>
      <c r="BJF229" s="26"/>
      <c r="BJG229" s="26"/>
      <c r="BJH229" s="26"/>
      <c r="BJI229" s="26"/>
      <c r="BJJ229" s="26"/>
      <c r="BJK229" s="26"/>
      <c r="BJL229" s="26"/>
      <c r="BJM229" s="26"/>
      <c r="BJN229" s="26"/>
      <c r="BJO229" s="26"/>
      <c r="BJP229" s="26"/>
      <c r="BJQ229" s="26"/>
      <c r="BJR229" s="26"/>
      <c r="BJS229" s="26"/>
      <c r="BJT229" s="26"/>
      <c r="BJU229" s="26"/>
      <c r="BJV229" s="26"/>
      <c r="BJW229" s="26"/>
      <c r="BJX229" s="26"/>
      <c r="BJY229" s="26"/>
      <c r="BJZ229" s="26"/>
      <c r="BKA229" s="26"/>
      <c r="BKB229" s="26"/>
      <c r="BKC229" s="26"/>
      <c r="BKD229" s="26"/>
      <c r="BKE229" s="26"/>
      <c r="BKF229" s="26"/>
      <c r="BKG229" s="26"/>
      <c r="BKH229" s="26"/>
      <c r="BKI229" s="26"/>
      <c r="BKJ229" s="26"/>
      <c r="BKK229" s="26"/>
      <c r="BKL229" s="26"/>
      <c r="BKM229" s="26"/>
      <c r="BKN229" s="26"/>
      <c r="BKO229" s="26"/>
      <c r="BKP229" s="26"/>
      <c r="BKQ229" s="26"/>
      <c r="BKR229" s="26"/>
      <c r="BKS229" s="26"/>
      <c r="BKT229" s="26"/>
      <c r="BKU229" s="26"/>
      <c r="BKV229" s="26"/>
      <c r="BKW229" s="26"/>
      <c r="BKX229" s="26"/>
      <c r="BKY229" s="26"/>
      <c r="BKZ229" s="26"/>
      <c r="BLA229" s="26"/>
      <c r="BLB229" s="26"/>
      <c r="BLC229" s="26"/>
      <c r="BLD229" s="26"/>
      <c r="BLE229" s="26"/>
      <c r="BLF229" s="26"/>
      <c r="BLG229" s="26"/>
      <c r="BLH229" s="26"/>
      <c r="BLI229" s="26"/>
      <c r="BLJ229" s="26"/>
      <c r="BLK229" s="26"/>
      <c r="BLL229" s="26"/>
      <c r="BLM229" s="26"/>
      <c r="BLN229" s="26"/>
      <c r="BLO229" s="26"/>
      <c r="BLP229" s="26"/>
      <c r="BLQ229" s="26"/>
      <c r="BLR229" s="26"/>
      <c r="BLS229" s="26"/>
      <c r="BLT229" s="26"/>
      <c r="BLU229" s="26"/>
      <c r="BLV229" s="26"/>
      <c r="BLW229" s="26"/>
      <c r="BLX229" s="26"/>
      <c r="BLY229" s="26"/>
      <c r="BLZ229" s="26"/>
      <c r="BMA229" s="26"/>
      <c r="BMB229" s="26"/>
      <c r="BMC229" s="26"/>
      <c r="BMD229" s="26"/>
      <c r="BME229" s="26"/>
      <c r="BMF229" s="26"/>
      <c r="BMG229" s="26"/>
      <c r="BMH229" s="26"/>
      <c r="BMI229" s="26"/>
      <c r="BMJ229" s="26"/>
      <c r="BMK229" s="26"/>
      <c r="BML229" s="26"/>
      <c r="BMM229" s="26"/>
      <c r="BMN229" s="26"/>
      <c r="BMO229" s="26"/>
      <c r="BMP229" s="26"/>
      <c r="BMQ229" s="26"/>
      <c r="BMR229" s="26"/>
      <c r="BMS229" s="26"/>
      <c r="BMT229" s="26"/>
      <c r="BMU229" s="26"/>
      <c r="BMV229" s="26"/>
      <c r="BMW229" s="26"/>
      <c r="BMX229" s="26"/>
      <c r="BMY229" s="26"/>
      <c r="BMZ229" s="26"/>
      <c r="BNA229" s="26"/>
      <c r="BNB229" s="26"/>
      <c r="BNC229" s="26"/>
      <c r="BND229" s="26"/>
      <c r="BNE229" s="26"/>
      <c r="BNF229" s="26"/>
      <c r="BNG229" s="26"/>
      <c r="BNH229" s="26"/>
      <c r="BNI229" s="26"/>
      <c r="BNJ229" s="26"/>
      <c r="BNK229" s="26"/>
      <c r="BNL229" s="26"/>
      <c r="BNM229" s="26"/>
      <c r="BNN229" s="26"/>
      <c r="BNO229" s="26"/>
      <c r="BNP229" s="26"/>
      <c r="BNQ229" s="26"/>
      <c r="BNR229" s="26"/>
      <c r="BNS229" s="26"/>
      <c r="BNT229" s="26"/>
      <c r="BNU229" s="26"/>
      <c r="BNV229" s="26"/>
      <c r="BNW229" s="26"/>
      <c r="BNX229" s="26"/>
      <c r="BNY229" s="26"/>
      <c r="BNZ229" s="26"/>
      <c r="BOA229" s="26"/>
      <c r="BOB229" s="26"/>
      <c r="BOC229" s="26"/>
      <c r="BOD229" s="26"/>
      <c r="BOE229" s="26"/>
      <c r="BOF229" s="26"/>
      <c r="BOG229" s="26"/>
      <c r="BOH229" s="26"/>
      <c r="BOI229" s="26"/>
      <c r="BOJ229" s="26"/>
      <c r="BOK229" s="26"/>
      <c r="BOL229" s="26"/>
      <c r="BOM229" s="26"/>
      <c r="BON229" s="26"/>
      <c r="BOO229" s="26"/>
      <c r="BOP229" s="26"/>
      <c r="BOQ229" s="26"/>
      <c r="BOR229" s="26"/>
      <c r="BOS229" s="26"/>
      <c r="BOT229" s="26"/>
      <c r="BOU229" s="26"/>
      <c r="BOV229" s="26"/>
      <c r="BOW229" s="26"/>
      <c r="BOX229" s="26"/>
      <c r="BOY229" s="26"/>
      <c r="BOZ229" s="26"/>
      <c r="BPA229" s="26"/>
      <c r="BPB229" s="26"/>
      <c r="BPC229" s="26"/>
      <c r="BPD229" s="26"/>
      <c r="BPE229" s="26"/>
      <c r="BPF229" s="26"/>
      <c r="BPG229" s="26"/>
      <c r="BPH229" s="26"/>
      <c r="BPI229" s="26"/>
      <c r="BPJ229" s="26"/>
      <c r="BPK229" s="26"/>
      <c r="BPL229" s="26"/>
      <c r="BPM229" s="26"/>
      <c r="BPN229" s="26"/>
      <c r="BPO229" s="26"/>
      <c r="BPP229" s="26"/>
      <c r="BPQ229" s="26"/>
      <c r="BPR229" s="26"/>
      <c r="BPS229" s="26"/>
      <c r="BPT229" s="26"/>
      <c r="BPU229" s="26"/>
      <c r="BPV229" s="26"/>
      <c r="BPW229" s="26"/>
      <c r="BPX229" s="26"/>
      <c r="BPY229" s="26"/>
      <c r="BPZ229" s="26"/>
      <c r="BQA229" s="26"/>
      <c r="BQB229" s="26"/>
      <c r="BQC229" s="26"/>
      <c r="BQD229" s="26"/>
      <c r="BQE229" s="26"/>
      <c r="BQF229" s="26"/>
      <c r="BQG229" s="26"/>
      <c r="BQH229" s="26"/>
      <c r="BQI229" s="26"/>
      <c r="BQJ229" s="26"/>
      <c r="BQK229" s="26"/>
      <c r="BQL229" s="26"/>
      <c r="BQM229" s="26"/>
      <c r="BQN229" s="26"/>
      <c r="BQO229" s="26"/>
      <c r="BQP229" s="26"/>
      <c r="BQQ229" s="26"/>
      <c r="BQR229" s="26"/>
      <c r="BQS229" s="26"/>
      <c r="BQT229" s="26"/>
      <c r="BQU229" s="26"/>
      <c r="BQV229" s="26"/>
      <c r="BQW229" s="26"/>
      <c r="BQX229" s="26"/>
      <c r="BQY229" s="26"/>
      <c r="BQZ229" s="26"/>
      <c r="BRA229" s="26"/>
      <c r="BRB229" s="26"/>
      <c r="BRC229" s="26"/>
      <c r="BRD229" s="26"/>
      <c r="BRE229" s="26"/>
      <c r="BRF229" s="26"/>
      <c r="BRG229" s="26"/>
      <c r="BRH229" s="26"/>
      <c r="BRI229" s="26"/>
      <c r="BRJ229" s="26"/>
      <c r="BRK229" s="26"/>
      <c r="BRL229" s="26"/>
      <c r="BRM229" s="26"/>
      <c r="BRN229" s="26"/>
      <c r="BRO229" s="26"/>
      <c r="BRP229" s="26"/>
      <c r="BRQ229" s="26"/>
      <c r="BRR229" s="26"/>
      <c r="BRS229" s="26"/>
      <c r="BRT229" s="26"/>
      <c r="BRU229" s="26"/>
      <c r="BRV229" s="26"/>
      <c r="BRW229" s="26"/>
      <c r="BRX229" s="26"/>
      <c r="BRY229" s="26"/>
      <c r="BRZ229" s="26"/>
      <c r="BSA229" s="26"/>
      <c r="BSB229" s="26"/>
      <c r="BSC229" s="26"/>
      <c r="BSD229" s="26"/>
      <c r="BSE229" s="26"/>
      <c r="BSF229" s="26"/>
      <c r="BSG229" s="26"/>
      <c r="BSH229" s="26"/>
      <c r="BSI229" s="26"/>
      <c r="BSJ229" s="26"/>
      <c r="BSK229" s="26"/>
      <c r="BSL229" s="26"/>
      <c r="BSM229" s="26"/>
      <c r="BSN229" s="26"/>
      <c r="BSO229" s="26"/>
      <c r="BSP229" s="26"/>
      <c r="BSQ229" s="26"/>
      <c r="BSR229" s="26"/>
      <c r="BSS229" s="26"/>
      <c r="BST229" s="26"/>
      <c r="BSU229" s="26"/>
      <c r="BSV229" s="26"/>
      <c r="BSW229" s="26"/>
      <c r="BSX229" s="26"/>
      <c r="BSY229" s="26"/>
      <c r="BSZ229" s="26"/>
      <c r="BTA229" s="26"/>
      <c r="BTB229" s="26"/>
      <c r="BTC229" s="26"/>
      <c r="BTD229" s="26"/>
      <c r="BTE229" s="26"/>
      <c r="BTF229" s="26"/>
      <c r="BTG229" s="26"/>
      <c r="BTH229" s="26"/>
      <c r="BTI229" s="26"/>
      <c r="BTJ229" s="26"/>
      <c r="BTK229" s="26"/>
      <c r="BTL229" s="26"/>
      <c r="BTM229" s="26"/>
      <c r="BTN229" s="26"/>
      <c r="BTO229" s="26"/>
      <c r="BTP229" s="26"/>
      <c r="BTQ229" s="26"/>
      <c r="BTR229" s="26"/>
      <c r="BTS229" s="26"/>
      <c r="BTT229" s="26"/>
      <c r="BTU229" s="26"/>
      <c r="BTV229" s="26"/>
      <c r="BTW229" s="26"/>
      <c r="BTX229" s="26"/>
      <c r="BTY229" s="26"/>
      <c r="BTZ229" s="26"/>
      <c r="BUA229" s="26"/>
      <c r="BUB229" s="26"/>
      <c r="BUC229" s="26"/>
      <c r="BUD229" s="26"/>
      <c r="BUE229" s="26"/>
      <c r="BUF229" s="26"/>
      <c r="BUG229" s="26"/>
      <c r="BUH229" s="26"/>
      <c r="BUI229" s="26"/>
      <c r="BUJ229" s="26"/>
      <c r="BUK229" s="26"/>
      <c r="BUL229" s="26"/>
      <c r="BUM229" s="26"/>
      <c r="BUN229" s="26"/>
      <c r="BUO229" s="26"/>
      <c r="BUP229" s="26"/>
      <c r="BUQ229" s="26"/>
      <c r="BUR229" s="26"/>
      <c r="BUS229" s="26"/>
      <c r="BUT229" s="26"/>
      <c r="BUU229" s="26"/>
      <c r="BUV229" s="26"/>
      <c r="BUW229" s="26"/>
      <c r="BUX229" s="26"/>
      <c r="BUY229" s="26"/>
      <c r="BUZ229" s="26"/>
      <c r="BVA229" s="26"/>
      <c r="BVB229" s="26"/>
      <c r="BVC229" s="26"/>
      <c r="BVD229" s="26"/>
      <c r="BVE229" s="26"/>
      <c r="BVF229" s="26"/>
      <c r="BVG229" s="26"/>
      <c r="BVH229" s="26"/>
      <c r="BVI229" s="26"/>
      <c r="BVJ229" s="26"/>
      <c r="BVK229" s="26"/>
      <c r="BVL229" s="26"/>
      <c r="BVM229" s="26"/>
      <c r="BVN229" s="26"/>
      <c r="BVO229" s="26"/>
      <c r="BVP229" s="26"/>
      <c r="BVQ229" s="26"/>
      <c r="BVR229" s="26"/>
      <c r="BVS229" s="26"/>
      <c r="BVT229" s="26"/>
      <c r="BVU229" s="26"/>
      <c r="BVV229" s="26"/>
      <c r="BVW229" s="26"/>
      <c r="BVX229" s="26"/>
      <c r="BVY229" s="26"/>
      <c r="BVZ229" s="26"/>
      <c r="BWA229" s="26"/>
      <c r="BWB229" s="26"/>
      <c r="BWC229" s="26"/>
      <c r="BWD229" s="26"/>
      <c r="BWE229" s="26"/>
      <c r="BWF229" s="26"/>
      <c r="BWG229" s="26"/>
      <c r="BWH229" s="26"/>
      <c r="BWI229" s="26"/>
      <c r="BWJ229" s="26"/>
      <c r="BWK229" s="26"/>
      <c r="BWL229" s="26"/>
      <c r="BWM229" s="26"/>
      <c r="BWN229" s="26"/>
      <c r="BWO229" s="26"/>
      <c r="BWP229" s="26"/>
      <c r="BWQ229" s="26"/>
      <c r="BWR229" s="26"/>
      <c r="BWS229" s="26"/>
      <c r="BWT229" s="26"/>
      <c r="BWU229" s="26"/>
      <c r="BWV229" s="26"/>
      <c r="BWW229" s="26"/>
      <c r="BWX229" s="26"/>
      <c r="BWY229" s="26"/>
      <c r="BWZ229" s="26"/>
      <c r="BXA229" s="26"/>
      <c r="BXB229" s="26"/>
      <c r="BXC229" s="26"/>
      <c r="BXD229" s="26"/>
      <c r="BXE229" s="26"/>
      <c r="BXF229" s="26"/>
      <c r="BXG229" s="26"/>
      <c r="BXH229" s="26"/>
      <c r="BXI229" s="26"/>
      <c r="BXJ229" s="26"/>
      <c r="BXK229" s="26"/>
      <c r="BXL229" s="26"/>
      <c r="BXM229" s="26"/>
      <c r="BXN229" s="26"/>
      <c r="BXO229" s="26"/>
      <c r="BXP229" s="26"/>
      <c r="BXQ229" s="26"/>
      <c r="BXR229" s="26"/>
      <c r="BXS229" s="26"/>
      <c r="BXT229" s="26"/>
      <c r="BXU229" s="26"/>
      <c r="BXV229" s="26"/>
      <c r="BXW229" s="26"/>
      <c r="BXX229" s="26"/>
      <c r="BXY229" s="26"/>
      <c r="BXZ229" s="26"/>
      <c r="BYA229" s="26"/>
      <c r="BYB229" s="26"/>
      <c r="BYC229" s="26"/>
      <c r="BYD229" s="26"/>
      <c r="BYE229" s="26"/>
      <c r="BYF229" s="26"/>
      <c r="BYG229" s="26"/>
      <c r="BYH229" s="26"/>
      <c r="BYI229" s="26"/>
      <c r="BYJ229" s="26"/>
      <c r="BYK229" s="26"/>
      <c r="BYL229" s="26"/>
      <c r="BYM229" s="26"/>
      <c r="BYN229" s="26"/>
      <c r="BYO229" s="26"/>
      <c r="BYP229" s="26"/>
      <c r="BYQ229" s="26"/>
      <c r="BYR229" s="26"/>
      <c r="BYS229" s="26"/>
      <c r="BYT229" s="26"/>
      <c r="BYU229" s="26"/>
      <c r="BYV229" s="26"/>
      <c r="BYW229" s="26"/>
      <c r="BYX229" s="26"/>
      <c r="BYY229" s="26"/>
      <c r="BYZ229" s="26"/>
      <c r="BZA229" s="26"/>
      <c r="BZB229" s="26"/>
      <c r="BZC229" s="26"/>
      <c r="BZD229" s="26"/>
      <c r="BZE229" s="26"/>
      <c r="BZF229" s="26"/>
      <c r="BZG229" s="26"/>
      <c r="BZH229" s="26"/>
      <c r="BZI229" s="26"/>
      <c r="BZJ229" s="26"/>
      <c r="BZK229" s="26"/>
      <c r="BZL229" s="26"/>
      <c r="BZM229" s="26"/>
      <c r="BZN229" s="26"/>
      <c r="BZO229" s="26"/>
      <c r="BZP229" s="26"/>
      <c r="BZQ229" s="26"/>
      <c r="BZR229" s="26"/>
      <c r="BZS229" s="26"/>
      <c r="BZT229" s="26"/>
      <c r="BZU229" s="26"/>
      <c r="BZV229" s="26"/>
      <c r="BZW229" s="26"/>
      <c r="BZX229" s="26"/>
      <c r="BZY229" s="26"/>
      <c r="BZZ229" s="26"/>
      <c r="CAA229" s="26"/>
      <c r="CAB229" s="26"/>
      <c r="CAC229" s="26"/>
      <c r="CAD229" s="26"/>
      <c r="CAE229" s="26"/>
      <c r="CAF229" s="26"/>
      <c r="CAG229" s="26"/>
      <c r="CAH229" s="26"/>
      <c r="CAI229" s="26"/>
      <c r="CAJ229" s="26"/>
      <c r="CAK229" s="26"/>
      <c r="CAL229" s="26"/>
      <c r="CAM229" s="26"/>
      <c r="CAN229" s="26"/>
      <c r="CAO229" s="26"/>
      <c r="CAP229" s="26"/>
      <c r="CAQ229" s="26"/>
      <c r="CAR229" s="26"/>
      <c r="CAS229" s="26"/>
      <c r="CAT229" s="26"/>
      <c r="CAU229" s="26"/>
      <c r="CAV229" s="26"/>
      <c r="CAW229" s="26"/>
      <c r="CAX229" s="26"/>
      <c r="CAY229" s="26"/>
      <c r="CAZ229" s="26"/>
      <c r="CBA229" s="26"/>
      <c r="CBB229" s="26"/>
      <c r="CBC229" s="26"/>
      <c r="CBD229" s="26"/>
      <c r="CBE229" s="26"/>
      <c r="CBF229" s="26"/>
      <c r="CBG229" s="26"/>
      <c r="CBH229" s="26"/>
      <c r="CBI229" s="26"/>
    </row>
    <row r="230" spans="1:2089" ht="14" customHeight="1">
      <c r="A230" s="27">
        <v>229</v>
      </c>
      <c r="B230" s="27" t="s">
        <v>387</v>
      </c>
      <c r="C230" s="27">
        <v>2009</v>
      </c>
      <c r="D230" s="26" t="s">
        <v>18</v>
      </c>
      <c r="E230" s="26" t="s">
        <v>566</v>
      </c>
      <c r="F230" s="77" t="s">
        <v>175</v>
      </c>
      <c r="G230" s="2" t="s">
        <v>84</v>
      </c>
      <c r="H230" s="2" t="s">
        <v>24</v>
      </c>
      <c r="I230" s="2" t="s">
        <v>548</v>
      </c>
      <c r="J230" s="2" t="s">
        <v>189</v>
      </c>
      <c r="K230" s="2" t="s">
        <v>548</v>
      </c>
      <c r="L230" s="2" t="s">
        <v>548</v>
      </c>
      <c r="M230" s="2" t="s">
        <v>175</v>
      </c>
      <c r="N230" s="2" t="s">
        <v>62</v>
      </c>
      <c r="O230" s="2" t="s">
        <v>43</v>
      </c>
      <c r="P230" s="2" t="s">
        <v>621</v>
      </c>
      <c r="Q230" s="2" t="s">
        <v>42</v>
      </c>
      <c r="R230" s="102" t="s">
        <v>614</v>
      </c>
      <c r="S230" s="2">
        <v>0.21972802296376034</v>
      </c>
      <c r="T230" s="26">
        <v>2787</v>
      </c>
      <c r="U230" s="77">
        <v>1</v>
      </c>
      <c r="V230" s="26">
        <v>0</v>
      </c>
      <c r="W230" s="26">
        <v>0</v>
      </c>
      <c r="X230" s="26">
        <v>1</v>
      </c>
      <c r="Y230" s="26">
        <v>0</v>
      </c>
      <c r="Z230" s="26">
        <v>0</v>
      </c>
      <c r="AA230" s="26">
        <v>0</v>
      </c>
      <c r="AB230" s="26">
        <v>0</v>
      </c>
      <c r="AC230" s="26" t="s">
        <v>70</v>
      </c>
      <c r="AD230" s="26" t="s">
        <v>70</v>
      </c>
      <c r="AE230" s="26" t="s">
        <v>70</v>
      </c>
      <c r="AF230" s="26" t="s">
        <v>70</v>
      </c>
      <c r="AG230" s="26" t="s">
        <v>70</v>
      </c>
      <c r="AH230" s="26" t="s">
        <v>70</v>
      </c>
      <c r="AI230" s="26" t="s">
        <v>70</v>
      </c>
      <c r="AJ230" s="26" t="s">
        <v>70</v>
      </c>
      <c r="AK230" s="26" t="s">
        <v>70</v>
      </c>
      <c r="AL230" s="26" t="s">
        <v>70</v>
      </c>
      <c r="AM230" s="35" t="s">
        <v>175</v>
      </c>
      <c r="AN230" s="32" t="s">
        <v>9</v>
      </c>
      <c r="AO230" s="35" t="s">
        <v>548</v>
      </c>
      <c r="AP230" s="35" t="s">
        <v>548</v>
      </c>
      <c r="AQ230" s="35" t="s">
        <v>548</v>
      </c>
      <c r="AR230" s="35" t="s">
        <v>548</v>
      </c>
      <c r="AS230" s="26" t="s">
        <v>548</v>
      </c>
      <c r="AT230" s="26" t="s">
        <v>70</v>
      </c>
      <c r="AU230" s="26" t="s">
        <v>70</v>
      </c>
      <c r="AV230" s="26">
        <v>4</v>
      </c>
    </row>
    <row r="231" spans="1:2089" ht="14" customHeight="1">
      <c r="A231" s="27">
        <v>230</v>
      </c>
      <c r="B231" s="27" t="s">
        <v>582</v>
      </c>
      <c r="C231" s="27">
        <v>2009</v>
      </c>
      <c r="D231" s="26" t="s">
        <v>13</v>
      </c>
      <c r="E231" s="26" t="s">
        <v>566</v>
      </c>
      <c r="F231" s="77" t="s">
        <v>175</v>
      </c>
      <c r="G231" s="2" t="s">
        <v>105</v>
      </c>
      <c r="H231" s="2" t="s">
        <v>30</v>
      </c>
      <c r="I231" s="2" t="s">
        <v>548</v>
      </c>
      <c r="J231" s="2" t="s">
        <v>604</v>
      </c>
      <c r="K231" s="2" t="s">
        <v>548</v>
      </c>
      <c r="L231" s="2" t="s">
        <v>548</v>
      </c>
      <c r="M231" s="2" t="s">
        <v>175</v>
      </c>
      <c r="N231" s="2" t="s">
        <v>70</v>
      </c>
      <c r="O231" s="2" t="s">
        <v>209</v>
      </c>
      <c r="P231" s="2" t="s">
        <v>612</v>
      </c>
      <c r="Q231" s="2" t="s">
        <v>42</v>
      </c>
      <c r="R231" s="79" t="s">
        <v>613</v>
      </c>
      <c r="S231" s="2">
        <v>1</v>
      </c>
      <c r="T231" s="26">
        <v>25</v>
      </c>
      <c r="U231" s="77">
        <v>1</v>
      </c>
      <c r="V231" s="26">
        <v>0</v>
      </c>
      <c r="W231" s="26">
        <v>1</v>
      </c>
      <c r="X231" s="26">
        <v>1</v>
      </c>
      <c r="Y231" s="26">
        <v>1</v>
      </c>
      <c r="Z231" s="26">
        <v>1</v>
      </c>
      <c r="AA231" s="26">
        <v>1</v>
      </c>
      <c r="AB231" s="26">
        <v>1</v>
      </c>
      <c r="AC231" s="33">
        <v>0</v>
      </c>
      <c r="AD231" s="33">
        <v>0</v>
      </c>
      <c r="AE231" s="33">
        <v>0</v>
      </c>
      <c r="AF231" s="33">
        <v>1</v>
      </c>
      <c r="AG231" s="33">
        <v>902</v>
      </c>
      <c r="AH231" s="33" t="s">
        <v>70</v>
      </c>
      <c r="AI231" s="33" t="s">
        <v>70</v>
      </c>
      <c r="AJ231" s="33" t="s">
        <v>230</v>
      </c>
      <c r="AK231" s="33">
        <v>1328</v>
      </c>
      <c r="AL231" s="33" t="s">
        <v>70</v>
      </c>
      <c r="AM231" s="35" t="s">
        <v>175</v>
      </c>
      <c r="AN231" s="26" t="s">
        <v>617</v>
      </c>
      <c r="AO231" s="35" t="s">
        <v>548</v>
      </c>
      <c r="AP231" s="35" t="s">
        <v>175</v>
      </c>
      <c r="AQ231" s="35" t="s">
        <v>548</v>
      </c>
      <c r="AR231" s="35" t="s">
        <v>548</v>
      </c>
      <c r="AS231" s="26" t="s">
        <v>175</v>
      </c>
      <c r="AT231" s="26" t="s">
        <v>175</v>
      </c>
      <c r="AU231" s="40" t="s">
        <v>548</v>
      </c>
      <c r="AV231" s="26">
        <v>10</v>
      </c>
    </row>
    <row r="232" spans="1:2089" ht="14" customHeight="1">
      <c r="A232" s="27">
        <v>231</v>
      </c>
      <c r="B232" s="27" t="s">
        <v>388</v>
      </c>
      <c r="C232" s="27">
        <v>2007</v>
      </c>
      <c r="D232" s="26" t="s">
        <v>134</v>
      </c>
      <c r="E232" s="26" t="s">
        <v>563</v>
      </c>
      <c r="F232" s="77" t="s">
        <v>175</v>
      </c>
      <c r="G232" s="2" t="s">
        <v>105</v>
      </c>
      <c r="H232" s="2" t="s">
        <v>30</v>
      </c>
      <c r="I232" s="2" t="s">
        <v>175</v>
      </c>
      <c r="J232" s="2" t="s">
        <v>604</v>
      </c>
      <c r="K232" s="2" t="s">
        <v>175</v>
      </c>
      <c r="L232" s="2" t="s">
        <v>175</v>
      </c>
      <c r="M232" s="2" t="s">
        <v>175</v>
      </c>
      <c r="N232" s="2" t="s">
        <v>70</v>
      </c>
      <c r="O232" s="2" t="s">
        <v>209</v>
      </c>
      <c r="P232" s="2" t="s">
        <v>612</v>
      </c>
      <c r="Q232" s="2" t="s">
        <v>42</v>
      </c>
      <c r="R232" s="79" t="s">
        <v>613</v>
      </c>
      <c r="S232" s="88">
        <f>30/T232</f>
        <v>0.967741935483871</v>
      </c>
      <c r="T232" s="26">
        <v>31</v>
      </c>
      <c r="U232" s="77">
        <v>1</v>
      </c>
      <c r="V232" s="26">
        <v>0</v>
      </c>
      <c r="W232" s="26">
        <v>0</v>
      </c>
      <c r="X232" s="26">
        <v>1</v>
      </c>
      <c r="Y232" s="26">
        <v>1</v>
      </c>
      <c r="Z232" s="26">
        <v>1</v>
      </c>
      <c r="AA232" s="26">
        <v>0</v>
      </c>
      <c r="AB232" s="26">
        <v>0</v>
      </c>
      <c r="AC232" s="26" t="s">
        <v>70</v>
      </c>
      <c r="AD232" s="26" t="s">
        <v>70</v>
      </c>
      <c r="AE232" s="26" t="s">
        <v>70</v>
      </c>
      <c r="AF232" s="26" t="s">
        <v>70</v>
      </c>
      <c r="AG232" s="26" t="s">
        <v>70</v>
      </c>
      <c r="AH232" s="26" t="s">
        <v>70</v>
      </c>
      <c r="AI232" s="26" t="s">
        <v>70</v>
      </c>
      <c r="AJ232" s="26" t="s">
        <v>70</v>
      </c>
      <c r="AK232" s="26" t="s">
        <v>70</v>
      </c>
      <c r="AL232" s="26" t="s">
        <v>70</v>
      </c>
      <c r="AM232" s="35" t="s">
        <v>175</v>
      </c>
      <c r="AN232" s="26" t="s">
        <v>274</v>
      </c>
      <c r="AO232" s="35" t="s">
        <v>548</v>
      </c>
      <c r="AP232" s="35" t="s">
        <v>548</v>
      </c>
      <c r="AQ232" s="35" t="s">
        <v>548</v>
      </c>
      <c r="AR232" s="35" t="s">
        <v>548</v>
      </c>
      <c r="AS232" s="26" t="s">
        <v>175</v>
      </c>
      <c r="AT232" s="26" t="s">
        <v>70</v>
      </c>
      <c r="AU232" s="26" t="s">
        <v>70</v>
      </c>
      <c r="AV232" s="26">
        <v>10</v>
      </c>
    </row>
    <row r="233" spans="1:2089" ht="14" customHeight="1">
      <c r="A233" s="27">
        <v>232</v>
      </c>
      <c r="B233" s="27" t="s">
        <v>389</v>
      </c>
      <c r="C233" s="27">
        <v>2012</v>
      </c>
      <c r="D233" s="26" t="s">
        <v>134</v>
      </c>
      <c r="E233" s="26" t="s">
        <v>563</v>
      </c>
      <c r="F233" s="77" t="s">
        <v>175</v>
      </c>
      <c r="G233" s="2" t="s">
        <v>105</v>
      </c>
      <c r="H233" s="2" t="s">
        <v>30</v>
      </c>
      <c r="I233" s="2" t="s">
        <v>175</v>
      </c>
      <c r="J233" s="2" t="s">
        <v>604</v>
      </c>
      <c r="K233" s="2" t="s">
        <v>175</v>
      </c>
      <c r="L233" s="2" t="s">
        <v>548</v>
      </c>
      <c r="M233" s="2" t="s">
        <v>175</v>
      </c>
      <c r="N233" s="2" t="s">
        <v>609</v>
      </c>
      <c r="O233" s="2" t="s">
        <v>60</v>
      </c>
      <c r="P233" s="2" t="s">
        <v>609</v>
      </c>
      <c r="Q233" s="2" t="s">
        <v>42</v>
      </c>
      <c r="R233" s="79" t="s">
        <v>613</v>
      </c>
      <c r="S233" s="2">
        <v>1</v>
      </c>
      <c r="T233" s="26">
        <v>30</v>
      </c>
      <c r="U233" s="77">
        <v>1</v>
      </c>
      <c r="V233" s="26">
        <v>0</v>
      </c>
      <c r="W233" s="26">
        <v>1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  <c r="AD233" s="26">
        <v>0</v>
      </c>
      <c r="AE233" s="26">
        <v>0</v>
      </c>
      <c r="AF233" s="26">
        <v>1</v>
      </c>
      <c r="AG233" s="33" t="s">
        <v>70</v>
      </c>
      <c r="AH233" s="33" t="s">
        <v>70</v>
      </c>
      <c r="AI233" s="33" t="s">
        <v>70</v>
      </c>
      <c r="AJ233" s="26" t="s">
        <v>70</v>
      </c>
      <c r="AK233" s="33" t="s">
        <v>70</v>
      </c>
      <c r="AL233" s="33" t="s">
        <v>70</v>
      </c>
      <c r="AM233" s="35" t="s">
        <v>175</v>
      </c>
      <c r="AN233" s="32" t="s">
        <v>9</v>
      </c>
      <c r="AO233" s="35" t="s">
        <v>548</v>
      </c>
      <c r="AP233" s="35" t="s">
        <v>548</v>
      </c>
      <c r="AQ233" s="35" t="s">
        <v>548</v>
      </c>
      <c r="AR233" s="35" t="s">
        <v>548</v>
      </c>
      <c r="AS233" s="26" t="s">
        <v>175</v>
      </c>
      <c r="AT233" s="26" t="s">
        <v>70</v>
      </c>
      <c r="AU233" s="26" t="s">
        <v>70</v>
      </c>
      <c r="AV233" s="26">
        <v>7</v>
      </c>
    </row>
    <row r="234" spans="1:2089" ht="14" customHeight="1">
      <c r="A234" s="27">
        <v>233</v>
      </c>
      <c r="B234" s="27" t="s">
        <v>390</v>
      </c>
      <c r="C234" s="27">
        <v>2012</v>
      </c>
      <c r="D234" s="26" t="s">
        <v>58</v>
      </c>
      <c r="E234" s="26" t="s">
        <v>566</v>
      </c>
      <c r="F234" s="77" t="s">
        <v>175</v>
      </c>
      <c r="G234" s="2" t="s">
        <v>147</v>
      </c>
      <c r="H234" s="2" t="s">
        <v>30</v>
      </c>
      <c r="I234" s="2" t="s">
        <v>548</v>
      </c>
      <c r="J234" s="2" t="s">
        <v>189</v>
      </c>
      <c r="K234" s="2" t="s">
        <v>175</v>
      </c>
      <c r="L234" s="2" t="s">
        <v>175</v>
      </c>
      <c r="M234" s="2" t="s">
        <v>175</v>
      </c>
      <c r="N234" s="2" t="s">
        <v>62</v>
      </c>
      <c r="O234" s="2" t="s">
        <v>43</v>
      </c>
      <c r="P234" s="2" t="s">
        <v>621</v>
      </c>
      <c r="Q234" s="2" t="s">
        <v>42</v>
      </c>
      <c r="R234" s="102" t="s">
        <v>614</v>
      </c>
      <c r="S234" s="88">
        <v>0.35199999999999998</v>
      </c>
      <c r="T234" s="26">
        <v>283</v>
      </c>
      <c r="U234" s="77">
        <v>1</v>
      </c>
      <c r="V234" s="26">
        <v>0</v>
      </c>
      <c r="W234" s="26">
        <v>0</v>
      </c>
      <c r="X234" s="26">
        <v>0</v>
      </c>
      <c r="Y234" s="26">
        <v>0</v>
      </c>
      <c r="Z234" s="26">
        <v>0</v>
      </c>
      <c r="AA234" s="26">
        <v>0</v>
      </c>
      <c r="AB234" s="26">
        <v>0</v>
      </c>
      <c r="AC234" s="26" t="s">
        <v>70</v>
      </c>
      <c r="AD234" s="39" t="s">
        <v>70</v>
      </c>
      <c r="AE234" s="39" t="s">
        <v>70</v>
      </c>
      <c r="AF234" s="39" t="s">
        <v>70</v>
      </c>
      <c r="AG234" s="39" t="s">
        <v>70</v>
      </c>
      <c r="AH234" s="39" t="s">
        <v>70</v>
      </c>
      <c r="AI234" s="39" t="s">
        <v>70</v>
      </c>
      <c r="AJ234" s="39" t="s">
        <v>70</v>
      </c>
      <c r="AK234" s="39" t="s">
        <v>70</v>
      </c>
      <c r="AL234" s="39" t="s">
        <v>70</v>
      </c>
      <c r="AM234" s="35" t="s">
        <v>548</v>
      </c>
      <c r="AN234" s="26" t="s">
        <v>274</v>
      </c>
      <c r="AO234" s="35" t="s">
        <v>548</v>
      </c>
      <c r="AP234" s="35" t="s">
        <v>548</v>
      </c>
      <c r="AQ234" s="35" t="s">
        <v>548</v>
      </c>
      <c r="AR234" s="35" t="s">
        <v>548</v>
      </c>
      <c r="AS234" s="26" t="s">
        <v>175</v>
      </c>
      <c r="AT234" s="26" t="s">
        <v>70</v>
      </c>
      <c r="AU234" s="26" t="s">
        <v>70</v>
      </c>
      <c r="AV234" s="26">
        <v>5</v>
      </c>
    </row>
    <row r="235" spans="1:2089" s="53" customFormat="1" ht="14" customHeight="1">
      <c r="A235" s="27">
        <v>234</v>
      </c>
      <c r="B235" s="27" t="s">
        <v>390</v>
      </c>
      <c r="C235" s="27">
        <v>2012</v>
      </c>
      <c r="D235" s="26" t="s">
        <v>58</v>
      </c>
      <c r="E235" s="26" t="s">
        <v>566</v>
      </c>
      <c r="F235" s="77" t="s">
        <v>175</v>
      </c>
      <c r="G235" s="2" t="s">
        <v>147</v>
      </c>
      <c r="H235" s="2" t="s">
        <v>30</v>
      </c>
      <c r="I235" s="2" t="s">
        <v>548</v>
      </c>
      <c r="J235" s="2" t="s">
        <v>189</v>
      </c>
      <c r="K235" s="2" t="s">
        <v>175</v>
      </c>
      <c r="L235" s="2" t="s">
        <v>175</v>
      </c>
      <c r="M235" s="2" t="s">
        <v>175</v>
      </c>
      <c r="N235" s="2" t="s">
        <v>60</v>
      </c>
      <c r="O235" s="2" t="s">
        <v>60</v>
      </c>
      <c r="P235" s="81" t="s">
        <v>624</v>
      </c>
      <c r="Q235" s="2" t="s">
        <v>42</v>
      </c>
      <c r="R235" s="102" t="s">
        <v>614</v>
      </c>
      <c r="S235" s="88">
        <v>0.42899999999999999</v>
      </c>
      <c r="T235" s="26">
        <v>217</v>
      </c>
      <c r="U235" s="77">
        <v>1</v>
      </c>
      <c r="V235" s="26">
        <v>0</v>
      </c>
      <c r="W235" s="26">
        <v>0</v>
      </c>
      <c r="X235" s="26">
        <v>0</v>
      </c>
      <c r="Y235" s="26">
        <v>0</v>
      </c>
      <c r="Z235" s="26">
        <v>0</v>
      </c>
      <c r="AA235" s="26">
        <v>0</v>
      </c>
      <c r="AB235" s="26">
        <v>0</v>
      </c>
      <c r="AC235" s="26" t="s">
        <v>70</v>
      </c>
      <c r="AD235" s="39" t="s">
        <v>70</v>
      </c>
      <c r="AE235" s="39" t="s">
        <v>70</v>
      </c>
      <c r="AF235" s="39" t="s">
        <v>70</v>
      </c>
      <c r="AG235" s="39" t="s">
        <v>70</v>
      </c>
      <c r="AH235" s="39" t="s">
        <v>70</v>
      </c>
      <c r="AI235" s="39" t="s">
        <v>70</v>
      </c>
      <c r="AJ235" s="39" t="s">
        <v>70</v>
      </c>
      <c r="AK235" s="39" t="s">
        <v>70</v>
      </c>
      <c r="AL235" s="39" t="s">
        <v>70</v>
      </c>
      <c r="AM235" s="35" t="s">
        <v>548</v>
      </c>
      <c r="AN235" s="26" t="s">
        <v>274</v>
      </c>
      <c r="AO235" s="35" t="s">
        <v>548</v>
      </c>
      <c r="AP235" s="35" t="s">
        <v>548</v>
      </c>
      <c r="AQ235" s="35" t="s">
        <v>548</v>
      </c>
      <c r="AR235" s="35" t="s">
        <v>548</v>
      </c>
      <c r="AS235" s="26" t="s">
        <v>175</v>
      </c>
      <c r="AT235" s="26" t="s">
        <v>70</v>
      </c>
      <c r="AU235" s="26" t="s">
        <v>70</v>
      </c>
      <c r="AV235" s="26">
        <v>5</v>
      </c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  <c r="GR235" s="26"/>
      <c r="GS235" s="26"/>
      <c r="GT235" s="26"/>
      <c r="GU235" s="26"/>
      <c r="GV235" s="26"/>
      <c r="GW235" s="26"/>
      <c r="GX235" s="26"/>
      <c r="GY235" s="26"/>
      <c r="GZ235" s="26"/>
      <c r="HA235" s="26"/>
      <c r="HB235" s="26"/>
      <c r="HC235" s="26"/>
      <c r="HD235" s="26"/>
      <c r="HE235" s="26"/>
      <c r="HF235" s="26"/>
      <c r="HG235" s="26"/>
      <c r="HH235" s="26"/>
      <c r="HI235" s="26"/>
      <c r="HJ235" s="26"/>
      <c r="HK235" s="26"/>
      <c r="HL235" s="26"/>
      <c r="HM235" s="26"/>
      <c r="HN235" s="26"/>
      <c r="HO235" s="26"/>
      <c r="HP235" s="26"/>
      <c r="HQ235" s="26"/>
      <c r="HR235" s="26"/>
      <c r="HS235" s="26"/>
      <c r="HT235" s="26"/>
      <c r="HU235" s="26"/>
      <c r="HV235" s="26"/>
      <c r="HW235" s="26"/>
      <c r="HX235" s="26"/>
      <c r="HY235" s="26"/>
      <c r="HZ235" s="26"/>
      <c r="IA235" s="26"/>
      <c r="IB235" s="26"/>
      <c r="IC235" s="26"/>
      <c r="ID235" s="26"/>
      <c r="IE235" s="26"/>
      <c r="IF235" s="26"/>
      <c r="IG235" s="26"/>
      <c r="IH235" s="26"/>
      <c r="II235" s="26"/>
      <c r="IJ235" s="26"/>
      <c r="IK235" s="26"/>
      <c r="IL235" s="26"/>
      <c r="IM235" s="26"/>
      <c r="IN235" s="26"/>
      <c r="IO235" s="26"/>
      <c r="IP235" s="26"/>
      <c r="IQ235" s="26"/>
      <c r="IR235" s="26"/>
      <c r="IS235" s="26"/>
      <c r="IT235" s="26"/>
      <c r="IU235" s="26"/>
      <c r="IV235" s="26"/>
      <c r="IW235" s="26"/>
      <c r="IX235" s="26"/>
      <c r="IY235" s="26"/>
      <c r="IZ235" s="26"/>
      <c r="JA235" s="26"/>
      <c r="JB235" s="26"/>
      <c r="JC235" s="26"/>
      <c r="JD235" s="26"/>
      <c r="JE235" s="26"/>
      <c r="JF235" s="26"/>
      <c r="JG235" s="26"/>
      <c r="JH235" s="26"/>
      <c r="JI235" s="26"/>
      <c r="JJ235" s="26"/>
      <c r="JK235" s="26"/>
      <c r="JL235" s="26"/>
      <c r="JM235" s="26"/>
      <c r="JN235" s="26"/>
      <c r="JO235" s="26"/>
      <c r="JP235" s="26"/>
      <c r="JQ235" s="26"/>
      <c r="JR235" s="26"/>
      <c r="JS235" s="26"/>
      <c r="JT235" s="26"/>
      <c r="JU235" s="26"/>
      <c r="JV235" s="26"/>
      <c r="JW235" s="26"/>
      <c r="JX235" s="26"/>
      <c r="JY235" s="26"/>
      <c r="JZ235" s="26"/>
      <c r="KA235" s="26"/>
      <c r="KB235" s="26"/>
      <c r="KC235" s="26"/>
      <c r="KD235" s="26"/>
      <c r="KE235" s="26"/>
      <c r="KF235" s="26"/>
      <c r="KG235" s="26"/>
      <c r="KH235" s="26"/>
      <c r="KI235" s="26"/>
      <c r="KJ235" s="26"/>
      <c r="KK235" s="26"/>
      <c r="KL235" s="26"/>
      <c r="KM235" s="26"/>
      <c r="KN235" s="26"/>
      <c r="KO235" s="26"/>
      <c r="KP235" s="26"/>
      <c r="KQ235" s="26"/>
      <c r="KR235" s="26"/>
      <c r="KS235" s="26"/>
      <c r="KT235" s="26"/>
      <c r="KU235" s="26"/>
      <c r="KV235" s="26"/>
      <c r="KW235" s="26"/>
      <c r="KX235" s="26"/>
      <c r="KY235" s="26"/>
      <c r="KZ235" s="26"/>
      <c r="LA235" s="26"/>
      <c r="LB235" s="26"/>
      <c r="LC235" s="26"/>
      <c r="LD235" s="26"/>
      <c r="LE235" s="26"/>
      <c r="LF235" s="26"/>
      <c r="LG235" s="26"/>
      <c r="LH235" s="26"/>
      <c r="LI235" s="26"/>
      <c r="LJ235" s="26"/>
      <c r="LK235" s="26"/>
      <c r="LL235" s="26"/>
      <c r="LM235" s="26"/>
      <c r="LN235" s="26"/>
      <c r="LO235" s="26"/>
      <c r="LP235" s="26"/>
      <c r="LQ235" s="26"/>
      <c r="LR235" s="26"/>
      <c r="LS235" s="26"/>
      <c r="LT235" s="26"/>
      <c r="LU235" s="26"/>
      <c r="LV235" s="26"/>
      <c r="LW235" s="26"/>
      <c r="LX235" s="26"/>
      <c r="LY235" s="26"/>
      <c r="LZ235" s="26"/>
      <c r="MA235" s="26"/>
      <c r="MB235" s="26"/>
      <c r="MC235" s="26"/>
      <c r="MD235" s="26"/>
      <c r="ME235" s="26"/>
      <c r="MF235" s="26"/>
      <c r="MG235" s="26"/>
      <c r="MH235" s="26"/>
      <c r="MI235" s="26"/>
      <c r="MJ235" s="26"/>
      <c r="MK235" s="26"/>
      <c r="ML235" s="26"/>
      <c r="MM235" s="26"/>
      <c r="MN235" s="26"/>
      <c r="MO235" s="26"/>
      <c r="MP235" s="26"/>
      <c r="MQ235" s="26"/>
      <c r="MR235" s="26"/>
      <c r="MS235" s="26"/>
      <c r="MT235" s="26"/>
      <c r="MU235" s="26"/>
      <c r="MV235" s="26"/>
      <c r="MW235" s="26"/>
      <c r="MX235" s="26"/>
      <c r="MY235" s="26"/>
      <c r="MZ235" s="26"/>
      <c r="NA235" s="26"/>
      <c r="NB235" s="26"/>
      <c r="NC235" s="26"/>
      <c r="ND235" s="26"/>
      <c r="NE235" s="26"/>
      <c r="NF235" s="26"/>
      <c r="NG235" s="26"/>
      <c r="NH235" s="26"/>
      <c r="NI235" s="26"/>
      <c r="NJ235" s="26"/>
      <c r="NK235" s="26"/>
      <c r="NL235" s="26"/>
      <c r="NM235" s="26"/>
      <c r="NN235" s="26"/>
      <c r="NO235" s="26"/>
      <c r="NP235" s="26"/>
      <c r="NQ235" s="26"/>
      <c r="NR235" s="26"/>
      <c r="NS235" s="26"/>
      <c r="NT235" s="26"/>
      <c r="NU235" s="26"/>
      <c r="NV235" s="26"/>
      <c r="NW235" s="26"/>
      <c r="NX235" s="26"/>
      <c r="NY235" s="26"/>
      <c r="NZ235" s="26"/>
      <c r="OA235" s="26"/>
      <c r="OB235" s="26"/>
      <c r="OC235" s="26"/>
      <c r="OD235" s="26"/>
      <c r="OE235" s="26"/>
      <c r="OF235" s="26"/>
      <c r="OG235" s="26"/>
      <c r="OH235" s="26"/>
      <c r="OI235" s="26"/>
      <c r="OJ235" s="26"/>
      <c r="OK235" s="26"/>
      <c r="OL235" s="26"/>
      <c r="OM235" s="26"/>
      <c r="ON235" s="26"/>
      <c r="OO235" s="26"/>
      <c r="OP235" s="26"/>
      <c r="OQ235" s="26"/>
      <c r="OR235" s="26"/>
      <c r="OS235" s="26"/>
      <c r="OT235" s="26"/>
      <c r="OU235" s="26"/>
      <c r="OV235" s="26"/>
      <c r="OW235" s="26"/>
      <c r="OX235" s="26"/>
      <c r="OY235" s="26"/>
      <c r="OZ235" s="26"/>
      <c r="PA235" s="26"/>
      <c r="PB235" s="26"/>
      <c r="PC235" s="26"/>
      <c r="PD235" s="26"/>
      <c r="PE235" s="26"/>
      <c r="PF235" s="26"/>
      <c r="PG235" s="26"/>
      <c r="PH235" s="26"/>
      <c r="PI235" s="26"/>
      <c r="PJ235" s="26"/>
      <c r="PK235" s="26"/>
      <c r="PL235" s="26"/>
      <c r="PM235" s="26"/>
      <c r="PN235" s="26"/>
      <c r="PO235" s="26"/>
      <c r="PP235" s="26"/>
      <c r="PQ235" s="26"/>
      <c r="PR235" s="26"/>
      <c r="PS235" s="26"/>
      <c r="PT235" s="26"/>
      <c r="PU235" s="26"/>
      <c r="PV235" s="26"/>
      <c r="PW235" s="26"/>
      <c r="PX235" s="26"/>
      <c r="PY235" s="26"/>
      <c r="PZ235" s="26"/>
      <c r="QA235" s="26"/>
      <c r="QB235" s="26"/>
      <c r="QC235" s="26"/>
      <c r="QD235" s="26"/>
      <c r="QE235" s="26"/>
      <c r="QF235" s="26"/>
      <c r="QG235" s="26"/>
      <c r="QH235" s="26"/>
      <c r="QI235" s="26"/>
      <c r="QJ235" s="26"/>
      <c r="QK235" s="26"/>
      <c r="QL235" s="26"/>
      <c r="QM235" s="26"/>
      <c r="QN235" s="26"/>
      <c r="QO235" s="26"/>
      <c r="QP235" s="26"/>
      <c r="QQ235" s="26"/>
      <c r="QR235" s="26"/>
      <c r="QS235" s="26"/>
      <c r="QT235" s="26"/>
      <c r="QU235" s="26"/>
      <c r="QV235" s="26"/>
      <c r="QW235" s="26"/>
      <c r="QX235" s="26"/>
      <c r="QY235" s="26"/>
      <c r="QZ235" s="26"/>
      <c r="RA235" s="26"/>
      <c r="RB235" s="26"/>
      <c r="RC235" s="26"/>
      <c r="RD235" s="26"/>
      <c r="RE235" s="26"/>
      <c r="RF235" s="26"/>
      <c r="RG235" s="26"/>
      <c r="RH235" s="26"/>
      <c r="RI235" s="26"/>
      <c r="RJ235" s="26"/>
      <c r="RK235" s="26"/>
      <c r="RL235" s="26"/>
      <c r="RM235" s="26"/>
      <c r="RN235" s="26"/>
      <c r="RO235" s="26"/>
      <c r="RP235" s="26"/>
      <c r="RQ235" s="26"/>
      <c r="RR235" s="26"/>
      <c r="RS235" s="26"/>
      <c r="RT235" s="26"/>
      <c r="RU235" s="26"/>
      <c r="RV235" s="26"/>
      <c r="RW235" s="26"/>
      <c r="RX235" s="26"/>
      <c r="RY235" s="26"/>
      <c r="RZ235" s="26"/>
      <c r="SA235" s="26"/>
      <c r="SB235" s="26"/>
      <c r="SC235" s="26"/>
      <c r="SD235" s="26"/>
      <c r="SE235" s="26"/>
      <c r="SF235" s="26"/>
      <c r="SG235" s="26"/>
      <c r="SH235" s="26"/>
      <c r="SI235" s="26"/>
      <c r="SJ235" s="26"/>
      <c r="SK235" s="26"/>
      <c r="SL235" s="26"/>
      <c r="SM235" s="26"/>
      <c r="SN235" s="26"/>
      <c r="SO235" s="26"/>
      <c r="SP235" s="26"/>
      <c r="SQ235" s="26"/>
      <c r="SR235" s="26"/>
      <c r="SS235" s="26"/>
      <c r="ST235" s="26"/>
      <c r="SU235" s="26"/>
      <c r="SV235" s="26"/>
      <c r="SW235" s="26"/>
      <c r="SX235" s="26"/>
      <c r="SY235" s="26"/>
      <c r="SZ235" s="26"/>
      <c r="TA235" s="26"/>
      <c r="TB235" s="26"/>
      <c r="TC235" s="26"/>
      <c r="TD235" s="26"/>
      <c r="TE235" s="26"/>
      <c r="TF235" s="26"/>
      <c r="TG235" s="26"/>
      <c r="TH235" s="26"/>
      <c r="TI235" s="26"/>
      <c r="TJ235" s="26"/>
      <c r="TK235" s="26"/>
      <c r="TL235" s="26"/>
      <c r="TM235" s="26"/>
      <c r="TN235" s="26"/>
      <c r="TO235" s="26"/>
      <c r="TP235" s="26"/>
      <c r="TQ235" s="26"/>
      <c r="TR235" s="26"/>
      <c r="TS235" s="26"/>
      <c r="TT235" s="26"/>
      <c r="TU235" s="26"/>
      <c r="TV235" s="26"/>
      <c r="TW235" s="26"/>
      <c r="TX235" s="26"/>
      <c r="TY235" s="26"/>
      <c r="TZ235" s="26"/>
      <c r="UA235" s="26"/>
      <c r="UB235" s="26"/>
      <c r="UC235" s="26"/>
      <c r="UD235" s="26"/>
      <c r="UE235" s="26"/>
      <c r="UF235" s="26"/>
      <c r="UG235" s="26"/>
      <c r="UH235" s="26"/>
      <c r="UI235" s="26"/>
      <c r="UJ235" s="26"/>
      <c r="UK235" s="26"/>
      <c r="UL235" s="26"/>
      <c r="UM235" s="26"/>
      <c r="UN235" s="26"/>
      <c r="UO235" s="26"/>
      <c r="UP235" s="26"/>
      <c r="UQ235" s="26"/>
      <c r="UR235" s="26"/>
      <c r="US235" s="26"/>
      <c r="UT235" s="26"/>
      <c r="UU235" s="26"/>
      <c r="UV235" s="26"/>
      <c r="UW235" s="26"/>
      <c r="UX235" s="26"/>
      <c r="UY235" s="26"/>
      <c r="UZ235" s="26"/>
      <c r="VA235" s="26"/>
      <c r="VB235" s="26"/>
      <c r="VC235" s="26"/>
      <c r="VD235" s="26"/>
      <c r="VE235" s="26"/>
      <c r="VF235" s="26"/>
      <c r="VG235" s="26"/>
      <c r="VH235" s="26"/>
      <c r="VI235" s="26"/>
      <c r="VJ235" s="26"/>
      <c r="VK235" s="26"/>
      <c r="VL235" s="26"/>
      <c r="VM235" s="26"/>
      <c r="VN235" s="26"/>
      <c r="VO235" s="26"/>
      <c r="VP235" s="26"/>
      <c r="VQ235" s="26"/>
      <c r="VR235" s="26"/>
      <c r="VS235" s="26"/>
      <c r="VT235" s="26"/>
      <c r="VU235" s="26"/>
      <c r="VV235" s="26"/>
      <c r="VW235" s="26"/>
      <c r="VX235" s="26"/>
      <c r="VY235" s="26"/>
      <c r="VZ235" s="26"/>
      <c r="WA235" s="26"/>
      <c r="WB235" s="26"/>
      <c r="WC235" s="26"/>
      <c r="WD235" s="26"/>
      <c r="WE235" s="26"/>
      <c r="WF235" s="26"/>
      <c r="WG235" s="26"/>
      <c r="WH235" s="26"/>
      <c r="WI235" s="26"/>
      <c r="WJ235" s="26"/>
      <c r="WK235" s="26"/>
      <c r="WL235" s="26"/>
      <c r="WM235" s="26"/>
      <c r="WN235" s="26"/>
      <c r="WO235" s="26"/>
      <c r="WP235" s="26"/>
      <c r="WQ235" s="26"/>
      <c r="WR235" s="26"/>
      <c r="WS235" s="26"/>
      <c r="WT235" s="26"/>
      <c r="WU235" s="26"/>
      <c r="WV235" s="26"/>
      <c r="WW235" s="26"/>
      <c r="WX235" s="26"/>
      <c r="WY235" s="26"/>
      <c r="WZ235" s="26"/>
      <c r="XA235" s="26"/>
      <c r="XB235" s="26"/>
      <c r="XC235" s="26"/>
      <c r="XD235" s="26"/>
      <c r="XE235" s="26"/>
      <c r="XF235" s="26"/>
      <c r="XG235" s="26"/>
      <c r="XH235" s="26"/>
      <c r="XI235" s="26"/>
      <c r="XJ235" s="26"/>
      <c r="XK235" s="26"/>
      <c r="XL235" s="26"/>
      <c r="XM235" s="26"/>
      <c r="XN235" s="26"/>
      <c r="XO235" s="26"/>
      <c r="XP235" s="26"/>
      <c r="XQ235" s="26"/>
      <c r="XR235" s="26"/>
      <c r="XS235" s="26"/>
      <c r="XT235" s="26"/>
      <c r="XU235" s="26"/>
      <c r="XV235" s="26"/>
      <c r="XW235" s="26"/>
      <c r="XX235" s="26"/>
      <c r="XY235" s="26"/>
      <c r="XZ235" s="26"/>
      <c r="YA235" s="26"/>
      <c r="YB235" s="26"/>
      <c r="YC235" s="26"/>
      <c r="YD235" s="26"/>
      <c r="YE235" s="26"/>
      <c r="YF235" s="26"/>
      <c r="YG235" s="26"/>
      <c r="YH235" s="26"/>
      <c r="YI235" s="26"/>
      <c r="YJ235" s="26"/>
      <c r="YK235" s="26"/>
      <c r="YL235" s="26"/>
      <c r="YM235" s="26"/>
      <c r="YN235" s="26"/>
      <c r="YO235" s="26"/>
      <c r="YP235" s="26"/>
      <c r="YQ235" s="26"/>
      <c r="YR235" s="26"/>
      <c r="YS235" s="26"/>
      <c r="YT235" s="26"/>
      <c r="YU235" s="26"/>
      <c r="YV235" s="26"/>
      <c r="YW235" s="26"/>
      <c r="YX235" s="26"/>
      <c r="YY235" s="26"/>
      <c r="YZ235" s="26"/>
      <c r="ZA235" s="26"/>
      <c r="ZB235" s="26"/>
      <c r="ZC235" s="26"/>
      <c r="ZD235" s="26"/>
      <c r="ZE235" s="26"/>
      <c r="ZF235" s="26"/>
      <c r="ZG235" s="26"/>
      <c r="ZH235" s="26"/>
      <c r="ZI235" s="26"/>
      <c r="ZJ235" s="26"/>
      <c r="ZK235" s="26"/>
      <c r="ZL235" s="26"/>
      <c r="ZM235" s="26"/>
      <c r="ZN235" s="26"/>
      <c r="ZO235" s="26"/>
      <c r="ZP235" s="26"/>
      <c r="ZQ235" s="26"/>
      <c r="ZR235" s="26"/>
      <c r="ZS235" s="26"/>
      <c r="ZT235" s="26"/>
      <c r="ZU235" s="26"/>
      <c r="ZV235" s="26"/>
      <c r="ZW235" s="26"/>
      <c r="ZX235" s="26"/>
      <c r="ZY235" s="26"/>
      <c r="ZZ235" s="26"/>
      <c r="AAA235" s="26"/>
      <c r="AAB235" s="26"/>
      <c r="AAC235" s="26"/>
      <c r="AAD235" s="26"/>
      <c r="AAE235" s="26"/>
      <c r="AAF235" s="26"/>
      <c r="AAG235" s="26"/>
      <c r="AAH235" s="26"/>
      <c r="AAI235" s="26"/>
      <c r="AAJ235" s="26"/>
      <c r="AAK235" s="26"/>
      <c r="AAL235" s="26"/>
      <c r="AAM235" s="26"/>
      <c r="AAN235" s="26"/>
      <c r="AAO235" s="26"/>
      <c r="AAP235" s="26"/>
      <c r="AAQ235" s="26"/>
      <c r="AAR235" s="26"/>
      <c r="AAS235" s="26"/>
      <c r="AAT235" s="26"/>
      <c r="AAU235" s="26"/>
      <c r="AAV235" s="26"/>
      <c r="AAW235" s="26"/>
      <c r="AAX235" s="26"/>
      <c r="AAY235" s="26"/>
      <c r="AAZ235" s="26"/>
      <c r="ABA235" s="26"/>
      <c r="ABB235" s="26"/>
      <c r="ABC235" s="26"/>
      <c r="ABD235" s="26"/>
      <c r="ABE235" s="26"/>
      <c r="ABF235" s="26"/>
      <c r="ABG235" s="26"/>
      <c r="ABH235" s="26"/>
      <c r="ABI235" s="26"/>
      <c r="ABJ235" s="26"/>
      <c r="ABK235" s="26"/>
      <c r="ABL235" s="26"/>
      <c r="ABM235" s="26"/>
      <c r="ABN235" s="26"/>
      <c r="ABO235" s="26"/>
      <c r="ABP235" s="26"/>
      <c r="ABQ235" s="26"/>
      <c r="ABR235" s="26"/>
      <c r="ABS235" s="26"/>
      <c r="ABT235" s="26"/>
      <c r="ABU235" s="26"/>
      <c r="ABV235" s="26"/>
      <c r="ABW235" s="26"/>
      <c r="ABX235" s="26"/>
      <c r="ABY235" s="26"/>
      <c r="ABZ235" s="26"/>
      <c r="ACA235" s="26"/>
      <c r="ACB235" s="26"/>
      <c r="ACC235" s="26"/>
      <c r="ACD235" s="26"/>
      <c r="ACE235" s="26"/>
      <c r="ACF235" s="26"/>
      <c r="ACG235" s="26"/>
      <c r="ACH235" s="26"/>
      <c r="ACI235" s="26"/>
      <c r="ACJ235" s="26"/>
      <c r="ACK235" s="26"/>
      <c r="ACL235" s="26"/>
      <c r="ACM235" s="26"/>
      <c r="ACN235" s="26"/>
      <c r="ACO235" s="26"/>
      <c r="ACP235" s="26"/>
      <c r="ACQ235" s="26"/>
      <c r="ACR235" s="26"/>
      <c r="ACS235" s="26"/>
      <c r="ACT235" s="26"/>
      <c r="ACU235" s="26"/>
      <c r="ACV235" s="26"/>
      <c r="ACW235" s="26"/>
      <c r="ACX235" s="26"/>
      <c r="ACY235" s="26"/>
      <c r="ACZ235" s="26"/>
      <c r="ADA235" s="26"/>
      <c r="ADB235" s="26"/>
      <c r="ADC235" s="26"/>
      <c r="ADD235" s="26"/>
      <c r="ADE235" s="26"/>
      <c r="ADF235" s="26"/>
      <c r="ADG235" s="26"/>
      <c r="ADH235" s="26"/>
      <c r="ADI235" s="26"/>
      <c r="ADJ235" s="26"/>
      <c r="ADK235" s="26"/>
      <c r="ADL235" s="26"/>
      <c r="ADM235" s="26"/>
      <c r="ADN235" s="26"/>
      <c r="ADO235" s="26"/>
      <c r="ADP235" s="26"/>
      <c r="ADQ235" s="26"/>
      <c r="ADR235" s="26"/>
      <c r="ADS235" s="26"/>
      <c r="ADT235" s="26"/>
      <c r="ADU235" s="26"/>
      <c r="ADV235" s="26"/>
      <c r="ADW235" s="26"/>
      <c r="ADX235" s="26"/>
      <c r="ADY235" s="26"/>
      <c r="ADZ235" s="26"/>
      <c r="AEA235" s="26"/>
      <c r="AEB235" s="26"/>
      <c r="AEC235" s="26"/>
      <c r="AED235" s="26"/>
      <c r="AEE235" s="26"/>
      <c r="AEF235" s="26"/>
      <c r="AEG235" s="26"/>
      <c r="AEH235" s="26"/>
      <c r="AEI235" s="26"/>
      <c r="AEJ235" s="26"/>
      <c r="AEK235" s="26"/>
      <c r="AEL235" s="26"/>
      <c r="AEM235" s="26"/>
      <c r="AEN235" s="26"/>
      <c r="AEO235" s="26"/>
      <c r="AEP235" s="26"/>
      <c r="AEQ235" s="26"/>
      <c r="AER235" s="26"/>
      <c r="AES235" s="26"/>
      <c r="AET235" s="26"/>
      <c r="AEU235" s="26"/>
      <c r="AEV235" s="26"/>
      <c r="AEW235" s="26"/>
      <c r="AEX235" s="26"/>
      <c r="AEY235" s="26"/>
      <c r="AEZ235" s="26"/>
      <c r="AFA235" s="26"/>
      <c r="AFB235" s="26"/>
      <c r="AFC235" s="26"/>
      <c r="AFD235" s="26"/>
      <c r="AFE235" s="26"/>
      <c r="AFF235" s="26"/>
      <c r="AFG235" s="26"/>
      <c r="AFH235" s="26"/>
      <c r="AFI235" s="26"/>
      <c r="AFJ235" s="26"/>
      <c r="AFK235" s="26"/>
      <c r="AFL235" s="26"/>
      <c r="AFM235" s="26"/>
      <c r="AFN235" s="26"/>
      <c r="AFO235" s="26"/>
      <c r="AFP235" s="26"/>
      <c r="AFQ235" s="26"/>
      <c r="AFR235" s="26"/>
      <c r="AFS235" s="26"/>
      <c r="AFT235" s="26"/>
      <c r="AFU235" s="26"/>
      <c r="AFV235" s="26"/>
      <c r="AFW235" s="26"/>
      <c r="AFX235" s="26"/>
      <c r="AFY235" s="26"/>
      <c r="AFZ235" s="26"/>
      <c r="AGA235" s="26"/>
      <c r="AGB235" s="26"/>
      <c r="AGC235" s="26"/>
      <c r="AGD235" s="26"/>
      <c r="AGE235" s="26"/>
      <c r="AGF235" s="26"/>
      <c r="AGG235" s="26"/>
      <c r="AGH235" s="26"/>
      <c r="AGI235" s="26"/>
      <c r="AGJ235" s="26"/>
      <c r="AGK235" s="26"/>
      <c r="AGL235" s="26"/>
      <c r="AGM235" s="26"/>
      <c r="AGN235" s="26"/>
      <c r="AGO235" s="26"/>
      <c r="AGP235" s="26"/>
      <c r="AGQ235" s="26"/>
      <c r="AGR235" s="26"/>
      <c r="AGS235" s="26"/>
      <c r="AGT235" s="26"/>
      <c r="AGU235" s="26"/>
      <c r="AGV235" s="26"/>
      <c r="AGW235" s="26"/>
      <c r="AGX235" s="26"/>
      <c r="AGY235" s="26"/>
      <c r="AGZ235" s="26"/>
      <c r="AHA235" s="26"/>
      <c r="AHB235" s="26"/>
      <c r="AHC235" s="26"/>
      <c r="AHD235" s="26"/>
      <c r="AHE235" s="26"/>
      <c r="AHF235" s="26"/>
      <c r="AHG235" s="26"/>
      <c r="AHH235" s="26"/>
      <c r="AHI235" s="26"/>
      <c r="AHJ235" s="26"/>
      <c r="AHK235" s="26"/>
      <c r="AHL235" s="26"/>
      <c r="AHM235" s="26"/>
      <c r="AHN235" s="26"/>
      <c r="AHO235" s="26"/>
      <c r="AHP235" s="26"/>
      <c r="AHQ235" s="26"/>
      <c r="AHR235" s="26"/>
      <c r="AHS235" s="26"/>
      <c r="AHT235" s="26"/>
      <c r="AHU235" s="26"/>
      <c r="AHV235" s="26"/>
      <c r="AHW235" s="26"/>
      <c r="AHX235" s="26"/>
      <c r="AHY235" s="26"/>
      <c r="AHZ235" s="26"/>
      <c r="AIA235" s="26"/>
      <c r="AIB235" s="26"/>
      <c r="AIC235" s="26"/>
      <c r="AID235" s="26"/>
      <c r="AIE235" s="26"/>
      <c r="AIF235" s="26"/>
      <c r="AIG235" s="26"/>
      <c r="AIH235" s="26"/>
      <c r="AII235" s="26"/>
      <c r="AIJ235" s="26"/>
      <c r="AIK235" s="26"/>
      <c r="AIL235" s="26"/>
      <c r="AIM235" s="26"/>
      <c r="AIN235" s="26"/>
      <c r="AIO235" s="26"/>
      <c r="AIP235" s="26"/>
      <c r="AIQ235" s="26"/>
      <c r="AIR235" s="26"/>
      <c r="AIS235" s="26"/>
      <c r="AIT235" s="26"/>
      <c r="AIU235" s="26"/>
      <c r="AIV235" s="26"/>
      <c r="AIW235" s="26"/>
      <c r="AIX235" s="26"/>
      <c r="AIY235" s="26"/>
      <c r="AIZ235" s="26"/>
      <c r="AJA235" s="26"/>
      <c r="AJB235" s="26"/>
      <c r="AJC235" s="26"/>
      <c r="AJD235" s="26"/>
      <c r="AJE235" s="26"/>
      <c r="AJF235" s="26"/>
      <c r="AJG235" s="26"/>
      <c r="AJH235" s="26"/>
      <c r="AJI235" s="26"/>
      <c r="AJJ235" s="26"/>
      <c r="AJK235" s="26"/>
      <c r="AJL235" s="26"/>
      <c r="AJM235" s="26"/>
      <c r="AJN235" s="26"/>
      <c r="AJO235" s="26"/>
      <c r="AJP235" s="26"/>
      <c r="AJQ235" s="26"/>
      <c r="AJR235" s="26"/>
      <c r="AJS235" s="26"/>
      <c r="AJT235" s="26"/>
      <c r="AJU235" s="26"/>
      <c r="AJV235" s="26"/>
      <c r="AJW235" s="26"/>
      <c r="AJX235" s="26"/>
      <c r="AJY235" s="26"/>
      <c r="AJZ235" s="26"/>
      <c r="AKA235" s="26"/>
      <c r="AKB235" s="26"/>
      <c r="AKC235" s="26"/>
      <c r="AKD235" s="26"/>
      <c r="AKE235" s="26"/>
      <c r="AKF235" s="26"/>
      <c r="AKG235" s="26"/>
      <c r="AKH235" s="26"/>
      <c r="AKI235" s="26"/>
      <c r="AKJ235" s="26"/>
      <c r="AKK235" s="26"/>
      <c r="AKL235" s="26"/>
      <c r="AKM235" s="26"/>
      <c r="AKN235" s="26"/>
      <c r="AKO235" s="26"/>
      <c r="AKP235" s="26"/>
      <c r="AKQ235" s="26"/>
      <c r="AKR235" s="26"/>
      <c r="AKS235" s="26"/>
      <c r="AKT235" s="26"/>
      <c r="AKU235" s="26"/>
      <c r="AKV235" s="26"/>
      <c r="AKW235" s="26"/>
      <c r="AKX235" s="26"/>
      <c r="AKY235" s="26"/>
      <c r="AKZ235" s="26"/>
      <c r="ALA235" s="26"/>
      <c r="ALB235" s="26"/>
      <c r="ALC235" s="26"/>
      <c r="ALD235" s="26"/>
      <c r="ALE235" s="26"/>
      <c r="ALF235" s="26"/>
      <c r="ALG235" s="26"/>
      <c r="ALH235" s="26"/>
      <c r="ALI235" s="26"/>
      <c r="ALJ235" s="26"/>
      <c r="ALK235" s="26"/>
      <c r="ALL235" s="26"/>
      <c r="ALM235" s="26"/>
      <c r="ALN235" s="26"/>
      <c r="ALO235" s="26"/>
      <c r="ALP235" s="26"/>
      <c r="ALQ235" s="26"/>
      <c r="ALR235" s="26"/>
      <c r="ALS235" s="26"/>
      <c r="ALT235" s="26"/>
      <c r="ALU235" s="26"/>
      <c r="ALV235" s="26"/>
      <c r="ALW235" s="26"/>
      <c r="ALX235" s="26"/>
      <c r="ALY235" s="26"/>
      <c r="ALZ235" s="26"/>
      <c r="AMA235" s="26"/>
      <c r="AMB235" s="26"/>
      <c r="AMC235" s="26"/>
      <c r="AMD235" s="26"/>
      <c r="AME235" s="26"/>
      <c r="AMF235" s="26"/>
      <c r="AMG235" s="26"/>
      <c r="AMH235" s="26"/>
      <c r="AMI235" s="26"/>
      <c r="AMJ235" s="26"/>
      <c r="AMK235" s="26"/>
      <c r="AML235" s="26"/>
      <c r="AMM235" s="26"/>
      <c r="AMN235" s="26"/>
      <c r="AMO235" s="26"/>
      <c r="AMP235" s="26"/>
      <c r="AMQ235" s="26"/>
      <c r="AMR235" s="26"/>
      <c r="AMS235" s="26"/>
      <c r="AMT235" s="26"/>
      <c r="AMU235" s="26"/>
      <c r="AMV235" s="26"/>
      <c r="AMW235" s="26"/>
      <c r="AMX235" s="26"/>
      <c r="AMY235" s="26"/>
      <c r="AMZ235" s="26"/>
      <c r="ANA235" s="26"/>
      <c r="ANB235" s="26"/>
      <c r="ANC235" s="26"/>
      <c r="AND235" s="26"/>
      <c r="ANE235" s="26"/>
      <c r="ANF235" s="26"/>
      <c r="ANG235" s="26"/>
      <c r="ANH235" s="26"/>
      <c r="ANI235" s="26"/>
      <c r="ANJ235" s="26"/>
      <c r="ANK235" s="26"/>
      <c r="ANL235" s="26"/>
      <c r="ANM235" s="26"/>
      <c r="ANN235" s="26"/>
      <c r="ANO235" s="26"/>
      <c r="ANP235" s="26"/>
      <c r="ANQ235" s="26"/>
      <c r="ANR235" s="26"/>
      <c r="ANS235" s="26"/>
      <c r="ANT235" s="26"/>
      <c r="ANU235" s="26"/>
      <c r="ANV235" s="26"/>
      <c r="ANW235" s="26"/>
      <c r="ANX235" s="26"/>
      <c r="ANY235" s="26"/>
      <c r="ANZ235" s="26"/>
      <c r="AOA235" s="26"/>
      <c r="AOB235" s="26"/>
      <c r="AOC235" s="26"/>
      <c r="AOD235" s="26"/>
      <c r="AOE235" s="26"/>
      <c r="AOF235" s="26"/>
      <c r="AOG235" s="26"/>
      <c r="AOH235" s="26"/>
      <c r="AOI235" s="26"/>
      <c r="AOJ235" s="26"/>
      <c r="AOK235" s="26"/>
      <c r="AOL235" s="26"/>
      <c r="AOM235" s="26"/>
      <c r="AON235" s="26"/>
      <c r="AOO235" s="26"/>
      <c r="AOP235" s="26"/>
      <c r="AOQ235" s="26"/>
      <c r="AOR235" s="26"/>
      <c r="AOS235" s="26"/>
      <c r="AOT235" s="26"/>
      <c r="AOU235" s="26"/>
      <c r="AOV235" s="26"/>
      <c r="AOW235" s="26"/>
      <c r="AOX235" s="26"/>
      <c r="AOY235" s="26"/>
      <c r="AOZ235" s="26"/>
      <c r="APA235" s="26"/>
      <c r="APB235" s="26"/>
      <c r="APC235" s="26"/>
      <c r="APD235" s="26"/>
      <c r="APE235" s="26"/>
      <c r="APF235" s="26"/>
      <c r="APG235" s="26"/>
      <c r="APH235" s="26"/>
      <c r="API235" s="26"/>
      <c r="APJ235" s="26"/>
      <c r="APK235" s="26"/>
      <c r="APL235" s="26"/>
      <c r="APM235" s="26"/>
      <c r="APN235" s="26"/>
      <c r="APO235" s="26"/>
      <c r="APP235" s="26"/>
      <c r="APQ235" s="26"/>
      <c r="APR235" s="26"/>
      <c r="APS235" s="26"/>
      <c r="APT235" s="26"/>
      <c r="APU235" s="26"/>
      <c r="APV235" s="26"/>
      <c r="APW235" s="26"/>
      <c r="APX235" s="26"/>
      <c r="APY235" s="26"/>
      <c r="APZ235" s="26"/>
      <c r="AQA235" s="26"/>
      <c r="AQB235" s="26"/>
      <c r="AQC235" s="26"/>
      <c r="AQD235" s="26"/>
      <c r="AQE235" s="26"/>
      <c r="AQF235" s="26"/>
      <c r="AQG235" s="26"/>
      <c r="AQH235" s="26"/>
      <c r="AQI235" s="26"/>
      <c r="AQJ235" s="26"/>
      <c r="AQK235" s="26"/>
      <c r="AQL235" s="26"/>
      <c r="AQM235" s="26"/>
      <c r="AQN235" s="26"/>
      <c r="AQO235" s="26"/>
      <c r="AQP235" s="26"/>
      <c r="AQQ235" s="26"/>
      <c r="AQR235" s="26"/>
      <c r="AQS235" s="26"/>
      <c r="AQT235" s="26"/>
      <c r="AQU235" s="26"/>
      <c r="AQV235" s="26"/>
      <c r="AQW235" s="26"/>
      <c r="AQX235" s="26"/>
      <c r="AQY235" s="26"/>
      <c r="AQZ235" s="26"/>
      <c r="ARA235" s="26"/>
      <c r="ARB235" s="26"/>
      <c r="ARC235" s="26"/>
      <c r="ARD235" s="26"/>
      <c r="ARE235" s="26"/>
      <c r="ARF235" s="26"/>
      <c r="ARG235" s="26"/>
      <c r="ARH235" s="26"/>
      <c r="ARI235" s="26"/>
      <c r="ARJ235" s="26"/>
      <c r="ARK235" s="26"/>
      <c r="ARL235" s="26"/>
      <c r="ARM235" s="26"/>
      <c r="ARN235" s="26"/>
      <c r="ARO235" s="26"/>
      <c r="ARP235" s="26"/>
      <c r="ARQ235" s="26"/>
      <c r="ARR235" s="26"/>
      <c r="ARS235" s="26"/>
      <c r="ART235" s="26"/>
      <c r="ARU235" s="26"/>
      <c r="ARV235" s="26"/>
      <c r="ARW235" s="26"/>
      <c r="ARX235" s="26"/>
      <c r="ARY235" s="26"/>
      <c r="ARZ235" s="26"/>
      <c r="ASA235" s="26"/>
      <c r="ASB235" s="26"/>
      <c r="ASC235" s="26"/>
      <c r="ASD235" s="26"/>
      <c r="ASE235" s="26"/>
      <c r="ASF235" s="26"/>
      <c r="ASG235" s="26"/>
      <c r="ASH235" s="26"/>
      <c r="ASI235" s="26"/>
      <c r="ASJ235" s="26"/>
      <c r="ASK235" s="26"/>
      <c r="ASL235" s="26"/>
      <c r="ASM235" s="26"/>
      <c r="ASN235" s="26"/>
      <c r="ASO235" s="26"/>
      <c r="ASP235" s="26"/>
      <c r="ASQ235" s="26"/>
      <c r="ASR235" s="26"/>
      <c r="ASS235" s="26"/>
      <c r="AST235" s="26"/>
      <c r="ASU235" s="26"/>
      <c r="ASV235" s="26"/>
      <c r="ASW235" s="26"/>
      <c r="ASX235" s="26"/>
      <c r="ASY235" s="26"/>
      <c r="ASZ235" s="26"/>
      <c r="ATA235" s="26"/>
      <c r="ATB235" s="26"/>
      <c r="ATC235" s="26"/>
      <c r="ATD235" s="26"/>
      <c r="ATE235" s="26"/>
      <c r="ATF235" s="26"/>
      <c r="ATG235" s="26"/>
      <c r="ATH235" s="26"/>
      <c r="ATI235" s="26"/>
      <c r="ATJ235" s="26"/>
      <c r="ATK235" s="26"/>
      <c r="ATL235" s="26"/>
      <c r="ATM235" s="26"/>
      <c r="ATN235" s="26"/>
      <c r="ATO235" s="26"/>
      <c r="ATP235" s="26"/>
      <c r="ATQ235" s="26"/>
      <c r="ATR235" s="26"/>
      <c r="ATS235" s="26"/>
      <c r="ATT235" s="26"/>
      <c r="ATU235" s="26"/>
      <c r="ATV235" s="26"/>
      <c r="ATW235" s="26"/>
      <c r="ATX235" s="26"/>
      <c r="ATY235" s="26"/>
      <c r="ATZ235" s="26"/>
      <c r="AUA235" s="26"/>
      <c r="AUB235" s="26"/>
      <c r="AUC235" s="26"/>
      <c r="AUD235" s="26"/>
      <c r="AUE235" s="26"/>
      <c r="AUF235" s="26"/>
      <c r="AUG235" s="26"/>
      <c r="AUH235" s="26"/>
      <c r="AUI235" s="26"/>
      <c r="AUJ235" s="26"/>
      <c r="AUK235" s="26"/>
      <c r="AUL235" s="26"/>
      <c r="AUM235" s="26"/>
      <c r="AUN235" s="26"/>
      <c r="AUO235" s="26"/>
      <c r="AUP235" s="26"/>
      <c r="AUQ235" s="26"/>
      <c r="AUR235" s="26"/>
      <c r="AUS235" s="26"/>
      <c r="AUT235" s="26"/>
      <c r="AUU235" s="26"/>
      <c r="AUV235" s="26"/>
      <c r="AUW235" s="26"/>
      <c r="AUX235" s="26"/>
      <c r="AUY235" s="26"/>
      <c r="AUZ235" s="26"/>
      <c r="AVA235" s="26"/>
      <c r="AVB235" s="26"/>
      <c r="AVC235" s="26"/>
      <c r="AVD235" s="26"/>
      <c r="AVE235" s="26"/>
      <c r="AVF235" s="26"/>
      <c r="AVG235" s="26"/>
      <c r="AVH235" s="26"/>
      <c r="AVI235" s="26"/>
      <c r="AVJ235" s="26"/>
      <c r="AVK235" s="26"/>
      <c r="AVL235" s="26"/>
      <c r="AVM235" s="26"/>
      <c r="AVN235" s="26"/>
      <c r="AVO235" s="26"/>
      <c r="AVP235" s="26"/>
      <c r="AVQ235" s="26"/>
      <c r="AVR235" s="26"/>
      <c r="AVS235" s="26"/>
      <c r="AVT235" s="26"/>
      <c r="AVU235" s="26"/>
      <c r="AVV235" s="26"/>
      <c r="AVW235" s="26"/>
      <c r="AVX235" s="26"/>
      <c r="AVY235" s="26"/>
      <c r="AVZ235" s="26"/>
      <c r="AWA235" s="26"/>
      <c r="AWB235" s="26"/>
      <c r="AWC235" s="26"/>
      <c r="AWD235" s="26"/>
      <c r="AWE235" s="26"/>
      <c r="AWF235" s="26"/>
      <c r="AWG235" s="26"/>
      <c r="AWH235" s="26"/>
      <c r="AWI235" s="26"/>
      <c r="AWJ235" s="26"/>
      <c r="AWK235" s="26"/>
      <c r="AWL235" s="26"/>
      <c r="AWM235" s="26"/>
      <c r="AWN235" s="26"/>
      <c r="AWO235" s="26"/>
      <c r="AWP235" s="26"/>
      <c r="AWQ235" s="26"/>
      <c r="AWR235" s="26"/>
      <c r="AWS235" s="26"/>
      <c r="AWT235" s="26"/>
      <c r="AWU235" s="26"/>
      <c r="AWV235" s="26"/>
      <c r="AWW235" s="26"/>
      <c r="AWX235" s="26"/>
      <c r="AWY235" s="26"/>
      <c r="AWZ235" s="26"/>
      <c r="AXA235" s="26"/>
      <c r="AXB235" s="26"/>
      <c r="AXC235" s="26"/>
      <c r="AXD235" s="26"/>
      <c r="AXE235" s="26"/>
      <c r="AXF235" s="26"/>
      <c r="AXG235" s="26"/>
      <c r="AXH235" s="26"/>
      <c r="AXI235" s="26"/>
      <c r="AXJ235" s="26"/>
      <c r="AXK235" s="26"/>
      <c r="AXL235" s="26"/>
      <c r="AXM235" s="26"/>
      <c r="AXN235" s="26"/>
      <c r="AXO235" s="26"/>
      <c r="AXP235" s="26"/>
      <c r="AXQ235" s="26"/>
      <c r="AXR235" s="26"/>
      <c r="AXS235" s="26"/>
      <c r="AXT235" s="26"/>
      <c r="AXU235" s="26"/>
      <c r="AXV235" s="26"/>
      <c r="AXW235" s="26"/>
      <c r="AXX235" s="26"/>
      <c r="AXY235" s="26"/>
      <c r="AXZ235" s="26"/>
      <c r="AYA235" s="26"/>
      <c r="AYB235" s="26"/>
      <c r="AYC235" s="26"/>
      <c r="AYD235" s="26"/>
      <c r="AYE235" s="26"/>
      <c r="AYF235" s="26"/>
      <c r="AYG235" s="26"/>
      <c r="AYH235" s="26"/>
      <c r="AYI235" s="26"/>
      <c r="AYJ235" s="26"/>
      <c r="AYK235" s="26"/>
      <c r="AYL235" s="26"/>
      <c r="AYM235" s="26"/>
      <c r="AYN235" s="26"/>
      <c r="AYO235" s="26"/>
      <c r="AYP235" s="26"/>
      <c r="AYQ235" s="26"/>
      <c r="AYR235" s="26"/>
      <c r="AYS235" s="26"/>
      <c r="AYT235" s="26"/>
      <c r="AYU235" s="26"/>
      <c r="AYV235" s="26"/>
      <c r="AYW235" s="26"/>
      <c r="AYX235" s="26"/>
      <c r="AYY235" s="26"/>
      <c r="AYZ235" s="26"/>
      <c r="AZA235" s="26"/>
      <c r="AZB235" s="26"/>
      <c r="AZC235" s="26"/>
      <c r="AZD235" s="26"/>
      <c r="AZE235" s="26"/>
      <c r="AZF235" s="26"/>
      <c r="AZG235" s="26"/>
      <c r="AZH235" s="26"/>
      <c r="AZI235" s="26"/>
      <c r="AZJ235" s="26"/>
      <c r="AZK235" s="26"/>
      <c r="AZL235" s="26"/>
      <c r="AZM235" s="26"/>
      <c r="AZN235" s="26"/>
      <c r="AZO235" s="26"/>
      <c r="AZP235" s="26"/>
      <c r="AZQ235" s="26"/>
      <c r="AZR235" s="26"/>
      <c r="AZS235" s="26"/>
      <c r="AZT235" s="26"/>
      <c r="AZU235" s="26"/>
      <c r="AZV235" s="26"/>
      <c r="AZW235" s="26"/>
      <c r="AZX235" s="26"/>
      <c r="AZY235" s="26"/>
      <c r="AZZ235" s="26"/>
      <c r="BAA235" s="26"/>
      <c r="BAB235" s="26"/>
      <c r="BAC235" s="26"/>
      <c r="BAD235" s="26"/>
      <c r="BAE235" s="26"/>
      <c r="BAF235" s="26"/>
      <c r="BAG235" s="26"/>
      <c r="BAH235" s="26"/>
      <c r="BAI235" s="26"/>
      <c r="BAJ235" s="26"/>
      <c r="BAK235" s="26"/>
      <c r="BAL235" s="26"/>
      <c r="BAM235" s="26"/>
      <c r="BAN235" s="26"/>
      <c r="BAO235" s="26"/>
      <c r="BAP235" s="26"/>
      <c r="BAQ235" s="26"/>
      <c r="BAR235" s="26"/>
      <c r="BAS235" s="26"/>
      <c r="BAT235" s="26"/>
      <c r="BAU235" s="26"/>
      <c r="BAV235" s="26"/>
      <c r="BAW235" s="26"/>
      <c r="BAX235" s="26"/>
      <c r="BAY235" s="26"/>
      <c r="BAZ235" s="26"/>
      <c r="BBA235" s="26"/>
      <c r="BBB235" s="26"/>
      <c r="BBC235" s="26"/>
      <c r="BBD235" s="26"/>
      <c r="BBE235" s="26"/>
      <c r="BBF235" s="26"/>
      <c r="BBG235" s="26"/>
      <c r="BBH235" s="26"/>
      <c r="BBI235" s="26"/>
      <c r="BBJ235" s="26"/>
      <c r="BBK235" s="26"/>
      <c r="BBL235" s="26"/>
      <c r="BBM235" s="26"/>
      <c r="BBN235" s="26"/>
      <c r="BBO235" s="26"/>
      <c r="BBP235" s="26"/>
      <c r="BBQ235" s="26"/>
      <c r="BBR235" s="26"/>
      <c r="BBS235" s="26"/>
      <c r="BBT235" s="26"/>
      <c r="BBU235" s="26"/>
      <c r="BBV235" s="26"/>
      <c r="BBW235" s="26"/>
      <c r="BBX235" s="26"/>
      <c r="BBY235" s="26"/>
      <c r="BBZ235" s="26"/>
      <c r="BCA235" s="26"/>
      <c r="BCB235" s="26"/>
      <c r="BCC235" s="26"/>
      <c r="BCD235" s="26"/>
      <c r="BCE235" s="26"/>
      <c r="BCF235" s="26"/>
      <c r="BCG235" s="26"/>
      <c r="BCH235" s="26"/>
      <c r="BCI235" s="26"/>
      <c r="BCJ235" s="26"/>
      <c r="BCK235" s="26"/>
      <c r="BCL235" s="26"/>
      <c r="BCM235" s="26"/>
      <c r="BCN235" s="26"/>
      <c r="BCO235" s="26"/>
      <c r="BCP235" s="26"/>
      <c r="BCQ235" s="26"/>
      <c r="BCR235" s="26"/>
      <c r="BCS235" s="26"/>
      <c r="BCT235" s="26"/>
      <c r="BCU235" s="26"/>
      <c r="BCV235" s="26"/>
      <c r="BCW235" s="26"/>
      <c r="BCX235" s="26"/>
      <c r="BCY235" s="26"/>
      <c r="BCZ235" s="26"/>
      <c r="BDA235" s="26"/>
      <c r="BDB235" s="26"/>
      <c r="BDC235" s="26"/>
      <c r="BDD235" s="26"/>
      <c r="BDE235" s="26"/>
      <c r="BDF235" s="26"/>
      <c r="BDG235" s="26"/>
      <c r="BDH235" s="26"/>
      <c r="BDI235" s="26"/>
      <c r="BDJ235" s="26"/>
      <c r="BDK235" s="26"/>
      <c r="BDL235" s="26"/>
      <c r="BDM235" s="26"/>
      <c r="BDN235" s="26"/>
      <c r="BDO235" s="26"/>
      <c r="BDP235" s="26"/>
      <c r="BDQ235" s="26"/>
      <c r="BDR235" s="26"/>
      <c r="BDS235" s="26"/>
      <c r="BDT235" s="26"/>
      <c r="BDU235" s="26"/>
      <c r="BDV235" s="26"/>
      <c r="BDW235" s="26"/>
      <c r="BDX235" s="26"/>
      <c r="BDY235" s="26"/>
      <c r="BDZ235" s="26"/>
      <c r="BEA235" s="26"/>
      <c r="BEB235" s="26"/>
      <c r="BEC235" s="26"/>
      <c r="BED235" s="26"/>
      <c r="BEE235" s="26"/>
      <c r="BEF235" s="26"/>
      <c r="BEG235" s="26"/>
      <c r="BEH235" s="26"/>
      <c r="BEI235" s="26"/>
      <c r="BEJ235" s="26"/>
      <c r="BEK235" s="26"/>
      <c r="BEL235" s="26"/>
      <c r="BEM235" s="26"/>
      <c r="BEN235" s="26"/>
      <c r="BEO235" s="26"/>
      <c r="BEP235" s="26"/>
      <c r="BEQ235" s="26"/>
      <c r="BER235" s="26"/>
      <c r="BES235" s="26"/>
      <c r="BET235" s="26"/>
      <c r="BEU235" s="26"/>
      <c r="BEV235" s="26"/>
      <c r="BEW235" s="26"/>
      <c r="BEX235" s="26"/>
      <c r="BEY235" s="26"/>
      <c r="BEZ235" s="26"/>
      <c r="BFA235" s="26"/>
      <c r="BFB235" s="26"/>
      <c r="BFC235" s="26"/>
      <c r="BFD235" s="26"/>
      <c r="BFE235" s="26"/>
      <c r="BFF235" s="26"/>
      <c r="BFG235" s="26"/>
      <c r="BFH235" s="26"/>
      <c r="BFI235" s="26"/>
      <c r="BFJ235" s="26"/>
      <c r="BFK235" s="26"/>
      <c r="BFL235" s="26"/>
      <c r="BFM235" s="26"/>
      <c r="BFN235" s="26"/>
      <c r="BFO235" s="26"/>
      <c r="BFP235" s="26"/>
      <c r="BFQ235" s="26"/>
      <c r="BFR235" s="26"/>
      <c r="BFS235" s="26"/>
      <c r="BFT235" s="26"/>
      <c r="BFU235" s="26"/>
      <c r="BFV235" s="26"/>
      <c r="BFW235" s="26"/>
      <c r="BFX235" s="26"/>
      <c r="BFY235" s="26"/>
      <c r="BFZ235" s="26"/>
      <c r="BGA235" s="26"/>
      <c r="BGB235" s="26"/>
      <c r="BGC235" s="26"/>
      <c r="BGD235" s="26"/>
      <c r="BGE235" s="26"/>
      <c r="BGF235" s="26"/>
      <c r="BGG235" s="26"/>
      <c r="BGH235" s="26"/>
      <c r="BGI235" s="26"/>
      <c r="BGJ235" s="26"/>
      <c r="BGK235" s="26"/>
      <c r="BGL235" s="26"/>
      <c r="BGM235" s="26"/>
      <c r="BGN235" s="26"/>
      <c r="BGO235" s="26"/>
      <c r="BGP235" s="26"/>
      <c r="BGQ235" s="26"/>
      <c r="BGR235" s="26"/>
      <c r="BGS235" s="26"/>
      <c r="BGT235" s="26"/>
      <c r="BGU235" s="26"/>
      <c r="BGV235" s="26"/>
      <c r="BGW235" s="26"/>
      <c r="BGX235" s="26"/>
      <c r="BGY235" s="26"/>
      <c r="BGZ235" s="26"/>
      <c r="BHA235" s="26"/>
      <c r="BHB235" s="26"/>
      <c r="BHC235" s="26"/>
      <c r="BHD235" s="26"/>
      <c r="BHE235" s="26"/>
      <c r="BHF235" s="26"/>
      <c r="BHG235" s="26"/>
      <c r="BHH235" s="26"/>
      <c r="BHI235" s="26"/>
      <c r="BHJ235" s="26"/>
      <c r="BHK235" s="26"/>
      <c r="BHL235" s="26"/>
      <c r="BHM235" s="26"/>
      <c r="BHN235" s="26"/>
      <c r="BHO235" s="26"/>
      <c r="BHP235" s="26"/>
      <c r="BHQ235" s="26"/>
      <c r="BHR235" s="26"/>
      <c r="BHS235" s="26"/>
      <c r="BHT235" s="26"/>
      <c r="BHU235" s="26"/>
      <c r="BHV235" s="26"/>
      <c r="BHW235" s="26"/>
      <c r="BHX235" s="26"/>
      <c r="BHY235" s="26"/>
      <c r="BHZ235" s="26"/>
      <c r="BIA235" s="26"/>
      <c r="BIB235" s="26"/>
      <c r="BIC235" s="26"/>
      <c r="BID235" s="26"/>
      <c r="BIE235" s="26"/>
      <c r="BIF235" s="26"/>
      <c r="BIG235" s="26"/>
      <c r="BIH235" s="26"/>
      <c r="BII235" s="26"/>
      <c r="BIJ235" s="26"/>
      <c r="BIK235" s="26"/>
      <c r="BIL235" s="26"/>
      <c r="BIM235" s="26"/>
      <c r="BIN235" s="26"/>
      <c r="BIO235" s="26"/>
      <c r="BIP235" s="26"/>
      <c r="BIQ235" s="26"/>
      <c r="BIR235" s="26"/>
      <c r="BIS235" s="26"/>
      <c r="BIT235" s="26"/>
      <c r="BIU235" s="26"/>
      <c r="BIV235" s="26"/>
      <c r="BIW235" s="26"/>
      <c r="BIX235" s="26"/>
      <c r="BIY235" s="26"/>
      <c r="BIZ235" s="26"/>
      <c r="BJA235" s="26"/>
      <c r="BJB235" s="26"/>
      <c r="BJC235" s="26"/>
      <c r="BJD235" s="26"/>
      <c r="BJE235" s="26"/>
      <c r="BJF235" s="26"/>
      <c r="BJG235" s="26"/>
      <c r="BJH235" s="26"/>
      <c r="BJI235" s="26"/>
      <c r="BJJ235" s="26"/>
      <c r="BJK235" s="26"/>
      <c r="BJL235" s="26"/>
      <c r="BJM235" s="26"/>
      <c r="BJN235" s="26"/>
      <c r="BJO235" s="26"/>
      <c r="BJP235" s="26"/>
      <c r="BJQ235" s="26"/>
      <c r="BJR235" s="26"/>
      <c r="BJS235" s="26"/>
      <c r="BJT235" s="26"/>
      <c r="BJU235" s="26"/>
      <c r="BJV235" s="26"/>
      <c r="BJW235" s="26"/>
      <c r="BJX235" s="26"/>
      <c r="BJY235" s="26"/>
      <c r="BJZ235" s="26"/>
      <c r="BKA235" s="26"/>
      <c r="BKB235" s="26"/>
      <c r="BKC235" s="26"/>
      <c r="BKD235" s="26"/>
      <c r="BKE235" s="26"/>
      <c r="BKF235" s="26"/>
      <c r="BKG235" s="26"/>
      <c r="BKH235" s="26"/>
      <c r="BKI235" s="26"/>
      <c r="BKJ235" s="26"/>
      <c r="BKK235" s="26"/>
      <c r="BKL235" s="26"/>
      <c r="BKM235" s="26"/>
      <c r="BKN235" s="26"/>
      <c r="BKO235" s="26"/>
      <c r="BKP235" s="26"/>
      <c r="BKQ235" s="26"/>
      <c r="BKR235" s="26"/>
      <c r="BKS235" s="26"/>
      <c r="BKT235" s="26"/>
      <c r="BKU235" s="26"/>
      <c r="BKV235" s="26"/>
      <c r="BKW235" s="26"/>
      <c r="BKX235" s="26"/>
      <c r="BKY235" s="26"/>
      <c r="BKZ235" s="26"/>
      <c r="BLA235" s="26"/>
      <c r="BLB235" s="26"/>
      <c r="BLC235" s="26"/>
      <c r="BLD235" s="26"/>
      <c r="BLE235" s="26"/>
      <c r="BLF235" s="26"/>
      <c r="BLG235" s="26"/>
      <c r="BLH235" s="26"/>
      <c r="BLI235" s="26"/>
      <c r="BLJ235" s="26"/>
      <c r="BLK235" s="26"/>
      <c r="BLL235" s="26"/>
      <c r="BLM235" s="26"/>
      <c r="BLN235" s="26"/>
      <c r="BLO235" s="26"/>
      <c r="BLP235" s="26"/>
      <c r="BLQ235" s="26"/>
      <c r="BLR235" s="26"/>
      <c r="BLS235" s="26"/>
      <c r="BLT235" s="26"/>
      <c r="BLU235" s="26"/>
      <c r="BLV235" s="26"/>
      <c r="BLW235" s="26"/>
      <c r="BLX235" s="26"/>
      <c r="BLY235" s="26"/>
      <c r="BLZ235" s="26"/>
      <c r="BMA235" s="26"/>
      <c r="BMB235" s="26"/>
      <c r="BMC235" s="26"/>
      <c r="BMD235" s="26"/>
      <c r="BME235" s="26"/>
      <c r="BMF235" s="26"/>
      <c r="BMG235" s="26"/>
      <c r="BMH235" s="26"/>
      <c r="BMI235" s="26"/>
      <c r="BMJ235" s="26"/>
      <c r="BMK235" s="26"/>
      <c r="BML235" s="26"/>
      <c r="BMM235" s="26"/>
      <c r="BMN235" s="26"/>
      <c r="BMO235" s="26"/>
      <c r="BMP235" s="26"/>
      <c r="BMQ235" s="26"/>
      <c r="BMR235" s="26"/>
      <c r="BMS235" s="26"/>
      <c r="BMT235" s="26"/>
      <c r="BMU235" s="26"/>
      <c r="BMV235" s="26"/>
      <c r="BMW235" s="26"/>
      <c r="BMX235" s="26"/>
      <c r="BMY235" s="26"/>
      <c r="BMZ235" s="26"/>
      <c r="BNA235" s="26"/>
      <c r="BNB235" s="26"/>
      <c r="BNC235" s="26"/>
      <c r="BND235" s="26"/>
      <c r="BNE235" s="26"/>
      <c r="BNF235" s="26"/>
      <c r="BNG235" s="26"/>
      <c r="BNH235" s="26"/>
      <c r="BNI235" s="26"/>
      <c r="BNJ235" s="26"/>
      <c r="BNK235" s="26"/>
      <c r="BNL235" s="26"/>
      <c r="BNM235" s="26"/>
      <c r="BNN235" s="26"/>
      <c r="BNO235" s="26"/>
      <c r="BNP235" s="26"/>
      <c r="BNQ235" s="26"/>
      <c r="BNR235" s="26"/>
      <c r="BNS235" s="26"/>
      <c r="BNT235" s="26"/>
      <c r="BNU235" s="26"/>
      <c r="BNV235" s="26"/>
      <c r="BNW235" s="26"/>
      <c r="BNX235" s="26"/>
      <c r="BNY235" s="26"/>
      <c r="BNZ235" s="26"/>
      <c r="BOA235" s="26"/>
      <c r="BOB235" s="26"/>
      <c r="BOC235" s="26"/>
      <c r="BOD235" s="26"/>
      <c r="BOE235" s="26"/>
      <c r="BOF235" s="26"/>
      <c r="BOG235" s="26"/>
      <c r="BOH235" s="26"/>
      <c r="BOI235" s="26"/>
      <c r="BOJ235" s="26"/>
      <c r="BOK235" s="26"/>
      <c r="BOL235" s="26"/>
      <c r="BOM235" s="26"/>
      <c r="BON235" s="26"/>
      <c r="BOO235" s="26"/>
      <c r="BOP235" s="26"/>
      <c r="BOQ235" s="26"/>
      <c r="BOR235" s="26"/>
      <c r="BOS235" s="26"/>
      <c r="BOT235" s="26"/>
      <c r="BOU235" s="26"/>
      <c r="BOV235" s="26"/>
      <c r="BOW235" s="26"/>
      <c r="BOX235" s="26"/>
      <c r="BOY235" s="26"/>
      <c r="BOZ235" s="26"/>
      <c r="BPA235" s="26"/>
      <c r="BPB235" s="26"/>
      <c r="BPC235" s="26"/>
      <c r="BPD235" s="26"/>
      <c r="BPE235" s="26"/>
      <c r="BPF235" s="26"/>
      <c r="BPG235" s="26"/>
      <c r="BPH235" s="26"/>
      <c r="BPI235" s="26"/>
      <c r="BPJ235" s="26"/>
      <c r="BPK235" s="26"/>
      <c r="BPL235" s="26"/>
      <c r="BPM235" s="26"/>
      <c r="BPN235" s="26"/>
      <c r="BPO235" s="26"/>
      <c r="BPP235" s="26"/>
      <c r="BPQ235" s="26"/>
      <c r="BPR235" s="26"/>
      <c r="BPS235" s="26"/>
      <c r="BPT235" s="26"/>
      <c r="BPU235" s="26"/>
      <c r="BPV235" s="26"/>
      <c r="BPW235" s="26"/>
      <c r="BPX235" s="26"/>
      <c r="BPY235" s="26"/>
      <c r="BPZ235" s="26"/>
      <c r="BQA235" s="26"/>
      <c r="BQB235" s="26"/>
      <c r="BQC235" s="26"/>
      <c r="BQD235" s="26"/>
      <c r="BQE235" s="26"/>
      <c r="BQF235" s="26"/>
      <c r="BQG235" s="26"/>
      <c r="BQH235" s="26"/>
      <c r="BQI235" s="26"/>
      <c r="BQJ235" s="26"/>
      <c r="BQK235" s="26"/>
      <c r="BQL235" s="26"/>
      <c r="BQM235" s="26"/>
      <c r="BQN235" s="26"/>
      <c r="BQO235" s="26"/>
      <c r="BQP235" s="26"/>
      <c r="BQQ235" s="26"/>
      <c r="BQR235" s="26"/>
      <c r="BQS235" s="26"/>
      <c r="BQT235" s="26"/>
      <c r="BQU235" s="26"/>
      <c r="BQV235" s="26"/>
      <c r="BQW235" s="26"/>
      <c r="BQX235" s="26"/>
      <c r="BQY235" s="26"/>
      <c r="BQZ235" s="26"/>
      <c r="BRA235" s="26"/>
      <c r="BRB235" s="26"/>
      <c r="BRC235" s="26"/>
      <c r="BRD235" s="26"/>
      <c r="BRE235" s="26"/>
      <c r="BRF235" s="26"/>
      <c r="BRG235" s="26"/>
      <c r="BRH235" s="26"/>
      <c r="BRI235" s="26"/>
      <c r="BRJ235" s="26"/>
      <c r="BRK235" s="26"/>
      <c r="BRL235" s="26"/>
      <c r="BRM235" s="26"/>
      <c r="BRN235" s="26"/>
      <c r="BRO235" s="26"/>
      <c r="BRP235" s="26"/>
      <c r="BRQ235" s="26"/>
      <c r="BRR235" s="26"/>
      <c r="BRS235" s="26"/>
      <c r="BRT235" s="26"/>
      <c r="BRU235" s="26"/>
      <c r="BRV235" s="26"/>
      <c r="BRW235" s="26"/>
      <c r="BRX235" s="26"/>
      <c r="BRY235" s="26"/>
      <c r="BRZ235" s="26"/>
      <c r="BSA235" s="26"/>
      <c r="BSB235" s="26"/>
      <c r="BSC235" s="26"/>
      <c r="BSD235" s="26"/>
      <c r="BSE235" s="26"/>
      <c r="BSF235" s="26"/>
      <c r="BSG235" s="26"/>
      <c r="BSH235" s="26"/>
      <c r="BSI235" s="26"/>
      <c r="BSJ235" s="26"/>
      <c r="BSK235" s="26"/>
      <c r="BSL235" s="26"/>
      <c r="BSM235" s="26"/>
      <c r="BSN235" s="26"/>
      <c r="BSO235" s="26"/>
      <c r="BSP235" s="26"/>
      <c r="BSQ235" s="26"/>
      <c r="BSR235" s="26"/>
      <c r="BSS235" s="26"/>
      <c r="BST235" s="26"/>
      <c r="BSU235" s="26"/>
      <c r="BSV235" s="26"/>
      <c r="BSW235" s="26"/>
      <c r="BSX235" s="26"/>
      <c r="BSY235" s="26"/>
      <c r="BSZ235" s="26"/>
      <c r="BTA235" s="26"/>
      <c r="BTB235" s="26"/>
      <c r="BTC235" s="26"/>
      <c r="BTD235" s="26"/>
      <c r="BTE235" s="26"/>
      <c r="BTF235" s="26"/>
      <c r="BTG235" s="26"/>
      <c r="BTH235" s="26"/>
      <c r="BTI235" s="26"/>
      <c r="BTJ235" s="26"/>
      <c r="BTK235" s="26"/>
      <c r="BTL235" s="26"/>
      <c r="BTM235" s="26"/>
      <c r="BTN235" s="26"/>
      <c r="BTO235" s="26"/>
      <c r="BTP235" s="26"/>
      <c r="BTQ235" s="26"/>
      <c r="BTR235" s="26"/>
      <c r="BTS235" s="26"/>
      <c r="BTT235" s="26"/>
      <c r="BTU235" s="26"/>
      <c r="BTV235" s="26"/>
      <c r="BTW235" s="26"/>
      <c r="BTX235" s="26"/>
      <c r="BTY235" s="26"/>
      <c r="BTZ235" s="26"/>
      <c r="BUA235" s="26"/>
      <c r="BUB235" s="26"/>
      <c r="BUC235" s="26"/>
      <c r="BUD235" s="26"/>
      <c r="BUE235" s="26"/>
      <c r="BUF235" s="26"/>
      <c r="BUG235" s="26"/>
      <c r="BUH235" s="26"/>
      <c r="BUI235" s="26"/>
      <c r="BUJ235" s="26"/>
      <c r="BUK235" s="26"/>
      <c r="BUL235" s="26"/>
      <c r="BUM235" s="26"/>
      <c r="BUN235" s="26"/>
      <c r="BUO235" s="26"/>
      <c r="BUP235" s="26"/>
      <c r="BUQ235" s="26"/>
      <c r="BUR235" s="26"/>
      <c r="BUS235" s="26"/>
      <c r="BUT235" s="26"/>
      <c r="BUU235" s="26"/>
      <c r="BUV235" s="26"/>
      <c r="BUW235" s="26"/>
      <c r="BUX235" s="26"/>
      <c r="BUY235" s="26"/>
      <c r="BUZ235" s="26"/>
      <c r="BVA235" s="26"/>
      <c r="BVB235" s="26"/>
      <c r="BVC235" s="26"/>
      <c r="BVD235" s="26"/>
      <c r="BVE235" s="26"/>
      <c r="BVF235" s="26"/>
      <c r="BVG235" s="26"/>
      <c r="BVH235" s="26"/>
      <c r="BVI235" s="26"/>
      <c r="BVJ235" s="26"/>
      <c r="BVK235" s="26"/>
      <c r="BVL235" s="26"/>
      <c r="BVM235" s="26"/>
      <c r="BVN235" s="26"/>
      <c r="BVO235" s="26"/>
      <c r="BVP235" s="26"/>
      <c r="BVQ235" s="26"/>
      <c r="BVR235" s="26"/>
      <c r="BVS235" s="26"/>
      <c r="BVT235" s="26"/>
      <c r="BVU235" s="26"/>
      <c r="BVV235" s="26"/>
      <c r="BVW235" s="26"/>
      <c r="BVX235" s="26"/>
      <c r="BVY235" s="26"/>
      <c r="BVZ235" s="26"/>
      <c r="BWA235" s="26"/>
      <c r="BWB235" s="26"/>
      <c r="BWC235" s="26"/>
      <c r="BWD235" s="26"/>
      <c r="BWE235" s="26"/>
      <c r="BWF235" s="26"/>
      <c r="BWG235" s="26"/>
      <c r="BWH235" s="26"/>
      <c r="BWI235" s="26"/>
      <c r="BWJ235" s="26"/>
      <c r="BWK235" s="26"/>
      <c r="BWL235" s="26"/>
      <c r="BWM235" s="26"/>
      <c r="BWN235" s="26"/>
      <c r="BWO235" s="26"/>
      <c r="BWP235" s="26"/>
      <c r="BWQ235" s="26"/>
      <c r="BWR235" s="26"/>
      <c r="BWS235" s="26"/>
      <c r="BWT235" s="26"/>
      <c r="BWU235" s="26"/>
      <c r="BWV235" s="26"/>
      <c r="BWW235" s="26"/>
      <c r="BWX235" s="26"/>
      <c r="BWY235" s="26"/>
      <c r="BWZ235" s="26"/>
      <c r="BXA235" s="26"/>
      <c r="BXB235" s="26"/>
      <c r="BXC235" s="26"/>
      <c r="BXD235" s="26"/>
      <c r="BXE235" s="26"/>
      <c r="BXF235" s="26"/>
      <c r="BXG235" s="26"/>
      <c r="BXH235" s="26"/>
      <c r="BXI235" s="26"/>
      <c r="BXJ235" s="26"/>
      <c r="BXK235" s="26"/>
      <c r="BXL235" s="26"/>
      <c r="BXM235" s="26"/>
      <c r="BXN235" s="26"/>
      <c r="BXO235" s="26"/>
      <c r="BXP235" s="26"/>
      <c r="BXQ235" s="26"/>
      <c r="BXR235" s="26"/>
      <c r="BXS235" s="26"/>
      <c r="BXT235" s="26"/>
      <c r="BXU235" s="26"/>
      <c r="BXV235" s="26"/>
      <c r="BXW235" s="26"/>
      <c r="BXX235" s="26"/>
      <c r="BXY235" s="26"/>
      <c r="BXZ235" s="26"/>
      <c r="BYA235" s="26"/>
      <c r="BYB235" s="26"/>
      <c r="BYC235" s="26"/>
      <c r="BYD235" s="26"/>
      <c r="BYE235" s="26"/>
      <c r="BYF235" s="26"/>
      <c r="BYG235" s="26"/>
      <c r="BYH235" s="26"/>
      <c r="BYI235" s="26"/>
      <c r="BYJ235" s="26"/>
      <c r="BYK235" s="26"/>
      <c r="BYL235" s="26"/>
      <c r="BYM235" s="26"/>
      <c r="BYN235" s="26"/>
      <c r="BYO235" s="26"/>
      <c r="BYP235" s="26"/>
      <c r="BYQ235" s="26"/>
      <c r="BYR235" s="26"/>
      <c r="BYS235" s="26"/>
      <c r="BYT235" s="26"/>
      <c r="BYU235" s="26"/>
      <c r="BYV235" s="26"/>
      <c r="BYW235" s="26"/>
      <c r="BYX235" s="26"/>
      <c r="BYY235" s="26"/>
      <c r="BYZ235" s="26"/>
      <c r="BZA235" s="26"/>
      <c r="BZB235" s="26"/>
      <c r="BZC235" s="26"/>
      <c r="BZD235" s="26"/>
      <c r="BZE235" s="26"/>
      <c r="BZF235" s="26"/>
      <c r="BZG235" s="26"/>
      <c r="BZH235" s="26"/>
      <c r="BZI235" s="26"/>
      <c r="BZJ235" s="26"/>
      <c r="BZK235" s="26"/>
      <c r="BZL235" s="26"/>
      <c r="BZM235" s="26"/>
      <c r="BZN235" s="26"/>
      <c r="BZO235" s="26"/>
      <c r="BZP235" s="26"/>
      <c r="BZQ235" s="26"/>
      <c r="BZR235" s="26"/>
      <c r="BZS235" s="26"/>
      <c r="BZT235" s="26"/>
      <c r="BZU235" s="26"/>
      <c r="BZV235" s="26"/>
      <c r="BZW235" s="26"/>
      <c r="BZX235" s="26"/>
      <c r="BZY235" s="26"/>
      <c r="BZZ235" s="26"/>
      <c r="CAA235" s="26"/>
      <c r="CAB235" s="26"/>
      <c r="CAC235" s="26"/>
      <c r="CAD235" s="26"/>
      <c r="CAE235" s="26"/>
      <c r="CAF235" s="26"/>
      <c r="CAG235" s="26"/>
      <c r="CAH235" s="26"/>
      <c r="CAI235" s="26"/>
      <c r="CAJ235" s="26"/>
      <c r="CAK235" s="26"/>
      <c r="CAL235" s="26"/>
      <c r="CAM235" s="26"/>
      <c r="CAN235" s="26"/>
      <c r="CAO235" s="26"/>
      <c r="CAP235" s="26"/>
      <c r="CAQ235" s="26"/>
      <c r="CAR235" s="26"/>
      <c r="CAS235" s="26"/>
      <c r="CAT235" s="26"/>
      <c r="CAU235" s="26"/>
      <c r="CAV235" s="26"/>
      <c r="CAW235" s="26"/>
      <c r="CAX235" s="26"/>
      <c r="CAY235" s="26"/>
      <c r="CAZ235" s="26"/>
      <c r="CBA235" s="26"/>
      <c r="CBB235" s="26"/>
      <c r="CBC235" s="26"/>
      <c r="CBD235" s="26"/>
      <c r="CBE235" s="26"/>
      <c r="CBF235" s="26"/>
      <c r="CBG235" s="26"/>
      <c r="CBH235" s="26"/>
      <c r="CBI235" s="26"/>
    </row>
    <row r="236" spans="1:2089" ht="14" customHeight="1">
      <c r="A236" s="27">
        <v>235</v>
      </c>
      <c r="B236" s="27" t="s">
        <v>391</v>
      </c>
      <c r="C236" s="27">
        <v>2012</v>
      </c>
      <c r="D236" s="26" t="s">
        <v>27</v>
      </c>
      <c r="E236" s="26" t="s">
        <v>563</v>
      </c>
      <c r="F236" s="82" t="s">
        <v>175</v>
      </c>
      <c r="G236" s="2" t="s">
        <v>84</v>
      </c>
      <c r="H236" s="2" t="s">
        <v>24</v>
      </c>
      <c r="I236" s="2" t="s">
        <v>548</v>
      </c>
      <c r="J236" s="2" t="s">
        <v>604</v>
      </c>
      <c r="K236" s="2" t="s">
        <v>548</v>
      </c>
      <c r="L236" s="2" t="s">
        <v>548</v>
      </c>
      <c r="M236" s="2" t="s">
        <v>175</v>
      </c>
      <c r="N236" s="2" t="s">
        <v>210</v>
      </c>
      <c r="O236" s="2" t="s">
        <v>43</v>
      </c>
      <c r="P236" s="2" t="s">
        <v>210</v>
      </c>
      <c r="Q236" s="2" t="s">
        <v>42</v>
      </c>
      <c r="R236" s="102" t="s">
        <v>614</v>
      </c>
      <c r="S236" s="88">
        <v>0.45</v>
      </c>
      <c r="T236" s="26">
        <v>33</v>
      </c>
      <c r="U236" s="82">
        <v>1</v>
      </c>
      <c r="V236" s="26">
        <v>0</v>
      </c>
      <c r="W236" s="26">
        <v>1</v>
      </c>
      <c r="X236" s="26">
        <v>1</v>
      </c>
      <c r="Y236" s="26">
        <v>1</v>
      </c>
      <c r="Z236" s="26">
        <v>0</v>
      </c>
      <c r="AA236" s="26">
        <v>0</v>
      </c>
      <c r="AB236" s="26">
        <v>0</v>
      </c>
      <c r="AC236" s="26" t="s">
        <v>70</v>
      </c>
      <c r="AD236" s="26" t="s">
        <v>70</v>
      </c>
      <c r="AE236" s="26" t="s">
        <v>70</v>
      </c>
      <c r="AF236" s="26" t="s">
        <v>70</v>
      </c>
      <c r="AG236" s="26" t="s">
        <v>70</v>
      </c>
      <c r="AH236" s="26" t="s">
        <v>70</v>
      </c>
      <c r="AI236" s="26" t="s">
        <v>70</v>
      </c>
      <c r="AJ236" s="26" t="s">
        <v>70</v>
      </c>
      <c r="AK236" s="26" t="s">
        <v>70</v>
      </c>
      <c r="AL236" s="26" t="s">
        <v>70</v>
      </c>
      <c r="AM236" s="35" t="s">
        <v>175</v>
      </c>
      <c r="AN236" s="32" t="s">
        <v>9</v>
      </c>
      <c r="AO236" s="35" t="s">
        <v>175</v>
      </c>
      <c r="AP236" s="35" t="s">
        <v>548</v>
      </c>
      <c r="AQ236" s="35" t="s">
        <v>548</v>
      </c>
      <c r="AR236" s="35" t="s">
        <v>548</v>
      </c>
      <c r="AS236" s="26" t="s">
        <v>175</v>
      </c>
      <c r="AT236" s="26" t="s">
        <v>70</v>
      </c>
      <c r="AU236" s="26" t="s">
        <v>70</v>
      </c>
      <c r="AV236" s="26">
        <v>7</v>
      </c>
    </row>
    <row r="237" spans="1:2089" ht="14" customHeight="1">
      <c r="A237" s="27">
        <v>236</v>
      </c>
      <c r="B237" s="27" t="s">
        <v>392</v>
      </c>
      <c r="C237" s="27">
        <v>1992</v>
      </c>
      <c r="D237" s="26" t="s">
        <v>135</v>
      </c>
      <c r="E237" s="26" t="s">
        <v>565</v>
      </c>
      <c r="F237" s="77" t="s">
        <v>175</v>
      </c>
      <c r="G237" s="2" t="s">
        <v>108</v>
      </c>
      <c r="H237" s="2" t="s">
        <v>24</v>
      </c>
      <c r="I237" s="2" t="s">
        <v>548</v>
      </c>
      <c r="J237" s="2" t="s">
        <v>605</v>
      </c>
      <c r="K237" s="2" t="s">
        <v>548</v>
      </c>
      <c r="L237" s="2" t="s">
        <v>548</v>
      </c>
      <c r="M237" s="2" t="s">
        <v>175</v>
      </c>
      <c r="N237" s="2" t="s">
        <v>70</v>
      </c>
      <c r="O237" s="2" t="s">
        <v>209</v>
      </c>
      <c r="P237" s="2" t="s">
        <v>612</v>
      </c>
      <c r="Q237" s="2" t="s">
        <v>42</v>
      </c>
      <c r="R237" s="79" t="s">
        <v>613</v>
      </c>
      <c r="S237" s="90">
        <v>0.44</v>
      </c>
      <c r="T237" s="26">
        <f>74+78</f>
        <v>152</v>
      </c>
      <c r="U237" s="77">
        <v>1</v>
      </c>
      <c r="V237" s="26">
        <v>0</v>
      </c>
      <c r="W237" s="26">
        <v>1</v>
      </c>
      <c r="X237" s="26">
        <v>0</v>
      </c>
      <c r="Y237" s="26">
        <v>0</v>
      </c>
      <c r="Z237" s="26">
        <v>0</v>
      </c>
      <c r="AA237" s="26">
        <v>0</v>
      </c>
      <c r="AB237" s="26">
        <v>0</v>
      </c>
      <c r="AC237" s="26" t="s">
        <v>70</v>
      </c>
      <c r="AD237" s="26" t="s">
        <v>70</v>
      </c>
      <c r="AE237" s="26" t="s">
        <v>70</v>
      </c>
      <c r="AF237" s="26" t="s">
        <v>70</v>
      </c>
      <c r="AG237" s="26" t="s">
        <v>70</v>
      </c>
      <c r="AH237" s="26" t="s">
        <v>70</v>
      </c>
      <c r="AI237" s="26" t="s">
        <v>70</v>
      </c>
      <c r="AJ237" s="26" t="s">
        <v>70</v>
      </c>
      <c r="AK237" s="26" t="s">
        <v>70</v>
      </c>
      <c r="AL237" s="26" t="s">
        <v>70</v>
      </c>
      <c r="AM237" s="26" t="s">
        <v>548</v>
      </c>
      <c r="AN237" s="32" t="s">
        <v>274</v>
      </c>
      <c r="AO237" s="35" t="s">
        <v>548</v>
      </c>
      <c r="AP237" s="35" t="s">
        <v>548</v>
      </c>
      <c r="AQ237" s="35" t="s">
        <v>548</v>
      </c>
      <c r="AR237" s="35" t="s">
        <v>548</v>
      </c>
      <c r="AS237" s="26" t="s">
        <v>175</v>
      </c>
      <c r="AT237" s="26" t="s">
        <v>70</v>
      </c>
      <c r="AU237" s="26" t="s">
        <v>70</v>
      </c>
      <c r="AV237" s="26">
        <v>4</v>
      </c>
    </row>
    <row r="238" spans="1:2089" ht="14" customHeight="1">
      <c r="A238" s="27">
        <v>237</v>
      </c>
      <c r="B238" s="27" t="s">
        <v>393</v>
      </c>
      <c r="C238" s="27">
        <v>2009</v>
      </c>
      <c r="D238" s="26" t="s">
        <v>123</v>
      </c>
      <c r="E238" s="26" t="s">
        <v>565</v>
      </c>
      <c r="F238" s="77" t="s">
        <v>175</v>
      </c>
      <c r="G238" s="2" t="s">
        <v>147</v>
      </c>
      <c r="H238" s="2" t="s">
        <v>30</v>
      </c>
      <c r="I238" s="2" t="s">
        <v>175</v>
      </c>
      <c r="J238" s="2" t="s">
        <v>604</v>
      </c>
      <c r="K238" s="2" t="s">
        <v>548</v>
      </c>
      <c r="L238" s="2" t="s">
        <v>548</v>
      </c>
      <c r="M238" s="2" t="s">
        <v>175</v>
      </c>
      <c r="N238" s="2" t="s">
        <v>48</v>
      </c>
      <c r="O238" s="2" t="s">
        <v>209</v>
      </c>
      <c r="P238" s="2" t="s">
        <v>48</v>
      </c>
      <c r="Q238" s="2" t="s">
        <v>42</v>
      </c>
      <c r="R238" s="102" t="s">
        <v>614</v>
      </c>
      <c r="S238" s="90">
        <v>0.56000000000000005</v>
      </c>
      <c r="T238" s="26">
        <v>100</v>
      </c>
      <c r="U238" s="77">
        <v>1</v>
      </c>
      <c r="V238" s="26">
        <v>0</v>
      </c>
      <c r="W238" s="26">
        <v>0</v>
      </c>
      <c r="X238" s="26">
        <v>0</v>
      </c>
      <c r="Y238" s="26">
        <v>1</v>
      </c>
      <c r="Z238" s="26">
        <v>0</v>
      </c>
      <c r="AA238" s="26">
        <v>0</v>
      </c>
      <c r="AB238" s="26">
        <v>0</v>
      </c>
      <c r="AC238" s="26" t="s">
        <v>70</v>
      </c>
      <c r="AD238" s="26" t="s">
        <v>70</v>
      </c>
      <c r="AE238" s="26" t="s">
        <v>70</v>
      </c>
      <c r="AF238" s="26" t="s">
        <v>70</v>
      </c>
      <c r="AG238" s="26" t="s">
        <v>70</v>
      </c>
      <c r="AH238" s="26" t="s">
        <v>70</v>
      </c>
      <c r="AI238" s="26" t="s">
        <v>70</v>
      </c>
      <c r="AJ238" s="26" t="s">
        <v>70</v>
      </c>
      <c r="AK238" s="26" t="s">
        <v>70</v>
      </c>
      <c r="AL238" s="26" t="s">
        <v>70</v>
      </c>
      <c r="AM238" s="35" t="s">
        <v>175</v>
      </c>
      <c r="AN238" s="26" t="s">
        <v>615</v>
      </c>
      <c r="AO238" s="35" t="s">
        <v>548</v>
      </c>
      <c r="AP238" s="35" t="s">
        <v>548</v>
      </c>
      <c r="AQ238" s="35" t="s">
        <v>548</v>
      </c>
      <c r="AR238" s="35" t="s">
        <v>548</v>
      </c>
      <c r="AS238" s="26" t="s">
        <v>175</v>
      </c>
      <c r="AT238" s="26" t="s">
        <v>70</v>
      </c>
      <c r="AU238" s="26" t="s">
        <v>70</v>
      </c>
      <c r="AV238" s="26">
        <v>6</v>
      </c>
    </row>
    <row r="239" spans="1:2089" ht="14" customHeight="1">
      <c r="A239" s="27">
        <v>238</v>
      </c>
      <c r="B239" s="27" t="s">
        <v>394</v>
      </c>
      <c r="C239" s="27">
        <v>1999</v>
      </c>
      <c r="D239" s="26" t="s">
        <v>138</v>
      </c>
      <c r="E239" s="26" t="s">
        <v>566</v>
      </c>
      <c r="F239" s="77" t="s">
        <v>175</v>
      </c>
      <c r="G239" s="2" t="s">
        <v>105</v>
      </c>
      <c r="H239" s="2" t="s">
        <v>24</v>
      </c>
      <c r="I239" s="2" t="s">
        <v>548</v>
      </c>
      <c r="J239" s="2" t="s">
        <v>604</v>
      </c>
      <c r="K239" s="2" t="s">
        <v>175</v>
      </c>
      <c r="L239" s="2" t="s">
        <v>175</v>
      </c>
      <c r="M239" s="2" t="s">
        <v>175</v>
      </c>
      <c r="N239" s="2" t="s">
        <v>50</v>
      </c>
      <c r="O239" s="2" t="s">
        <v>43</v>
      </c>
      <c r="P239" s="2" t="s">
        <v>50</v>
      </c>
      <c r="Q239" s="2" t="s">
        <v>42</v>
      </c>
      <c r="R239" s="102" t="s">
        <v>614</v>
      </c>
      <c r="S239" s="90">
        <f>2/T239</f>
        <v>0.16666666666666666</v>
      </c>
      <c r="T239" s="26">
        <v>12</v>
      </c>
      <c r="U239" s="77">
        <v>1</v>
      </c>
      <c r="V239" s="26">
        <v>0</v>
      </c>
      <c r="W239" s="26">
        <v>1</v>
      </c>
      <c r="X239" s="26">
        <v>1</v>
      </c>
      <c r="Y239" s="26">
        <v>1</v>
      </c>
      <c r="Z239" s="26">
        <v>0</v>
      </c>
      <c r="AA239" s="26">
        <v>0</v>
      </c>
      <c r="AB239" s="26">
        <v>0</v>
      </c>
      <c r="AC239" s="33">
        <f>10/12</f>
        <v>0.83333333333333337</v>
      </c>
      <c r="AD239" s="33">
        <f>1/12</f>
        <v>8.3333333333333329E-2</v>
      </c>
      <c r="AE239" s="33">
        <f>1/12</f>
        <v>8.3333333333333329E-2</v>
      </c>
      <c r="AF239" s="33" t="s">
        <v>70</v>
      </c>
      <c r="AG239" s="26" t="s">
        <v>70</v>
      </c>
      <c r="AH239" s="26" t="s">
        <v>70</v>
      </c>
      <c r="AI239" s="26" t="s">
        <v>70</v>
      </c>
      <c r="AJ239" s="26" t="s">
        <v>70</v>
      </c>
      <c r="AK239" s="26" t="s">
        <v>70</v>
      </c>
      <c r="AL239" s="26" t="s">
        <v>70</v>
      </c>
      <c r="AM239" s="35" t="s">
        <v>175</v>
      </c>
      <c r="AN239" s="32" t="s">
        <v>9</v>
      </c>
      <c r="AO239" s="35" t="s">
        <v>548</v>
      </c>
      <c r="AP239" s="35" t="s">
        <v>548</v>
      </c>
      <c r="AQ239" s="35" t="s">
        <v>548</v>
      </c>
      <c r="AR239" s="35" t="s">
        <v>548</v>
      </c>
      <c r="AS239" s="26" t="s">
        <v>175</v>
      </c>
      <c r="AT239" s="26" t="s">
        <v>70</v>
      </c>
      <c r="AU239" s="26" t="s">
        <v>70</v>
      </c>
      <c r="AV239" s="26">
        <v>9</v>
      </c>
    </row>
    <row r="240" spans="1:2089" ht="14" customHeight="1">
      <c r="A240" s="27">
        <v>239</v>
      </c>
      <c r="B240" s="27" t="s">
        <v>394</v>
      </c>
      <c r="C240" s="27">
        <v>1999</v>
      </c>
      <c r="D240" s="26" t="s">
        <v>138</v>
      </c>
      <c r="E240" s="26" t="s">
        <v>566</v>
      </c>
      <c r="F240" s="77" t="s">
        <v>175</v>
      </c>
      <c r="G240" s="2" t="s">
        <v>105</v>
      </c>
      <c r="H240" s="2" t="s">
        <v>24</v>
      </c>
      <c r="I240" s="2" t="s">
        <v>548</v>
      </c>
      <c r="J240" s="2" t="s">
        <v>604</v>
      </c>
      <c r="K240" s="2" t="s">
        <v>175</v>
      </c>
      <c r="L240" s="2" t="s">
        <v>175</v>
      </c>
      <c r="M240" s="2" t="s">
        <v>175</v>
      </c>
      <c r="N240" s="2" t="s">
        <v>139</v>
      </c>
      <c r="O240" s="2" t="s">
        <v>60</v>
      </c>
      <c r="P240" s="2" t="s">
        <v>139</v>
      </c>
      <c r="Q240" s="2" t="s">
        <v>42</v>
      </c>
      <c r="R240" s="102" t="s">
        <v>614</v>
      </c>
      <c r="S240" s="90">
        <f>31/T240</f>
        <v>0.83783783783783783</v>
      </c>
      <c r="T240" s="26">
        <v>37</v>
      </c>
      <c r="U240" s="77">
        <v>1</v>
      </c>
      <c r="V240" s="26">
        <v>0</v>
      </c>
      <c r="W240" s="26">
        <v>1</v>
      </c>
      <c r="X240" s="26">
        <v>1</v>
      </c>
      <c r="Y240" s="26">
        <v>1</v>
      </c>
      <c r="Z240" s="26">
        <v>0</v>
      </c>
      <c r="AA240" s="26">
        <v>0</v>
      </c>
      <c r="AB240" s="26">
        <v>0</v>
      </c>
      <c r="AC240" s="33">
        <f>6/37</f>
        <v>0.16216216216216217</v>
      </c>
      <c r="AD240" s="33">
        <f>8/37</f>
        <v>0.21621621621621623</v>
      </c>
      <c r="AE240" s="33">
        <f>23/37</f>
        <v>0.6216216216216216</v>
      </c>
      <c r="AF240" s="33" t="s">
        <v>70</v>
      </c>
      <c r="AG240" s="26" t="s">
        <v>70</v>
      </c>
      <c r="AH240" s="26" t="s">
        <v>70</v>
      </c>
      <c r="AI240" s="26" t="s">
        <v>70</v>
      </c>
      <c r="AJ240" s="26" t="s">
        <v>70</v>
      </c>
      <c r="AK240" s="26" t="s">
        <v>70</v>
      </c>
      <c r="AL240" s="26" t="s">
        <v>70</v>
      </c>
      <c r="AM240" s="35" t="s">
        <v>175</v>
      </c>
      <c r="AN240" s="32" t="s">
        <v>9</v>
      </c>
      <c r="AO240" s="35" t="s">
        <v>548</v>
      </c>
      <c r="AP240" s="35" t="s">
        <v>548</v>
      </c>
      <c r="AQ240" s="35" t="s">
        <v>548</v>
      </c>
      <c r="AR240" s="35" t="s">
        <v>548</v>
      </c>
      <c r="AS240" s="26" t="s">
        <v>175</v>
      </c>
      <c r="AT240" s="26" t="s">
        <v>70</v>
      </c>
      <c r="AU240" s="26" t="s">
        <v>70</v>
      </c>
      <c r="AV240" s="26">
        <v>9</v>
      </c>
    </row>
    <row r="241" spans="1:2089" ht="14" customHeight="1">
      <c r="A241" s="27">
        <v>240</v>
      </c>
      <c r="B241" s="27" t="s">
        <v>394</v>
      </c>
      <c r="C241" s="27">
        <v>1999</v>
      </c>
      <c r="D241" s="26" t="s">
        <v>138</v>
      </c>
      <c r="E241" s="26" t="s">
        <v>566</v>
      </c>
      <c r="F241" s="77" t="s">
        <v>175</v>
      </c>
      <c r="G241" s="2" t="s">
        <v>105</v>
      </c>
      <c r="H241" s="2" t="s">
        <v>24</v>
      </c>
      <c r="I241" s="2" t="s">
        <v>548</v>
      </c>
      <c r="J241" s="2" t="s">
        <v>604</v>
      </c>
      <c r="K241" s="2" t="s">
        <v>175</v>
      </c>
      <c r="L241" s="2" t="s">
        <v>175</v>
      </c>
      <c r="M241" s="2" t="s">
        <v>175</v>
      </c>
      <c r="N241" s="2" t="s">
        <v>139</v>
      </c>
      <c r="O241" s="2" t="s">
        <v>60</v>
      </c>
      <c r="P241" s="2" t="s">
        <v>139</v>
      </c>
      <c r="Q241" s="2" t="s">
        <v>42</v>
      </c>
      <c r="R241" s="102" t="s">
        <v>614</v>
      </c>
      <c r="S241" s="90">
        <f>22/T241</f>
        <v>0.95652173913043481</v>
      </c>
      <c r="T241" s="26">
        <v>23</v>
      </c>
      <c r="U241" s="77">
        <v>1</v>
      </c>
      <c r="V241" s="26">
        <v>0</v>
      </c>
      <c r="W241" s="26">
        <v>1</v>
      </c>
      <c r="X241" s="26">
        <v>1</v>
      </c>
      <c r="Y241" s="26">
        <v>1</v>
      </c>
      <c r="Z241" s="26">
        <v>0</v>
      </c>
      <c r="AA241" s="26">
        <v>0</v>
      </c>
      <c r="AB241" s="26">
        <v>0</v>
      </c>
      <c r="AC241" s="33">
        <f>1/23</f>
        <v>4.3478260869565216E-2</v>
      </c>
      <c r="AD241" s="33">
        <f>7/23</f>
        <v>0.30434782608695654</v>
      </c>
      <c r="AE241" s="33">
        <f>15/23</f>
        <v>0.65217391304347827</v>
      </c>
      <c r="AF241" s="33" t="s">
        <v>70</v>
      </c>
      <c r="AG241" s="26" t="s">
        <v>70</v>
      </c>
      <c r="AH241" s="26" t="s">
        <v>70</v>
      </c>
      <c r="AI241" s="26" t="s">
        <v>70</v>
      </c>
      <c r="AJ241" s="26" t="s">
        <v>70</v>
      </c>
      <c r="AK241" s="26" t="s">
        <v>70</v>
      </c>
      <c r="AL241" s="26" t="s">
        <v>70</v>
      </c>
      <c r="AM241" s="35" t="s">
        <v>175</v>
      </c>
      <c r="AN241" s="32" t="s">
        <v>9</v>
      </c>
      <c r="AO241" s="35" t="s">
        <v>548</v>
      </c>
      <c r="AP241" s="35" t="s">
        <v>548</v>
      </c>
      <c r="AQ241" s="35" t="s">
        <v>548</v>
      </c>
      <c r="AR241" s="35" t="s">
        <v>548</v>
      </c>
      <c r="AS241" s="26" t="s">
        <v>175</v>
      </c>
      <c r="AT241" s="26" t="s">
        <v>70</v>
      </c>
      <c r="AU241" s="26" t="s">
        <v>70</v>
      </c>
      <c r="AV241" s="26">
        <v>9</v>
      </c>
    </row>
    <row r="242" spans="1:2089" ht="14" customHeight="1">
      <c r="A242" s="27">
        <v>241</v>
      </c>
      <c r="B242" s="27" t="s">
        <v>395</v>
      </c>
      <c r="C242" s="27">
        <v>2008</v>
      </c>
      <c r="D242" s="26" t="s">
        <v>134</v>
      </c>
      <c r="E242" s="26" t="s">
        <v>563</v>
      </c>
      <c r="F242" s="77" t="s">
        <v>548</v>
      </c>
      <c r="G242" s="2" t="s">
        <v>105</v>
      </c>
      <c r="H242" s="2" t="s">
        <v>24</v>
      </c>
      <c r="I242" s="2" t="s">
        <v>175</v>
      </c>
      <c r="J242" s="2" t="s">
        <v>189</v>
      </c>
      <c r="K242" s="2" t="s">
        <v>175</v>
      </c>
      <c r="L242" s="2" t="s">
        <v>175</v>
      </c>
      <c r="M242" s="2" t="s">
        <v>175</v>
      </c>
      <c r="N242" s="2" t="s">
        <v>70</v>
      </c>
      <c r="O242" s="2" t="s">
        <v>209</v>
      </c>
      <c r="P242" s="2" t="s">
        <v>611</v>
      </c>
      <c r="Q242" s="2" t="s">
        <v>42</v>
      </c>
      <c r="R242" s="102" t="s">
        <v>614</v>
      </c>
      <c r="S242" s="2">
        <f>1-0.14</f>
        <v>0.86</v>
      </c>
      <c r="T242" s="26">
        <f>659+668</f>
        <v>1327</v>
      </c>
      <c r="U242" s="77">
        <v>0</v>
      </c>
      <c r="V242" s="26">
        <v>1</v>
      </c>
      <c r="W242" s="26">
        <v>1</v>
      </c>
      <c r="X242" s="26">
        <v>1</v>
      </c>
      <c r="Y242" s="26">
        <v>1</v>
      </c>
      <c r="Z242" s="26">
        <v>0</v>
      </c>
      <c r="AA242" s="26">
        <v>0</v>
      </c>
      <c r="AB242" s="26">
        <v>1</v>
      </c>
      <c r="AC242" s="26">
        <v>0.14000000000000001</v>
      </c>
      <c r="AD242" s="26" t="s">
        <v>70</v>
      </c>
      <c r="AE242" s="26" t="s">
        <v>70</v>
      </c>
      <c r="AF242" s="26">
        <v>0.26</v>
      </c>
      <c r="AG242" s="33" t="s">
        <v>70</v>
      </c>
      <c r="AH242" s="33">
        <f>EXP(3.23)</f>
        <v>25.279656970962893</v>
      </c>
      <c r="AI242" s="33" t="s">
        <v>70</v>
      </c>
      <c r="AJ242" s="26" t="s">
        <v>70</v>
      </c>
      <c r="AK242" s="33" t="s">
        <v>70</v>
      </c>
      <c r="AL242" s="33" t="s">
        <v>70</v>
      </c>
      <c r="AM242" s="35" t="s">
        <v>175</v>
      </c>
      <c r="AN242" s="26" t="s">
        <v>274</v>
      </c>
      <c r="AO242" s="35" t="s">
        <v>175</v>
      </c>
      <c r="AP242" s="35" t="s">
        <v>548</v>
      </c>
      <c r="AQ242" s="35" t="s">
        <v>548</v>
      </c>
      <c r="AR242" s="35" t="s">
        <v>548</v>
      </c>
      <c r="AS242" s="26" t="s">
        <v>548</v>
      </c>
      <c r="AT242" s="26" t="s">
        <v>70</v>
      </c>
      <c r="AU242" s="26" t="s">
        <v>70</v>
      </c>
      <c r="AV242" s="26">
        <v>10</v>
      </c>
    </row>
    <row r="243" spans="1:2089" ht="14" customHeight="1">
      <c r="A243" s="27">
        <v>242</v>
      </c>
      <c r="B243" s="27" t="s">
        <v>395</v>
      </c>
      <c r="C243" s="27">
        <v>2011</v>
      </c>
      <c r="D243" s="26" t="s">
        <v>134</v>
      </c>
      <c r="E243" s="26" t="s">
        <v>563</v>
      </c>
      <c r="F243" s="77" t="s">
        <v>548</v>
      </c>
      <c r="G243" s="2" t="s">
        <v>105</v>
      </c>
      <c r="H243" s="2" t="s">
        <v>24</v>
      </c>
      <c r="I243" s="2" t="s">
        <v>175</v>
      </c>
      <c r="J243" s="2" t="s">
        <v>189</v>
      </c>
      <c r="K243" s="2" t="s">
        <v>175</v>
      </c>
      <c r="L243" s="2" t="s">
        <v>175</v>
      </c>
      <c r="M243" s="2" t="s">
        <v>175</v>
      </c>
      <c r="N243" s="2" t="s">
        <v>50</v>
      </c>
      <c r="O243" s="2" t="s">
        <v>43</v>
      </c>
      <c r="P243" s="2" t="s">
        <v>50</v>
      </c>
      <c r="Q243" s="2" t="s">
        <v>42</v>
      </c>
      <c r="R243" s="102" t="s">
        <v>614</v>
      </c>
      <c r="S243" s="2" t="s">
        <v>70</v>
      </c>
      <c r="T243" s="26">
        <v>98</v>
      </c>
      <c r="U243" s="77">
        <v>0</v>
      </c>
      <c r="V243" s="26">
        <v>1</v>
      </c>
      <c r="W243" s="26">
        <v>1</v>
      </c>
      <c r="X243" s="26">
        <v>0</v>
      </c>
      <c r="Y243" s="26">
        <v>0</v>
      </c>
      <c r="Z243" s="26">
        <v>0</v>
      </c>
      <c r="AA243" s="26">
        <v>0</v>
      </c>
      <c r="AB243" s="26">
        <v>0</v>
      </c>
      <c r="AC243" s="26" t="s">
        <v>70</v>
      </c>
      <c r="AD243" s="26" t="s">
        <v>70</v>
      </c>
      <c r="AE243" s="26" t="s">
        <v>70</v>
      </c>
      <c r="AF243" s="26" t="s">
        <v>70</v>
      </c>
      <c r="AG243" s="26" t="s">
        <v>70</v>
      </c>
      <c r="AH243" s="33">
        <f>EXP(2.3)</f>
        <v>9.9741824548147182</v>
      </c>
      <c r="AI243" s="26" t="s">
        <v>70</v>
      </c>
      <c r="AJ243" s="26" t="s">
        <v>70</v>
      </c>
      <c r="AK243" s="26" t="s">
        <v>70</v>
      </c>
      <c r="AL243" s="26" t="s">
        <v>70</v>
      </c>
      <c r="AM243" s="35" t="s">
        <v>175</v>
      </c>
      <c r="AN243" s="26" t="s">
        <v>274</v>
      </c>
      <c r="AO243" s="35" t="s">
        <v>175</v>
      </c>
      <c r="AP243" s="35" t="s">
        <v>548</v>
      </c>
      <c r="AQ243" s="35" t="s">
        <v>548</v>
      </c>
      <c r="AR243" s="35" t="s">
        <v>548</v>
      </c>
      <c r="AS243" s="26" t="s">
        <v>548</v>
      </c>
      <c r="AT243" s="26" t="s">
        <v>70</v>
      </c>
      <c r="AU243" s="26" t="s">
        <v>70</v>
      </c>
      <c r="AV243" s="26">
        <v>7</v>
      </c>
    </row>
    <row r="244" spans="1:2089" ht="14" customHeight="1">
      <c r="A244" s="27">
        <v>243</v>
      </c>
      <c r="B244" s="27" t="s">
        <v>395</v>
      </c>
      <c r="C244" s="27">
        <v>2011</v>
      </c>
      <c r="D244" s="26" t="s">
        <v>134</v>
      </c>
      <c r="E244" s="26" t="s">
        <v>563</v>
      </c>
      <c r="F244" s="77" t="s">
        <v>548</v>
      </c>
      <c r="G244" s="2" t="s">
        <v>105</v>
      </c>
      <c r="H244" s="2" t="s">
        <v>24</v>
      </c>
      <c r="I244" s="2" t="s">
        <v>175</v>
      </c>
      <c r="J244" s="2" t="s">
        <v>189</v>
      </c>
      <c r="K244" s="2" t="s">
        <v>175</v>
      </c>
      <c r="L244" s="2" t="s">
        <v>175</v>
      </c>
      <c r="M244" s="2" t="s">
        <v>175</v>
      </c>
      <c r="N244" s="2" t="s">
        <v>209</v>
      </c>
      <c r="O244" s="2" t="s">
        <v>209</v>
      </c>
      <c r="P244" s="81" t="s">
        <v>619</v>
      </c>
      <c r="Q244" s="2" t="s">
        <v>42</v>
      </c>
      <c r="R244" s="102" t="s">
        <v>614</v>
      </c>
      <c r="S244" s="2">
        <f>1-0.12</f>
        <v>0.88</v>
      </c>
      <c r="T244" s="26">
        <v>712</v>
      </c>
      <c r="U244" s="77">
        <v>0</v>
      </c>
      <c r="V244" s="26">
        <v>1</v>
      </c>
      <c r="W244" s="26">
        <v>1</v>
      </c>
      <c r="X244" s="26">
        <v>0</v>
      </c>
      <c r="Y244" s="26">
        <v>0</v>
      </c>
      <c r="Z244" s="26">
        <v>0</v>
      </c>
      <c r="AA244" s="26">
        <v>0</v>
      </c>
      <c r="AB244" s="26">
        <v>0</v>
      </c>
      <c r="AC244" s="26" t="s">
        <v>70</v>
      </c>
      <c r="AD244" s="26" t="s">
        <v>70</v>
      </c>
      <c r="AE244" s="26" t="s">
        <v>70</v>
      </c>
      <c r="AF244" s="26" t="s">
        <v>70</v>
      </c>
      <c r="AG244" s="26" t="s">
        <v>70</v>
      </c>
      <c r="AH244" s="33">
        <f>EXP(3.33)</f>
        <v>27.938341703236507</v>
      </c>
      <c r="AI244" s="26" t="s">
        <v>70</v>
      </c>
      <c r="AJ244" s="26" t="s">
        <v>70</v>
      </c>
      <c r="AK244" s="26" t="s">
        <v>70</v>
      </c>
      <c r="AL244" s="26" t="s">
        <v>70</v>
      </c>
      <c r="AM244" s="35" t="s">
        <v>175</v>
      </c>
      <c r="AN244" s="26" t="s">
        <v>274</v>
      </c>
      <c r="AO244" s="35" t="s">
        <v>175</v>
      </c>
      <c r="AP244" s="35" t="s">
        <v>548</v>
      </c>
      <c r="AQ244" s="35" t="s">
        <v>548</v>
      </c>
      <c r="AR244" s="35" t="s">
        <v>548</v>
      </c>
      <c r="AS244" s="26" t="s">
        <v>548</v>
      </c>
      <c r="AT244" s="26" t="s">
        <v>70</v>
      </c>
      <c r="AU244" s="26" t="s">
        <v>70</v>
      </c>
      <c r="AV244" s="26">
        <v>7</v>
      </c>
    </row>
    <row r="245" spans="1:2089" s="53" customFormat="1" ht="14" customHeight="1">
      <c r="A245" s="27">
        <v>244</v>
      </c>
      <c r="B245" s="27" t="s">
        <v>395</v>
      </c>
      <c r="C245" s="27">
        <v>2011</v>
      </c>
      <c r="D245" s="26" t="s">
        <v>134</v>
      </c>
      <c r="E245" s="26" t="s">
        <v>563</v>
      </c>
      <c r="F245" s="77" t="s">
        <v>548</v>
      </c>
      <c r="G245" s="2" t="s">
        <v>105</v>
      </c>
      <c r="H245" s="2" t="s">
        <v>24</v>
      </c>
      <c r="I245" s="2" t="s">
        <v>175</v>
      </c>
      <c r="J245" s="2" t="s">
        <v>189</v>
      </c>
      <c r="K245" s="2" t="s">
        <v>175</v>
      </c>
      <c r="L245" s="2" t="s">
        <v>175</v>
      </c>
      <c r="M245" s="2" t="s">
        <v>175</v>
      </c>
      <c r="N245" s="2" t="s">
        <v>139</v>
      </c>
      <c r="O245" s="2" t="s">
        <v>60</v>
      </c>
      <c r="P245" s="2" t="s">
        <v>139</v>
      </c>
      <c r="Q245" s="2" t="s">
        <v>42</v>
      </c>
      <c r="R245" s="102" t="s">
        <v>614</v>
      </c>
      <c r="S245" s="2" t="s">
        <v>70</v>
      </c>
      <c r="T245" s="26">
        <v>95</v>
      </c>
      <c r="U245" s="77">
        <v>0</v>
      </c>
      <c r="V245" s="26">
        <v>1</v>
      </c>
      <c r="W245" s="26">
        <v>1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 t="s">
        <v>70</v>
      </c>
      <c r="AD245" s="26" t="s">
        <v>70</v>
      </c>
      <c r="AE245" s="26" t="s">
        <v>70</v>
      </c>
      <c r="AF245" s="26" t="s">
        <v>70</v>
      </c>
      <c r="AG245" s="26" t="s">
        <v>70</v>
      </c>
      <c r="AH245" s="33">
        <f>EXP(3.6)</f>
        <v>36.598234443677988</v>
      </c>
      <c r="AI245" s="26" t="s">
        <v>70</v>
      </c>
      <c r="AJ245" s="26" t="s">
        <v>70</v>
      </c>
      <c r="AK245" s="26" t="s">
        <v>70</v>
      </c>
      <c r="AL245" s="26" t="s">
        <v>70</v>
      </c>
      <c r="AM245" s="35" t="s">
        <v>175</v>
      </c>
      <c r="AN245" s="26" t="s">
        <v>274</v>
      </c>
      <c r="AO245" s="35" t="s">
        <v>175</v>
      </c>
      <c r="AP245" s="35" t="s">
        <v>548</v>
      </c>
      <c r="AQ245" s="35" t="s">
        <v>548</v>
      </c>
      <c r="AR245" s="35" t="s">
        <v>548</v>
      </c>
      <c r="AS245" s="26" t="s">
        <v>548</v>
      </c>
      <c r="AT245" s="26" t="s">
        <v>70</v>
      </c>
      <c r="AU245" s="26" t="s">
        <v>70</v>
      </c>
      <c r="AV245" s="26">
        <v>7</v>
      </c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  <c r="GR245" s="26"/>
      <c r="GS245" s="26"/>
      <c r="GT245" s="26"/>
      <c r="GU245" s="26"/>
      <c r="GV245" s="26"/>
      <c r="GW245" s="26"/>
      <c r="GX245" s="26"/>
      <c r="GY245" s="26"/>
      <c r="GZ245" s="26"/>
      <c r="HA245" s="26"/>
      <c r="HB245" s="26"/>
      <c r="HC245" s="26"/>
      <c r="HD245" s="26"/>
      <c r="HE245" s="26"/>
      <c r="HF245" s="26"/>
      <c r="HG245" s="26"/>
      <c r="HH245" s="26"/>
      <c r="HI245" s="26"/>
      <c r="HJ245" s="26"/>
      <c r="HK245" s="26"/>
      <c r="HL245" s="26"/>
      <c r="HM245" s="26"/>
      <c r="HN245" s="26"/>
      <c r="HO245" s="26"/>
      <c r="HP245" s="26"/>
      <c r="HQ245" s="26"/>
      <c r="HR245" s="26"/>
      <c r="HS245" s="26"/>
      <c r="HT245" s="26"/>
      <c r="HU245" s="26"/>
      <c r="HV245" s="26"/>
      <c r="HW245" s="26"/>
      <c r="HX245" s="26"/>
      <c r="HY245" s="26"/>
      <c r="HZ245" s="26"/>
      <c r="IA245" s="26"/>
      <c r="IB245" s="26"/>
      <c r="IC245" s="26"/>
      <c r="ID245" s="26"/>
      <c r="IE245" s="26"/>
      <c r="IF245" s="26"/>
      <c r="IG245" s="26"/>
      <c r="IH245" s="26"/>
      <c r="II245" s="26"/>
      <c r="IJ245" s="26"/>
      <c r="IK245" s="26"/>
      <c r="IL245" s="26"/>
      <c r="IM245" s="26"/>
      <c r="IN245" s="26"/>
      <c r="IO245" s="26"/>
      <c r="IP245" s="26"/>
      <c r="IQ245" s="26"/>
      <c r="IR245" s="26"/>
      <c r="IS245" s="26"/>
      <c r="IT245" s="26"/>
      <c r="IU245" s="26"/>
      <c r="IV245" s="26"/>
      <c r="IW245" s="26"/>
      <c r="IX245" s="26"/>
      <c r="IY245" s="26"/>
      <c r="IZ245" s="26"/>
      <c r="JA245" s="26"/>
      <c r="JB245" s="26"/>
      <c r="JC245" s="26"/>
      <c r="JD245" s="26"/>
      <c r="JE245" s="26"/>
      <c r="JF245" s="26"/>
      <c r="JG245" s="26"/>
      <c r="JH245" s="26"/>
      <c r="JI245" s="26"/>
      <c r="JJ245" s="26"/>
      <c r="JK245" s="26"/>
      <c r="JL245" s="26"/>
      <c r="JM245" s="26"/>
      <c r="JN245" s="26"/>
      <c r="JO245" s="26"/>
      <c r="JP245" s="26"/>
      <c r="JQ245" s="26"/>
      <c r="JR245" s="26"/>
      <c r="JS245" s="26"/>
      <c r="JT245" s="26"/>
      <c r="JU245" s="26"/>
      <c r="JV245" s="26"/>
      <c r="JW245" s="26"/>
      <c r="JX245" s="26"/>
      <c r="JY245" s="26"/>
      <c r="JZ245" s="26"/>
      <c r="KA245" s="26"/>
      <c r="KB245" s="26"/>
      <c r="KC245" s="26"/>
      <c r="KD245" s="26"/>
      <c r="KE245" s="26"/>
      <c r="KF245" s="26"/>
      <c r="KG245" s="26"/>
      <c r="KH245" s="26"/>
      <c r="KI245" s="26"/>
      <c r="KJ245" s="26"/>
      <c r="KK245" s="26"/>
      <c r="KL245" s="26"/>
      <c r="KM245" s="26"/>
      <c r="KN245" s="26"/>
      <c r="KO245" s="26"/>
      <c r="KP245" s="26"/>
      <c r="KQ245" s="26"/>
      <c r="KR245" s="26"/>
      <c r="KS245" s="26"/>
      <c r="KT245" s="26"/>
      <c r="KU245" s="26"/>
      <c r="KV245" s="26"/>
      <c r="KW245" s="26"/>
      <c r="KX245" s="26"/>
      <c r="KY245" s="26"/>
      <c r="KZ245" s="26"/>
      <c r="LA245" s="26"/>
      <c r="LB245" s="26"/>
      <c r="LC245" s="26"/>
      <c r="LD245" s="26"/>
      <c r="LE245" s="26"/>
      <c r="LF245" s="26"/>
      <c r="LG245" s="26"/>
      <c r="LH245" s="26"/>
      <c r="LI245" s="26"/>
      <c r="LJ245" s="26"/>
      <c r="LK245" s="26"/>
      <c r="LL245" s="26"/>
      <c r="LM245" s="26"/>
      <c r="LN245" s="26"/>
      <c r="LO245" s="26"/>
      <c r="LP245" s="26"/>
      <c r="LQ245" s="26"/>
      <c r="LR245" s="26"/>
      <c r="LS245" s="26"/>
      <c r="LT245" s="26"/>
      <c r="LU245" s="26"/>
      <c r="LV245" s="26"/>
      <c r="LW245" s="26"/>
      <c r="LX245" s="26"/>
      <c r="LY245" s="26"/>
      <c r="LZ245" s="26"/>
      <c r="MA245" s="26"/>
      <c r="MB245" s="26"/>
      <c r="MC245" s="26"/>
      <c r="MD245" s="26"/>
      <c r="ME245" s="26"/>
      <c r="MF245" s="26"/>
      <c r="MG245" s="26"/>
      <c r="MH245" s="26"/>
      <c r="MI245" s="26"/>
      <c r="MJ245" s="26"/>
      <c r="MK245" s="26"/>
      <c r="ML245" s="26"/>
      <c r="MM245" s="26"/>
      <c r="MN245" s="26"/>
      <c r="MO245" s="26"/>
      <c r="MP245" s="26"/>
      <c r="MQ245" s="26"/>
      <c r="MR245" s="26"/>
      <c r="MS245" s="26"/>
      <c r="MT245" s="26"/>
      <c r="MU245" s="26"/>
      <c r="MV245" s="26"/>
      <c r="MW245" s="26"/>
      <c r="MX245" s="26"/>
      <c r="MY245" s="26"/>
      <c r="MZ245" s="26"/>
      <c r="NA245" s="26"/>
      <c r="NB245" s="26"/>
      <c r="NC245" s="26"/>
      <c r="ND245" s="26"/>
      <c r="NE245" s="26"/>
      <c r="NF245" s="26"/>
      <c r="NG245" s="26"/>
      <c r="NH245" s="26"/>
      <c r="NI245" s="26"/>
      <c r="NJ245" s="26"/>
      <c r="NK245" s="26"/>
      <c r="NL245" s="26"/>
      <c r="NM245" s="26"/>
      <c r="NN245" s="26"/>
      <c r="NO245" s="26"/>
      <c r="NP245" s="26"/>
      <c r="NQ245" s="26"/>
      <c r="NR245" s="26"/>
      <c r="NS245" s="26"/>
      <c r="NT245" s="26"/>
      <c r="NU245" s="26"/>
      <c r="NV245" s="26"/>
      <c r="NW245" s="26"/>
      <c r="NX245" s="26"/>
      <c r="NY245" s="26"/>
      <c r="NZ245" s="26"/>
      <c r="OA245" s="26"/>
      <c r="OB245" s="26"/>
      <c r="OC245" s="26"/>
      <c r="OD245" s="26"/>
      <c r="OE245" s="26"/>
      <c r="OF245" s="26"/>
      <c r="OG245" s="26"/>
      <c r="OH245" s="26"/>
      <c r="OI245" s="26"/>
      <c r="OJ245" s="26"/>
      <c r="OK245" s="26"/>
      <c r="OL245" s="26"/>
      <c r="OM245" s="26"/>
      <c r="ON245" s="26"/>
      <c r="OO245" s="26"/>
      <c r="OP245" s="26"/>
      <c r="OQ245" s="26"/>
      <c r="OR245" s="26"/>
      <c r="OS245" s="26"/>
      <c r="OT245" s="26"/>
      <c r="OU245" s="26"/>
      <c r="OV245" s="26"/>
      <c r="OW245" s="26"/>
      <c r="OX245" s="26"/>
      <c r="OY245" s="26"/>
      <c r="OZ245" s="26"/>
      <c r="PA245" s="26"/>
      <c r="PB245" s="26"/>
      <c r="PC245" s="26"/>
      <c r="PD245" s="26"/>
      <c r="PE245" s="26"/>
      <c r="PF245" s="26"/>
      <c r="PG245" s="26"/>
      <c r="PH245" s="26"/>
      <c r="PI245" s="26"/>
      <c r="PJ245" s="26"/>
      <c r="PK245" s="26"/>
      <c r="PL245" s="26"/>
      <c r="PM245" s="26"/>
      <c r="PN245" s="26"/>
      <c r="PO245" s="26"/>
      <c r="PP245" s="26"/>
      <c r="PQ245" s="26"/>
      <c r="PR245" s="26"/>
      <c r="PS245" s="26"/>
      <c r="PT245" s="26"/>
      <c r="PU245" s="26"/>
      <c r="PV245" s="26"/>
      <c r="PW245" s="26"/>
      <c r="PX245" s="26"/>
      <c r="PY245" s="26"/>
      <c r="PZ245" s="26"/>
      <c r="QA245" s="26"/>
      <c r="QB245" s="26"/>
      <c r="QC245" s="26"/>
      <c r="QD245" s="26"/>
      <c r="QE245" s="26"/>
      <c r="QF245" s="26"/>
      <c r="QG245" s="26"/>
      <c r="QH245" s="26"/>
      <c r="QI245" s="26"/>
      <c r="QJ245" s="26"/>
      <c r="QK245" s="26"/>
      <c r="QL245" s="26"/>
      <c r="QM245" s="26"/>
      <c r="QN245" s="26"/>
      <c r="QO245" s="26"/>
      <c r="QP245" s="26"/>
      <c r="QQ245" s="26"/>
      <c r="QR245" s="26"/>
      <c r="QS245" s="26"/>
      <c r="QT245" s="26"/>
      <c r="QU245" s="26"/>
      <c r="QV245" s="26"/>
      <c r="QW245" s="26"/>
      <c r="QX245" s="26"/>
      <c r="QY245" s="26"/>
      <c r="QZ245" s="26"/>
      <c r="RA245" s="26"/>
      <c r="RB245" s="26"/>
      <c r="RC245" s="26"/>
      <c r="RD245" s="26"/>
      <c r="RE245" s="26"/>
      <c r="RF245" s="26"/>
      <c r="RG245" s="26"/>
      <c r="RH245" s="26"/>
      <c r="RI245" s="26"/>
      <c r="RJ245" s="26"/>
      <c r="RK245" s="26"/>
      <c r="RL245" s="26"/>
      <c r="RM245" s="26"/>
      <c r="RN245" s="26"/>
      <c r="RO245" s="26"/>
      <c r="RP245" s="26"/>
      <c r="RQ245" s="26"/>
      <c r="RR245" s="26"/>
      <c r="RS245" s="26"/>
      <c r="RT245" s="26"/>
      <c r="RU245" s="26"/>
      <c r="RV245" s="26"/>
      <c r="RW245" s="26"/>
      <c r="RX245" s="26"/>
      <c r="RY245" s="26"/>
      <c r="RZ245" s="26"/>
      <c r="SA245" s="26"/>
      <c r="SB245" s="26"/>
      <c r="SC245" s="26"/>
      <c r="SD245" s="26"/>
      <c r="SE245" s="26"/>
      <c r="SF245" s="26"/>
      <c r="SG245" s="26"/>
      <c r="SH245" s="26"/>
      <c r="SI245" s="26"/>
      <c r="SJ245" s="26"/>
      <c r="SK245" s="26"/>
      <c r="SL245" s="26"/>
      <c r="SM245" s="26"/>
      <c r="SN245" s="26"/>
      <c r="SO245" s="26"/>
      <c r="SP245" s="26"/>
      <c r="SQ245" s="26"/>
      <c r="SR245" s="26"/>
      <c r="SS245" s="26"/>
      <c r="ST245" s="26"/>
      <c r="SU245" s="26"/>
      <c r="SV245" s="26"/>
      <c r="SW245" s="26"/>
      <c r="SX245" s="26"/>
      <c r="SY245" s="26"/>
      <c r="SZ245" s="26"/>
      <c r="TA245" s="26"/>
      <c r="TB245" s="26"/>
      <c r="TC245" s="26"/>
      <c r="TD245" s="26"/>
      <c r="TE245" s="26"/>
      <c r="TF245" s="26"/>
      <c r="TG245" s="26"/>
      <c r="TH245" s="26"/>
      <c r="TI245" s="26"/>
      <c r="TJ245" s="26"/>
      <c r="TK245" s="26"/>
      <c r="TL245" s="26"/>
      <c r="TM245" s="26"/>
      <c r="TN245" s="26"/>
      <c r="TO245" s="26"/>
      <c r="TP245" s="26"/>
      <c r="TQ245" s="26"/>
      <c r="TR245" s="26"/>
      <c r="TS245" s="26"/>
      <c r="TT245" s="26"/>
      <c r="TU245" s="26"/>
      <c r="TV245" s="26"/>
      <c r="TW245" s="26"/>
      <c r="TX245" s="26"/>
      <c r="TY245" s="26"/>
      <c r="TZ245" s="26"/>
      <c r="UA245" s="26"/>
      <c r="UB245" s="26"/>
      <c r="UC245" s="26"/>
      <c r="UD245" s="26"/>
      <c r="UE245" s="26"/>
      <c r="UF245" s="26"/>
      <c r="UG245" s="26"/>
      <c r="UH245" s="26"/>
      <c r="UI245" s="26"/>
      <c r="UJ245" s="26"/>
      <c r="UK245" s="26"/>
      <c r="UL245" s="26"/>
      <c r="UM245" s="26"/>
      <c r="UN245" s="26"/>
      <c r="UO245" s="26"/>
      <c r="UP245" s="26"/>
      <c r="UQ245" s="26"/>
      <c r="UR245" s="26"/>
      <c r="US245" s="26"/>
      <c r="UT245" s="26"/>
      <c r="UU245" s="26"/>
      <c r="UV245" s="26"/>
      <c r="UW245" s="26"/>
      <c r="UX245" s="26"/>
      <c r="UY245" s="26"/>
      <c r="UZ245" s="26"/>
      <c r="VA245" s="26"/>
      <c r="VB245" s="26"/>
      <c r="VC245" s="26"/>
      <c r="VD245" s="26"/>
      <c r="VE245" s="26"/>
      <c r="VF245" s="26"/>
      <c r="VG245" s="26"/>
      <c r="VH245" s="26"/>
      <c r="VI245" s="26"/>
      <c r="VJ245" s="26"/>
      <c r="VK245" s="26"/>
      <c r="VL245" s="26"/>
      <c r="VM245" s="26"/>
      <c r="VN245" s="26"/>
      <c r="VO245" s="26"/>
      <c r="VP245" s="26"/>
      <c r="VQ245" s="26"/>
      <c r="VR245" s="26"/>
      <c r="VS245" s="26"/>
      <c r="VT245" s="26"/>
      <c r="VU245" s="26"/>
      <c r="VV245" s="26"/>
      <c r="VW245" s="26"/>
      <c r="VX245" s="26"/>
      <c r="VY245" s="26"/>
      <c r="VZ245" s="26"/>
      <c r="WA245" s="26"/>
      <c r="WB245" s="26"/>
      <c r="WC245" s="26"/>
      <c r="WD245" s="26"/>
      <c r="WE245" s="26"/>
      <c r="WF245" s="26"/>
      <c r="WG245" s="26"/>
      <c r="WH245" s="26"/>
      <c r="WI245" s="26"/>
      <c r="WJ245" s="26"/>
      <c r="WK245" s="26"/>
      <c r="WL245" s="26"/>
      <c r="WM245" s="26"/>
      <c r="WN245" s="26"/>
      <c r="WO245" s="26"/>
      <c r="WP245" s="26"/>
      <c r="WQ245" s="26"/>
      <c r="WR245" s="26"/>
      <c r="WS245" s="26"/>
      <c r="WT245" s="26"/>
      <c r="WU245" s="26"/>
      <c r="WV245" s="26"/>
      <c r="WW245" s="26"/>
      <c r="WX245" s="26"/>
      <c r="WY245" s="26"/>
      <c r="WZ245" s="26"/>
      <c r="XA245" s="26"/>
      <c r="XB245" s="26"/>
      <c r="XC245" s="26"/>
      <c r="XD245" s="26"/>
      <c r="XE245" s="26"/>
      <c r="XF245" s="26"/>
      <c r="XG245" s="26"/>
      <c r="XH245" s="26"/>
      <c r="XI245" s="26"/>
      <c r="XJ245" s="26"/>
      <c r="XK245" s="26"/>
      <c r="XL245" s="26"/>
      <c r="XM245" s="26"/>
      <c r="XN245" s="26"/>
      <c r="XO245" s="26"/>
      <c r="XP245" s="26"/>
      <c r="XQ245" s="26"/>
      <c r="XR245" s="26"/>
      <c r="XS245" s="26"/>
      <c r="XT245" s="26"/>
      <c r="XU245" s="26"/>
      <c r="XV245" s="26"/>
      <c r="XW245" s="26"/>
      <c r="XX245" s="26"/>
      <c r="XY245" s="26"/>
      <c r="XZ245" s="26"/>
      <c r="YA245" s="26"/>
      <c r="YB245" s="26"/>
      <c r="YC245" s="26"/>
      <c r="YD245" s="26"/>
      <c r="YE245" s="26"/>
      <c r="YF245" s="26"/>
      <c r="YG245" s="26"/>
      <c r="YH245" s="26"/>
      <c r="YI245" s="26"/>
      <c r="YJ245" s="26"/>
      <c r="YK245" s="26"/>
      <c r="YL245" s="26"/>
      <c r="YM245" s="26"/>
      <c r="YN245" s="26"/>
      <c r="YO245" s="26"/>
      <c r="YP245" s="26"/>
      <c r="YQ245" s="26"/>
      <c r="YR245" s="26"/>
      <c r="YS245" s="26"/>
      <c r="YT245" s="26"/>
      <c r="YU245" s="26"/>
      <c r="YV245" s="26"/>
      <c r="YW245" s="26"/>
      <c r="YX245" s="26"/>
      <c r="YY245" s="26"/>
      <c r="YZ245" s="26"/>
      <c r="ZA245" s="26"/>
      <c r="ZB245" s="26"/>
      <c r="ZC245" s="26"/>
      <c r="ZD245" s="26"/>
      <c r="ZE245" s="26"/>
      <c r="ZF245" s="26"/>
      <c r="ZG245" s="26"/>
      <c r="ZH245" s="26"/>
      <c r="ZI245" s="26"/>
      <c r="ZJ245" s="26"/>
      <c r="ZK245" s="26"/>
      <c r="ZL245" s="26"/>
      <c r="ZM245" s="26"/>
      <c r="ZN245" s="26"/>
      <c r="ZO245" s="26"/>
      <c r="ZP245" s="26"/>
      <c r="ZQ245" s="26"/>
      <c r="ZR245" s="26"/>
      <c r="ZS245" s="26"/>
      <c r="ZT245" s="26"/>
      <c r="ZU245" s="26"/>
      <c r="ZV245" s="26"/>
      <c r="ZW245" s="26"/>
      <c r="ZX245" s="26"/>
      <c r="ZY245" s="26"/>
      <c r="ZZ245" s="26"/>
      <c r="AAA245" s="26"/>
      <c r="AAB245" s="26"/>
      <c r="AAC245" s="26"/>
      <c r="AAD245" s="26"/>
      <c r="AAE245" s="26"/>
      <c r="AAF245" s="26"/>
      <c r="AAG245" s="26"/>
      <c r="AAH245" s="26"/>
      <c r="AAI245" s="26"/>
      <c r="AAJ245" s="26"/>
      <c r="AAK245" s="26"/>
      <c r="AAL245" s="26"/>
      <c r="AAM245" s="26"/>
      <c r="AAN245" s="26"/>
      <c r="AAO245" s="26"/>
      <c r="AAP245" s="26"/>
      <c r="AAQ245" s="26"/>
      <c r="AAR245" s="26"/>
      <c r="AAS245" s="26"/>
      <c r="AAT245" s="26"/>
      <c r="AAU245" s="26"/>
      <c r="AAV245" s="26"/>
      <c r="AAW245" s="26"/>
      <c r="AAX245" s="26"/>
      <c r="AAY245" s="26"/>
      <c r="AAZ245" s="26"/>
      <c r="ABA245" s="26"/>
      <c r="ABB245" s="26"/>
      <c r="ABC245" s="26"/>
      <c r="ABD245" s="26"/>
      <c r="ABE245" s="26"/>
      <c r="ABF245" s="26"/>
      <c r="ABG245" s="26"/>
      <c r="ABH245" s="26"/>
      <c r="ABI245" s="26"/>
      <c r="ABJ245" s="26"/>
      <c r="ABK245" s="26"/>
      <c r="ABL245" s="26"/>
      <c r="ABM245" s="26"/>
      <c r="ABN245" s="26"/>
      <c r="ABO245" s="26"/>
      <c r="ABP245" s="26"/>
      <c r="ABQ245" s="26"/>
      <c r="ABR245" s="26"/>
      <c r="ABS245" s="26"/>
      <c r="ABT245" s="26"/>
      <c r="ABU245" s="26"/>
      <c r="ABV245" s="26"/>
      <c r="ABW245" s="26"/>
      <c r="ABX245" s="26"/>
      <c r="ABY245" s="26"/>
      <c r="ABZ245" s="26"/>
      <c r="ACA245" s="26"/>
      <c r="ACB245" s="26"/>
      <c r="ACC245" s="26"/>
      <c r="ACD245" s="26"/>
      <c r="ACE245" s="26"/>
      <c r="ACF245" s="26"/>
      <c r="ACG245" s="26"/>
      <c r="ACH245" s="26"/>
      <c r="ACI245" s="26"/>
      <c r="ACJ245" s="26"/>
      <c r="ACK245" s="26"/>
      <c r="ACL245" s="26"/>
      <c r="ACM245" s="26"/>
      <c r="ACN245" s="26"/>
      <c r="ACO245" s="26"/>
      <c r="ACP245" s="26"/>
      <c r="ACQ245" s="26"/>
      <c r="ACR245" s="26"/>
      <c r="ACS245" s="26"/>
      <c r="ACT245" s="26"/>
      <c r="ACU245" s="26"/>
      <c r="ACV245" s="26"/>
      <c r="ACW245" s="26"/>
      <c r="ACX245" s="26"/>
      <c r="ACY245" s="26"/>
      <c r="ACZ245" s="26"/>
      <c r="ADA245" s="26"/>
      <c r="ADB245" s="26"/>
      <c r="ADC245" s="26"/>
      <c r="ADD245" s="26"/>
      <c r="ADE245" s="26"/>
      <c r="ADF245" s="26"/>
      <c r="ADG245" s="26"/>
      <c r="ADH245" s="26"/>
      <c r="ADI245" s="26"/>
      <c r="ADJ245" s="26"/>
      <c r="ADK245" s="26"/>
      <c r="ADL245" s="26"/>
      <c r="ADM245" s="26"/>
      <c r="ADN245" s="26"/>
      <c r="ADO245" s="26"/>
      <c r="ADP245" s="26"/>
      <c r="ADQ245" s="26"/>
      <c r="ADR245" s="26"/>
      <c r="ADS245" s="26"/>
      <c r="ADT245" s="26"/>
      <c r="ADU245" s="26"/>
      <c r="ADV245" s="26"/>
      <c r="ADW245" s="26"/>
      <c r="ADX245" s="26"/>
      <c r="ADY245" s="26"/>
      <c r="ADZ245" s="26"/>
      <c r="AEA245" s="26"/>
      <c r="AEB245" s="26"/>
      <c r="AEC245" s="26"/>
      <c r="AED245" s="26"/>
      <c r="AEE245" s="26"/>
      <c r="AEF245" s="26"/>
      <c r="AEG245" s="26"/>
      <c r="AEH245" s="26"/>
      <c r="AEI245" s="26"/>
      <c r="AEJ245" s="26"/>
      <c r="AEK245" s="26"/>
      <c r="AEL245" s="26"/>
      <c r="AEM245" s="26"/>
      <c r="AEN245" s="26"/>
      <c r="AEO245" s="26"/>
      <c r="AEP245" s="26"/>
      <c r="AEQ245" s="26"/>
      <c r="AER245" s="26"/>
      <c r="AES245" s="26"/>
      <c r="AET245" s="26"/>
      <c r="AEU245" s="26"/>
      <c r="AEV245" s="26"/>
      <c r="AEW245" s="26"/>
      <c r="AEX245" s="26"/>
      <c r="AEY245" s="26"/>
      <c r="AEZ245" s="26"/>
      <c r="AFA245" s="26"/>
      <c r="AFB245" s="26"/>
      <c r="AFC245" s="26"/>
      <c r="AFD245" s="26"/>
      <c r="AFE245" s="26"/>
      <c r="AFF245" s="26"/>
      <c r="AFG245" s="26"/>
      <c r="AFH245" s="26"/>
      <c r="AFI245" s="26"/>
      <c r="AFJ245" s="26"/>
      <c r="AFK245" s="26"/>
      <c r="AFL245" s="26"/>
      <c r="AFM245" s="26"/>
      <c r="AFN245" s="26"/>
      <c r="AFO245" s="26"/>
      <c r="AFP245" s="26"/>
      <c r="AFQ245" s="26"/>
      <c r="AFR245" s="26"/>
      <c r="AFS245" s="26"/>
      <c r="AFT245" s="26"/>
      <c r="AFU245" s="26"/>
      <c r="AFV245" s="26"/>
      <c r="AFW245" s="26"/>
      <c r="AFX245" s="26"/>
      <c r="AFY245" s="26"/>
      <c r="AFZ245" s="26"/>
      <c r="AGA245" s="26"/>
      <c r="AGB245" s="26"/>
      <c r="AGC245" s="26"/>
      <c r="AGD245" s="26"/>
      <c r="AGE245" s="26"/>
      <c r="AGF245" s="26"/>
      <c r="AGG245" s="26"/>
      <c r="AGH245" s="26"/>
      <c r="AGI245" s="26"/>
      <c r="AGJ245" s="26"/>
      <c r="AGK245" s="26"/>
      <c r="AGL245" s="26"/>
      <c r="AGM245" s="26"/>
      <c r="AGN245" s="26"/>
      <c r="AGO245" s="26"/>
      <c r="AGP245" s="26"/>
      <c r="AGQ245" s="26"/>
      <c r="AGR245" s="26"/>
      <c r="AGS245" s="26"/>
      <c r="AGT245" s="26"/>
      <c r="AGU245" s="26"/>
      <c r="AGV245" s="26"/>
      <c r="AGW245" s="26"/>
      <c r="AGX245" s="26"/>
      <c r="AGY245" s="26"/>
      <c r="AGZ245" s="26"/>
      <c r="AHA245" s="26"/>
      <c r="AHB245" s="26"/>
      <c r="AHC245" s="26"/>
      <c r="AHD245" s="26"/>
      <c r="AHE245" s="26"/>
      <c r="AHF245" s="26"/>
      <c r="AHG245" s="26"/>
      <c r="AHH245" s="26"/>
      <c r="AHI245" s="26"/>
      <c r="AHJ245" s="26"/>
      <c r="AHK245" s="26"/>
      <c r="AHL245" s="26"/>
      <c r="AHM245" s="26"/>
      <c r="AHN245" s="26"/>
      <c r="AHO245" s="26"/>
      <c r="AHP245" s="26"/>
      <c r="AHQ245" s="26"/>
      <c r="AHR245" s="26"/>
      <c r="AHS245" s="26"/>
      <c r="AHT245" s="26"/>
      <c r="AHU245" s="26"/>
      <c r="AHV245" s="26"/>
      <c r="AHW245" s="26"/>
      <c r="AHX245" s="26"/>
      <c r="AHY245" s="26"/>
      <c r="AHZ245" s="26"/>
      <c r="AIA245" s="26"/>
      <c r="AIB245" s="26"/>
      <c r="AIC245" s="26"/>
      <c r="AID245" s="26"/>
      <c r="AIE245" s="26"/>
      <c r="AIF245" s="26"/>
      <c r="AIG245" s="26"/>
      <c r="AIH245" s="26"/>
      <c r="AII245" s="26"/>
      <c r="AIJ245" s="26"/>
      <c r="AIK245" s="26"/>
      <c r="AIL245" s="26"/>
      <c r="AIM245" s="26"/>
      <c r="AIN245" s="26"/>
      <c r="AIO245" s="26"/>
      <c r="AIP245" s="26"/>
      <c r="AIQ245" s="26"/>
      <c r="AIR245" s="26"/>
      <c r="AIS245" s="26"/>
      <c r="AIT245" s="26"/>
      <c r="AIU245" s="26"/>
      <c r="AIV245" s="26"/>
      <c r="AIW245" s="26"/>
      <c r="AIX245" s="26"/>
      <c r="AIY245" s="26"/>
      <c r="AIZ245" s="26"/>
      <c r="AJA245" s="26"/>
      <c r="AJB245" s="26"/>
      <c r="AJC245" s="26"/>
      <c r="AJD245" s="26"/>
      <c r="AJE245" s="26"/>
      <c r="AJF245" s="26"/>
      <c r="AJG245" s="26"/>
      <c r="AJH245" s="26"/>
      <c r="AJI245" s="26"/>
      <c r="AJJ245" s="26"/>
      <c r="AJK245" s="26"/>
      <c r="AJL245" s="26"/>
      <c r="AJM245" s="26"/>
      <c r="AJN245" s="26"/>
      <c r="AJO245" s="26"/>
      <c r="AJP245" s="26"/>
      <c r="AJQ245" s="26"/>
      <c r="AJR245" s="26"/>
      <c r="AJS245" s="26"/>
      <c r="AJT245" s="26"/>
      <c r="AJU245" s="26"/>
      <c r="AJV245" s="26"/>
      <c r="AJW245" s="26"/>
      <c r="AJX245" s="26"/>
      <c r="AJY245" s="26"/>
      <c r="AJZ245" s="26"/>
      <c r="AKA245" s="26"/>
      <c r="AKB245" s="26"/>
      <c r="AKC245" s="26"/>
      <c r="AKD245" s="26"/>
      <c r="AKE245" s="26"/>
      <c r="AKF245" s="26"/>
      <c r="AKG245" s="26"/>
      <c r="AKH245" s="26"/>
      <c r="AKI245" s="26"/>
      <c r="AKJ245" s="26"/>
      <c r="AKK245" s="26"/>
      <c r="AKL245" s="26"/>
      <c r="AKM245" s="26"/>
      <c r="AKN245" s="26"/>
      <c r="AKO245" s="26"/>
      <c r="AKP245" s="26"/>
      <c r="AKQ245" s="26"/>
      <c r="AKR245" s="26"/>
      <c r="AKS245" s="26"/>
      <c r="AKT245" s="26"/>
      <c r="AKU245" s="26"/>
      <c r="AKV245" s="26"/>
      <c r="AKW245" s="26"/>
      <c r="AKX245" s="26"/>
      <c r="AKY245" s="26"/>
      <c r="AKZ245" s="26"/>
      <c r="ALA245" s="26"/>
      <c r="ALB245" s="26"/>
      <c r="ALC245" s="26"/>
      <c r="ALD245" s="26"/>
      <c r="ALE245" s="26"/>
      <c r="ALF245" s="26"/>
      <c r="ALG245" s="26"/>
      <c r="ALH245" s="26"/>
      <c r="ALI245" s="26"/>
      <c r="ALJ245" s="26"/>
      <c r="ALK245" s="26"/>
      <c r="ALL245" s="26"/>
      <c r="ALM245" s="26"/>
      <c r="ALN245" s="26"/>
      <c r="ALO245" s="26"/>
      <c r="ALP245" s="26"/>
      <c r="ALQ245" s="26"/>
      <c r="ALR245" s="26"/>
      <c r="ALS245" s="26"/>
      <c r="ALT245" s="26"/>
      <c r="ALU245" s="26"/>
      <c r="ALV245" s="26"/>
      <c r="ALW245" s="26"/>
      <c r="ALX245" s="26"/>
      <c r="ALY245" s="26"/>
      <c r="ALZ245" s="26"/>
      <c r="AMA245" s="26"/>
      <c r="AMB245" s="26"/>
      <c r="AMC245" s="26"/>
      <c r="AMD245" s="26"/>
      <c r="AME245" s="26"/>
      <c r="AMF245" s="26"/>
      <c r="AMG245" s="26"/>
      <c r="AMH245" s="26"/>
      <c r="AMI245" s="26"/>
      <c r="AMJ245" s="26"/>
      <c r="AMK245" s="26"/>
      <c r="AML245" s="26"/>
      <c r="AMM245" s="26"/>
      <c r="AMN245" s="26"/>
      <c r="AMO245" s="26"/>
      <c r="AMP245" s="26"/>
      <c r="AMQ245" s="26"/>
      <c r="AMR245" s="26"/>
      <c r="AMS245" s="26"/>
      <c r="AMT245" s="26"/>
      <c r="AMU245" s="26"/>
      <c r="AMV245" s="26"/>
      <c r="AMW245" s="26"/>
      <c r="AMX245" s="26"/>
      <c r="AMY245" s="26"/>
      <c r="AMZ245" s="26"/>
      <c r="ANA245" s="26"/>
      <c r="ANB245" s="26"/>
      <c r="ANC245" s="26"/>
      <c r="AND245" s="26"/>
      <c r="ANE245" s="26"/>
      <c r="ANF245" s="26"/>
      <c r="ANG245" s="26"/>
      <c r="ANH245" s="26"/>
      <c r="ANI245" s="26"/>
      <c r="ANJ245" s="26"/>
      <c r="ANK245" s="26"/>
      <c r="ANL245" s="26"/>
      <c r="ANM245" s="26"/>
      <c r="ANN245" s="26"/>
      <c r="ANO245" s="26"/>
      <c r="ANP245" s="26"/>
      <c r="ANQ245" s="26"/>
      <c r="ANR245" s="26"/>
      <c r="ANS245" s="26"/>
      <c r="ANT245" s="26"/>
      <c r="ANU245" s="26"/>
      <c r="ANV245" s="26"/>
      <c r="ANW245" s="26"/>
      <c r="ANX245" s="26"/>
      <c r="ANY245" s="26"/>
      <c r="ANZ245" s="26"/>
      <c r="AOA245" s="26"/>
      <c r="AOB245" s="26"/>
      <c r="AOC245" s="26"/>
      <c r="AOD245" s="26"/>
      <c r="AOE245" s="26"/>
      <c r="AOF245" s="26"/>
      <c r="AOG245" s="26"/>
      <c r="AOH245" s="26"/>
      <c r="AOI245" s="26"/>
      <c r="AOJ245" s="26"/>
      <c r="AOK245" s="26"/>
      <c r="AOL245" s="26"/>
      <c r="AOM245" s="26"/>
      <c r="AON245" s="26"/>
      <c r="AOO245" s="26"/>
      <c r="AOP245" s="26"/>
      <c r="AOQ245" s="26"/>
      <c r="AOR245" s="26"/>
      <c r="AOS245" s="26"/>
      <c r="AOT245" s="26"/>
      <c r="AOU245" s="26"/>
      <c r="AOV245" s="26"/>
      <c r="AOW245" s="26"/>
      <c r="AOX245" s="26"/>
      <c r="AOY245" s="26"/>
      <c r="AOZ245" s="26"/>
      <c r="APA245" s="26"/>
      <c r="APB245" s="26"/>
      <c r="APC245" s="26"/>
      <c r="APD245" s="26"/>
      <c r="APE245" s="26"/>
      <c r="APF245" s="26"/>
      <c r="APG245" s="26"/>
      <c r="APH245" s="26"/>
      <c r="API245" s="26"/>
      <c r="APJ245" s="26"/>
      <c r="APK245" s="26"/>
      <c r="APL245" s="26"/>
      <c r="APM245" s="26"/>
      <c r="APN245" s="26"/>
      <c r="APO245" s="26"/>
      <c r="APP245" s="26"/>
      <c r="APQ245" s="26"/>
      <c r="APR245" s="26"/>
      <c r="APS245" s="26"/>
      <c r="APT245" s="26"/>
      <c r="APU245" s="26"/>
      <c r="APV245" s="26"/>
      <c r="APW245" s="26"/>
      <c r="APX245" s="26"/>
      <c r="APY245" s="26"/>
      <c r="APZ245" s="26"/>
      <c r="AQA245" s="26"/>
      <c r="AQB245" s="26"/>
      <c r="AQC245" s="26"/>
      <c r="AQD245" s="26"/>
      <c r="AQE245" s="26"/>
      <c r="AQF245" s="26"/>
      <c r="AQG245" s="26"/>
      <c r="AQH245" s="26"/>
      <c r="AQI245" s="26"/>
      <c r="AQJ245" s="26"/>
      <c r="AQK245" s="26"/>
      <c r="AQL245" s="26"/>
      <c r="AQM245" s="26"/>
      <c r="AQN245" s="26"/>
      <c r="AQO245" s="26"/>
      <c r="AQP245" s="26"/>
      <c r="AQQ245" s="26"/>
      <c r="AQR245" s="26"/>
      <c r="AQS245" s="26"/>
      <c r="AQT245" s="26"/>
      <c r="AQU245" s="26"/>
      <c r="AQV245" s="26"/>
      <c r="AQW245" s="26"/>
      <c r="AQX245" s="26"/>
      <c r="AQY245" s="26"/>
      <c r="AQZ245" s="26"/>
      <c r="ARA245" s="26"/>
      <c r="ARB245" s="26"/>
      <c r="ARC245" s="26"/>
      <c r="ARD245" s="26"/>
      <c r="ARE245" s="26"/>
      <c r="ARF245" s="26"/>
      <c r="ARG245" s="26"/>
      <c r="ARH245" s="26"/>
      <c r="ARI245" s="26"/>
      <c r="ARJ245" s="26"/>
      <c r="ARK245" s="26"/>
      <c r="ARL245" s="26"/>
      <c r="ARM245" s="26"/>
      <c r="ARN245" s="26"/>
      <c r="ARO245" s="26"/>
      <c r="ARP245" s="26"/>
      <c r="ARQ245" s="26"/>
      <c r="ARR245" s="26"/>
      <c r="ARS245" s="26"/>
      <c r="ART245" s="26"/>
      <c r="ARU245" s="26"/>
      <c r="ARV245" s="26"/>
      <c r="ARW245" s="26"/>
      <c r="ARX245" s="26"/>
      <c r="ARY245" s="26"/>
      <c r="ARZ245" s="26"/>
      <c r="ASA245" s="26"/>
      <c r="ASB245" s="26"/>
      <c r="ASC245" s="26"/>
      <c r="ASD245" s="26"/>
      <c r="ASE245" s="26"/>
      <c r="ASF245" s="26"/>
      <c r="ASG245" s="26"/>
      <c r="ASH245" s="26"/>
      <c r="ASI245" s="26"/>
      <c r="ASJ245" s="26"/>
      <c r="ASK245" s="26"/>
      <c r="ASL245" s="26"/>
      <c r="ASM245" s="26"/>
      <c r="ASN245" s="26"/>
      <c r="ASO245" s="26"/>
      <c r="ASP245" s="26"/>
      <c r="ASQ245" s="26"/>
      <c r="ASR245" s="26"/>
      <c r="ASS245" s="26"/>
      <c r="AST245" s="26"/>
      <c r="ASU245" s="26"/>
      <c r="ASV245" s="26"/>
      <c r="ASW245" s="26"/>
      <c r="ASX245" s="26"/>
      <c r="ASY245" s="26"/>
      <c r="ASZ245" s="26"/>
      <c r="ATA245" s="26"/>
      <c r="ATB245" s="26"/>
      <c r="ATC245" s="26"/>
      <c r="ATD245" s="26"/>
      <c r="ATE245" s="26"/>
      <c r="ATF245" s="26"/>
      <c r="ATG245" s="26"/>
      <c r="ATH245" s="26"/>
      <c r="ATI245" s="26"/>
      <c r="ATJ245" s="26"/>
      <c r="ATK245" s="26"/>
      <c r="ATL245" s="26"/>
      <c r="ATM245" s="26"/>
      <c r="ATN245" s="26"/>
      <c r="ATO245" s="26"/>
      <c r="ATP245" s="26"/>
      <c r="ATQ245" s="26"/>
      <c r="ATR245" s="26"/>
      <c r="ATS245" s="26"/>
      <c r="ATT245" s="26"/>
      <c r="ATU245" s="26"/>
      <c r="ATV245" s="26"/>
      <c r="ATW245" s="26"/>
      <c r="ATX245" s="26"/>
      <c r="ATY245" s="26"/>
      <c r="ATZ245" s="26"/>
      <c r="AUA245" s="26"/>
      <c r="AUB245" s="26"/>
      <c r="AUC245" s="26"/>
      <c r="AUD245" s="26"/>
      <c r="AUE245" s="26"/>
      <c r="AUF245" s="26"/>
      <c r="AUG245" s="26"/>
      <c r="AUH245" s="26"/>
      <c r="AUI245" s="26"/>
      <c r="AUJ245" s="26"/>
      <c r="AUK245" s="26"/>
      <c r="AUL245" s="26"/>
      <c r="AUM245" s="26"/>
      <c r="AUN245" s="26"/>
      <c r="AUO245" s="26"/>
      <c r="AUP245" s="26"/>
      <c r="AUQ245" s="26"/>
      <c r="AUR245" s="26"/>
      <c r="AUS245" s="26"/>
      <c r="AUT245" s="26"/>
      <c r="AUU245" s="26"/>
      <c r="AUV245" s="26"/>
      <c r="AUW245" s="26"/>
      <c r="AUX245" s="26"/>
      <c r="AUY245" s="26"/>
      <c r="AUZ245" s="26"/>
      <c r="AVA245" s="26"/>
      <c r="AVB245" s="26"/>
      <c r="AVC245" s="26"/>
      <c r="AVD245" s="26"/>
      <c r="AVE245" s="26"/>
      <c r="AVF245" s="26"/>
      <c r="AVG245" s="26"/>
      <c r="AVH245" s="26"/>
      <c r="AVI245" s="26"/>
      <c r="AVJ245" s="26"/>
      <c r="AVK245" s="26"/>
      <c r="AVL245" s="26"/>
      <c r="AVM245" s="26"/>
      <c r="AVN245" s="26"/>
      <c r="AVO245" s="26"/>
      <c r="AVP245" s="26"/>
      <c r="AVQ245" s="26"/>
      <c r="AVR245" s="26"/>
      <c r="AVS245" s="26"/>
      <c r="AVT245" s="26"/>
      <c r="AVU245" s="26"/>
      <c r="AVV245" s="26"/>
      <c r="AVW245" s="26"/>
      <c r="AVX245" s="26"/>
      <c r="AVY245" s="26"/>
      <c r="AVZ245" s="26"/>
      <c r="AWA245" s="26"/>
      <c r="AWB245" s="26"/>
      <c r="AWC245" s="26"/>
      <c r="AWD245" s="26"/>
      <c r="AWE245" s="26"/>
      <c r="AWF245" s="26"/>
      <c r="AWG245" s="26"/>
      <c r="AWH245" s="26"/>
      <c r="AWI245" s="26"/>
      <c r="AWJ245" s="26"/>
      <c r="AWK245" s="26"/>
      <c r="AWL245" s="26"/>
      <c r="AWM245" s="26"/>
      <c r="AWN245" s="26"/>
      <c r="AWO245" s="26"/>
      <c r="AWP245" s="26"/>
      <c r="AWQ245" s="26"/>
      <c r="AWR245" s="26"/>
      <c r="AWS245" s="26"/>
      <c r="AWT245" s="26"/>
      <c r="AWU245" s="26"/>
      <c r="AWV245" s="26"/>
      <c r="AWW245" s="26"/>
      <c r="AWX245" s="26"/>
      <c r="AWY245" s="26"/>
      <c r="AWZ245" s="26"/>
      <c r="AXA245" s="26"/>
      <c r="AXB245" s="26"/>
      <c r="AXC245" s="26"/>
      <c r="AXD245" s="26"/>
      <c r="AXE245" s="26"/>
      <c r="AXF245" s="26"/>
      <c r="AXG245" s="26"/>
      <c r="AXH245" s="26"/>
      <c r="AXI245" s="26"/>
      <c r="AXJ245" s="26"/>
      <c r="AXK245" s="26"/>
      <c r="AXL245" s="26"/>
      <c r="AXM245" s="26"/>
      <c r="AXN245" s="26"/>
      <c r="AXO245" s="26"/>
      <c r="AXP245" s="26"/>
      <c r="AXQ245" s="26"/>
      <c r="AXR245" s="26"/>
      <c r="AXS245" s="26"/>
      <c r="AXT245" s="26"/>
      <c r="AXU245" s="26"/>
      <c r="AXV245" s="26"/>
      <c r="AXW245" s="26"/>
      <c r="AXX245" s="26"/>
      <c r="AXY245" s="26"/>
      <c r="AXZ245" s="26"/>
      <c r="AYA245" s="26"/>
      <c r="AYB245" s="26"/>
      <c r="AYC245" s="26"/>
      <c r="AYD245" s="26"/>
      <c r="AYE245" s="26"/>
      <c r="AYF245" s="26"/>
      <c r="AYG245" s="26"/>
      <c r="AYH245" s="26"/>
      <c r="AYI245" s="26"/>
      <c r="AYJ245" s="26"/>
      <c r="AYK245" s="26"/>
      <c r="AYL245" s="26"/>
      <c r="AYM245" s="26"/>
      <c r="AYN245" s="26"/>
      <c r="AYO245" s="26"/>
      <c r="AYP245" s="26"/>
      <c r="AYQ245" s="26"/>
      <c r="AYR245" s="26"/>
      <c r="AYS245" s="26"/>
      <c r="AYT245" s="26"/>
      <c r="AYU245" s="26"/>
      <c r="AYV245" s="26"/>
      <c r="AYW245" s="26"/>
      <c r="AYX245" s="26"/>
      <c r="AYY245" s="26"/>
      <c r="AYZ245" s="26"/>
      <c r="AZA245" s="26"/>
      <c r="AZB245" s="26"/>
      <c r="AZC245" s="26"/>
      <c r="AZD245" s="26"/>
      <c r="AZE245" s="26"/>
      <c r="AZF245" s="26"/>
      <c r="AZG245" s="26"/>
      <c r="AZH245" s="26"/>
      <c r="AZI245" s="26"/>
      <c r="AZJ245" s="26"/>
      <c r="AZK245" s="26"/>
      <c r="AZL245" s="26"/>
      <c r="AZM245" s="26"/>
      <c r="AZN245" s="26"/>
      <c r="AZO245" s="26"/>
      <c r="AZP245" s="26"/>
      <c r="AZQ245" s="26"/>
      <c r="AZR245" s="26"/>
      <c r="AZS245" s="26"/>
      <c r="AZT245" s="26"/>
      <c r="AZU245" s="26"/>
      <c r="AZV245" s="26"/>
      <c r="AZW245" s="26"/>
      <c r="AZX245" s="26"/>
      <c r="AZY245" s="26"/>
      <c r="AZZ245" s="26"/>
      <c r="BAA245" s="26"/>
      <c r="BAB245" s="26"/>
      <c r="BAC245" s="26"/>
      <c r="BAD245" s="26"/>
      <c r="BAE245" s="26"/>
      <c r="BAF245" s="26"/>
      <c r="BAG245" s="26"/>
      <c r="BAH245" s="26"/>
      <c r="BAI245" s="26"/>
      <c r="BAJ245" s="26"/>
      <c r="BAK245" s="26"/>
      <c r="BAL245" s="26"/>
      <c r="BAM245" s="26"/>
      <c r="BAN245" s="26"/>
      <c r="BAO245" s="26"/>
      <c r="BAP245" s="26"/>
      <c r="BAQ245" s="26"/>
      <c r="BAR245" s="26"/>
      <c r="BAS245" s="26"/>
      <c r="BAT245" s="26"/>
      <c r="BAU245" s="26"/>
      <c r="BAV245" s="26"/>
      <c r="BAW245" s="26"/>
      <c r="BAX245" s="26"/>
      <c r="BAY245" s="26"/>
      <c r="BAZ245" s="26"/>
      <c r="BBA245" s="26"/>
      <c r="BBB245" s="26"/>
      <c r="BBC245" s="26"/>
      <c r="BBD245" s="26"/>
      <c r="BBE245" s="26"/>
      <c r="BBF245" s="26"/>
      <c r="BBG245" s="26"/>
      <c r="BBH245" s="26"/>
      <c r="BBI245" s="26"/>
      <c r="BBJ245" s="26"/>
      <c r="BBK245" s="26"/>
      <c r="BBL245" s="26"/>
      <c r="BBM245" s="26"/>
      <c r="BBN245" s="26"/>
      <c r="BBO245" s="26"/>
      <c r="BBP245" s="26"/>
      <c r="BBQ245" s="26"/>
      <c r="BBR245" s="26"/>
      <c r="BBS245" s="26"/>
      <c r="BBT245" s="26"/>
      <c r="BBU245" s="26"/>
      <c r="BBV245" s="26"/>
      <c r="BBW245" s="26"/>
      <c r="BBX245" s="26"/>
      <c r="BBY245" s="26"/>
      <c r="BBZ245" s="26"/>
      <c r="BCA245" s="26"/>
      <c r="BCB245" s="26"/>
      <c r="BCC245" s="26"/>
      <c r="BCD245" s="26"/>
      <c r="BCE245" s="26"/>
      <c r="BCF245" s="26"/>
      <c r="BCG245" s="26"/>
      <c r="BCH245" s="26"/>
      <c r="BCI245" s="26"/>
      <c r="BCJ245" s="26"/>
      <c r="BCK245" s="26"/>
      <c r="BCL245" s="26"/>
      <c r="BCM245" s="26"/>
      <c r="BCN245" s="26"/>
      <c r="BCO245" s="26"/>
      <c r="BCP245" s="26"/>
      <c r="BCQ245" s="26"/>
      <c r="BCR245" s="26"/>
      <c r="BCS245" s="26"/>
      <c r="BCT245" s="26"/>
      <c r="BCU245" s="26"/>
      <c r="BCV245" s="26"/>
      <c r="BCW245" s="26"/>
      <c r="BCX245" s="26"/>
      <c r="BCY245" s="26"/>
      <c r="BCZ245" s="26"/>
      <c r="BDA245" s="26"/>
      <c r="BDB245" s="26"/>
      <c r="BDC245" s="26"/>
      <c r="BDD245" s="26"/>
      <c r="BDE245" s="26"/>
      <c r="BDF245" s="26"/>
      <c r="BDG245" s="26"/>
      <c r="BDH245" s="26"/>
      <c r="BDI245" s="26"/>
      <c r="BDJ245" s="26"/>
      <c r="BDK245" s="26"/>
      <c r="BDL245" s="26"/>
      <c r="BDM245" s="26"/>
      <c r="BDN245" s="26"/>
      <c r="BDO245" s="26"/>
      <c r="BDP245" s="26"/>
      <c r="BDQ245" s="26"/>
      <c r="BDR245" s="26"/>
      <c r="BDS245" s="26"/>
      <c r="BDT245" s="26"/>
      <c r="BDU245" s="26"/>
      <c r="BDV245" s="26"/>
      <c r="BDW245" s="26"/>
      <c r="BDX245" s="26"/>
      <c r="BDY245" s="26"/>
      <c r="BDZ245" s="26"/>
      <c r="BEA245" s="26"/>
      <c r="BEB245" s="26"/>
      <c r="BEC245" s="26"/>
      <c r="BED245" s="26"/>
      <c r="BEE245" s="26"/>
      <c r="BEF245" s="26"/>
      <c r="BEG245" s="26"/>
      <c r="BEH245" s="26"/>
      <c r="BEI245" s="26"/>
      <c r="BEJ245" s="26"/>
      <c r="BEK245" s="26"/>
      <c r="BEL245" s="26"/>
      <c r="BEM245" s="26"/>
      <c r="BEN245" s="26"/>
      <c r="BEO245" s="26"/>
      <c r="BEP245" s="26"/>
      <c r="BEQ245" s="26"/>
      <c r="BER245" s="26"/>
      <c r="BES245" s="26"/>
      <c r="BET245" s="26"/>
      <c r="BEU245" s="26"/>
      <c r="BEV245" s="26"/>
      <c r="BEW245" s="26"/>
      <c r="BEX245" s="26"/>
      <c r="BEY245" s="26"/>
      <c r="BEZ245" s="26"/>
      <c r="BFA245" s="26"/>
      <c r="BFB245" s="26"/>
      <c r="BFC245" s="26"/>
      <c r="BFD245" s="26"/>
      <c r="BFE245" s="26"/>
      <c r="BFF245" s="26"/>
      <c r="BFG245" s="26"/>
      <c r="BFH245" s="26"/>
      <c r="BFI245" s="26"/>
      <c r="BFJ245" s="26"/>
      <c r="BFK245" s="26"/>
      <c r="BFL245" s="26"/>
      <c r="BFM245" s="26"/>
      <c r="BFN245" s="26"/>
      <c r="BFO245" s="26"/>
      <c r="BFP245" s="26"/>
      <c r="BFQ245" s="26"/>
      <c r="BFR245" s="26"/>
      <c r="BFS245" s="26"/>
      <c r="BFT245" s="26"/>
      <c r="BFU245" s="26"/>
      <c r="BFV245" s="26"/>
      <c r="BFW245" s="26"/>
      <c r="BFX245" s="26"/>
      <c r="BFY245" s="26"/>
      <c r="BFZ245" s="26"/>
      <c r="BGA245" s="26"/>
      <c r="BGB245" s="26"/>
      <c r="BGC245" s="26"/>
      <c r="BGD245" s="26"/>
      <c r="BGE245" s="26"/>
      <c r="BGF245" s="26"/>
      <c r="BGG245" s="26"/>
      <c r="BGH245" s="26"/>
      <c r="BGI245" s="26"/>
      <c r="BGJ245" s="26"/>
      <c r="BGK245" s="26"/>
      <c r="BGL245" s="26"/>
      <c r="BGM245" s="26"/>
      <c r="BGN245" s="26"/>
      <c r="BGO245" s="26"/>
      <c r="BGP245" s="26"/>
      <c r="BGQ245" s="26"/>
      <c r="BGR245" s="26"/>
      <c r="BGS245" s="26"/>
      <c r="BGT245" s="26"/>
      <c r="BGU245" s="26"/>
      <c r="BGV245" s="26"/>
      <c r="BGW245" s="26"/>
      <c r="BGX245" s="26"/>
      <c r="BGY245" s="26"/>
      <c r="BGZ245" s="26"/>
      <c r="BHA245" s="26"/>
      <c r="BHB245" s="26"/>
      <c r="BHC245" s="26"/>
      <c r="BHD245" s="26"/>
      <c r="BHE245" s="26"/>
      <c r="BHF245" s="26"/>
      <c r="BHG245" s="26"/>
      <c r="BHH245" s="26"/>
      <c r="BHI245" s="26"/>
      <c r="BHJ245" s="26"/>
      <c r="BHK245" s="26"/>
      <c r="BHL245" s="26"/>
      <c r="BHM245" s="26"/>
      <c r="BHN245" s="26"/>
      <c r="BHO245" s="26"/>
      <c r="BHP245" s="26"/>
      <c r="BHQ245" s="26"/>
      <c r="BHR245" s="26"/>
      <c r="BHS245" s="26"/>
      <c r="BHT245" s="26"/>
      <c r="BHU245" s="26"/>
      <c r="BHV245" s="26"/>
      <c r="BHW245" s="26"/>
      <c r="BHX245" s="26"/>
      <c r="BHY245" s="26"/>
      <c r="BHZ245" s="26"/>
      <c r="BIA245" s="26"/>
      <c r="BIB245" s="26"/>
      <c r="BIC245" s="26"/>
      <c r="BID245" s="26"/>
      <c r="BIE245" s="26"/>
      <c r="BIF245" s="26"/>
      <c r="BIG245" s="26"/>
      <c r="BIH245" s="26"/>
      <c r="BII245" s="26"/>
      <c r="BIJ245" s="26"/>
      <c r="BIK245" s="26"/>
      <c r="BIL245" s="26"/>
      <c r="BIM245" s="26"/>
      <c r="BIN245" s="26"/>
      <c r="BIO245" s="26"/>
      <c r="BIP245" s="26"/>
      <c r="BIQ245" s="26"/>
      <c r="BIR245" s="26"/>
      <c r="BIS245" s="26"/>
      <c r="BIT245" s="26"/>
      <c r="BIU245" s="26"/>
      <c r="BIV245" s="26"/>
      <c r="BIW245" s="26"/>
      <c r="BIX245" s="26"/>
      <c r="BIY245" s="26"/>
      <c r="BIZ245" s="26"/>
      <c r="BJA245" s="26"/>
      <c r="BJB245" s="26"/>
      <c r="BJC245" s="26"/>
      <c r="BJD245" s="26"/>
      <c r="BJE245" s="26"/>
      <c r="BJF245" s="26"/>
      <c r="BJG245" s="26"/>
      <c r="BJH245" s="26"/>
      <c r="BJI245" s="26"/>
      <c r="BJJ245" s="26"/>
      <c r="BJK245" s="26"/>
      <c r="BJL245" s="26"/>
      <c r="BJM245" s="26"/>
      <c r="BJN245" s="26"/>
      <c r="BJO245" s="26"/>
      <c r="BJP245" s="26"/>
      <c r="BJQ245" s="26"/>
      <c r="BJR245" s="26"/>
      <c r="BJS245" s="26"/>
      <c r="BJT245" s="26"/>
      <c r="BJU245" s="26"/>
      <c r="BJV245" s="26"/>
      <c r="BJW245" s="26"/>
      <c r="BJX245" s="26"/>
      <c r="BJY245" s="26"/>
      <c r="BJZ245" s="26"/>
      <c r="BKA245" s="26"/>
      <c r="BKB245" s="26"/>
      <c r="BKC245" s="26"/>
      <c r="BKD245" s="26"/>
      <c r="BKE245" s="26"/>
      <c r="BKF245" s="26"/>
      <c r="BKG245" s="26"/>
      <c r="BKH245" s="26"/>
      <c r="BKI245" s="26"/>
      <c r="BKJ245" s="26"/>
      <c r="BKK245" s="26"/>
      <c r="BKL245" s="26"/>
      <c r="BKM245" s="26"/>
      <c r="BKN245" s="26"/>
      <c r="BKO245" s="26"/>
      <c r="BKP245" s="26"/>
      <c r="BKQ245" s="26"/>
      <c r="BKR245" s="26"/>
      <c r="BKS245" s="26"/>
      <c r="BKT245" s="26"/>
      <c r="BKU245" s="26"/>
      <c r="BKV245" s="26"/>
      <c r="BKW245" s="26"/>
      <c r="BKX245" s="26"/>
      <c r="BKY245" s="26"/>
      <c r="BKZ245" s="26"/>
      <c r="BLA245" s="26"/>
      <c r="BLB245" s="26"/>
      <c r="BLC245" s="26"/>
      <c r="BLD245" s="26"/>
      <c r="BLE245" s="26"/>
      <c r="BLF245" s="26"/>
      <c r="BLG245" s="26"/>
      <c r="BLH245" s="26"/>
      <c r="BLI245" s="26"/>
      <c r="BLJ245" s="26"/>
      <c r="BLK245" s="26"/>
      <c r="BLL245" s="26"/>
      <c r="BLM245" s="26"/>
      <c r="BLN245" s="26"/>
      <c r="BLO245" s="26"/>
      <c r="BLP245" s="26"/>
      <c r="BLQ245" s="26"/>
      <c r="BLR245" s="26"/>
      <c r="BLS245" s="26"/>
      <c r="BLT245" s="26"/>
      <c r="BLU245" s="26"/>
      <c r="BLV245" s="26"/>
      <c r="BLW245" s="26"/>
      <c r="BLX245" s="26"/>
      <c r="BLY245" s="26"/>
      <c r="BLZ245" s="26"/>
      <c r="BMA245" s="26"/>
      <c r="BMB245" s="26"/>
      <c r="BMC245" s="26"/>
      <c r="BMD245" s="26"/>
      <c r="BME245" s="26"/>
      <c r="BMF245" s="26"/>
      <c r="BMG245" s="26"/>
      <c r="BMH245" s="26"/>
      <c r="BMI245" s="26"/>
      <c r="BMJ245" s="26"/>
      <c r="BMK245" s="26"/>
      <c r="BML245" s="26"/>
      <c r="BMM245" s="26"/>
      <c r="BMN245" s="26"/>
      <c r="BMO245" s="26"/>
      <c r="BMP245" s="26"/>
      <c r="BMQ245" s="26"/>
      <c r="BMR245" s="26"/>
      <c r="BMS245" s="26"/>
      <c r="BMT245" s="26"/>
      <c r="BMU245" s="26"/>
      <c r="BMV245" s="26"/>
      <c r="BMW245" s="26"/>
      <c r="BMX245" s="26"/>
      <c r="BMY245" s="26"/>
      <c r="BMZ245" s="26"/>
      <c r="BNA245" s="26"/>
      <c r="BNB245" s="26"/>
      <c r="BNC245" s="26"/>
      <c r="BND245" s="26"/>
      <c r="BNE245" s="26"/>
      <c r="BNF245" s="26"/>
      <c r="BNG245" s="26"/>
      <c r="BNH245" s="26"/>
      <c r="BNI245" s="26"/>
      <c r="BNJ245" s="26"/>
      <c r="BNK245" s="26"/>
      <c r="BNL245" s="26"/>
      <c r="BNM245" s="26"/>
      <c r="BNN245" s="26"/>
      <c r="BNO245" s="26"/>
      <c r="BNP245" s="26"/>
      <c r="BNQ245" s="26"/>
      <c r="BNR245" s="26"/>
      <c r="BNS245" s="26"/>
      <c r="BNT245" s="26"/>
      <c r="BNU245" s="26"/>
      <c r="BNV245" s="26"/>
      <c r="BNW245" s="26"/>
      <c r="BNX245" s="26"/>
      <c r="BNY245" s="26"/>
      <c r="BNZ245" s="26"/>
      <c r="BOA245" s="26"/>
      <c r="BOB245" s="26"/>
      <c r="BOC245" s="26"/>
      <c r="BOD245" s="26"/>
      <c r="BOE245" s="26"/>
      <c r="BOF245" s="26"/>
      <c r="BOG245" s="26"/>
      <c r="BOH245" s="26"/>
      <c r="BOI245" s="26"/>
      <c r="BOJ245" s="26"/>
      <c r="BOK245" s="26"/>
      <c r="BOL245" s="26"/>
      <c r="BOM245" s="26"/>
      <c r="BON245" s="26"/>
      <c r="BOO245" s="26"/>
      <c r="BOP245" s="26"/>
      <c r="BOQ245" s="26"/>
      <c r="BOR245" s="26"/>
      <c r="BOS245" s="26"/>
      <c r="BOT245" s="26"/>
      <c r="BOU245" s="26"/>
      <c r="BOV245" s="26"/>
      <c r="BOW245" s="26"/>
      <c r="BOX245" s="26"/>
      <c r="BOY245" s="26"/>
      <c r="BOZ245" s="26"/>
      <c r="BPA245" s="26"/>
      <c r="BPB245" s="26"/>
      <c r="BPC245" s="26"/>
      <c r="BPD245" s="26"/>
      <c r="BPE245" s="26"/>
      <c r="BPF245" s="26"/>
      <c r="BPG245" s="26"/>
      <c r="BPH245" s="26"/>
      <c r="BPI245" s="26"/>
      <c r="BPJ245" s="26"/>
      <c r="BPK245" s="26"/>
      <c r="BPL245" s="26"/>
      <c r="BPM245" s="26"/>
      <c r="BPN245" s="26"/>
      <c r="BPO245" s="26"/>
      <c r="BPP245" s="26"/>
      <c r="BPQ245" s="26"/>
      <c r="BPR245" s="26"/>
      <c r="BPS245" s="26"/>
      <c r="BPT245" s="26"/>
      <c r="BPU245" s="26"/>
      <c r="BPV245" s="26"/>
      <c r="BPW245" s="26"/>
      <c r="BPX245" s="26"/>
      <c r="BPY245" s="26"/>
      <c r="BPZ245" s="26"/>
      <c r="BQA245" s="26"/>
      <c r="BQB245" s="26"/>
      <c r="BQC245" s="26"/>
      <c r="BQD245" s="26"/>
      <c r="BQE245" s="26"/>
      <c r="BQF245" s="26"/>
      <c r="BQG245" s="26"/>
      <c r="BQH245" s="26"/>
      <c r="BQI245" s="26"/>
      <c r="BQJ245" s="26"/>
      <c r="BQK245" s="26"/>
      <c r="BQL245" s="26"/>
      <c r="BQM245" s="26"/>
      <c r="BQN245" s="26"/>
      <c r="BQO245" s="26"/>
      <c r="BQP245" s="26"/>
      <c r="BQQ245" s="26"/>
      <c r="BQR245" s="26"/>
      <c r="BQS245" s="26"/>
      <c r="BQT245" s="26"/>
      <c r="BQU245" s="26"/>
      <c r="BQV245" s="26"/>
      <c r="BQW245" s="26"/>
      <c r="BQX245" s="26"/>
      <c r="BQY245" s="26"/>
      <c r="BQZ245" s="26"/>
      <c r="BRA245" s="26"/>
      <c r="BRB245" s="26"/>
      <c r="BRC245" s="26"/>
      <c r="BRD245" s="26"/>
      <c r="BRE245" s="26"/>
      <c r="BRF245" s="26"/>
      <c r="BRG245" s="26"/>
      <c r="BRH245" s="26"/>
      <c r="BRI245" s="26"/>
      <c r="BRJ245" s="26"/>
      <c r="BRK245" s="26"/>
      <c r="BRL245" s="26"/>
      <c r="BRM245" s="26"/>
      <c r="BRN245" s="26"/>
      <c r="BRO245" s="26"/>
      <c r="BRP245" s="26"/>
      <c r="BRQ245" s="26"/>
      <c r="BRR245" s="26"/>
      <c r="BRS245" s="26"/>
      <c r="BRT245" s="26"/>
      <c r="BRU245" s="26"/>
      <c r="BRV245" s="26"/>
      <c r="BRW245" s="26"/>
      <c r="BRX245" s="26"/>
      <c r="BRY245" s="26"/>
      <c r="BRZ245" s="26"/>
      <c r="BSA245" s="26"/>
      <c r="BSB245" s="26"/>
      <c r="BSC245" s="26"/>
      <c r="BSD245" s="26"/>
      <c r="BSE245" s="26"/>
      <c r="BSF245" s="26"/>
      <c r="BSG245" s="26"/>
      <c r="BSH245" s="26"/>
      <c r="BSI245" s="26"/>
      <c r="BSJ245" s="26"/>
      <c r="BSK245" s="26"/>
      <c r="BSL245" s="26"/>
      <c r="BSM245" s="26"/>
      <c r="BSN245" s="26"/>
      <c r="BSO245" s="26"/>
      <c r="BSP245" s="26"/>
      <c r="BSQ245" s="26"/>
      <c r="BSR245" s="26"/>
      <c r="BSS245" s="26"/>
      <c r="BST245" s="26"/>
      <c r="BSU245" s="26"/>
      <c r="BSV245" s="26"/>
      <c r="BSW245" s="26"/>
      <c r="BSX245" s="26"/>
      <c r="BSY245" s="26"/>
      <c r="BSZ245" s="26"/>
      <c r="BTA245" s="26"/>
      <c r="BTB245" s="26"/>
      <c r="BTC245" s="26"/>
      <c r="BTD245" s="26"/>
      <c r="BTE245" s="26"/>
      <c r="BTF245" s="26"/>
      <c r="BTG245" s="26"/>
      <c r="BTH245" s="26"/>
      <c r="BTI245" s="26"/>
      <c r="BTJ245" s="26"/>
      <c r="BTK245" s="26"/>
      <c r="BTL245" s="26"/>
      <c r="BTM245" s="26"/>
      <c r="BTN245" s="26"/>
      <c r="BTO245" s="26"/>
      <c r="BTP245" s="26"/>
      <c r="BTQ245" s="26"/>
      <c r="BTR245" s="26"/>
      <c r="BTS245" s="26"/>
      <c r="BTT245" s="26"/>
      <c r="BTU245" s="26"/>
      <c r="BTV245" s="26"/>
      <c r="BTW245" s="26"/>
      <c r="BTX245" s="26"/>
      <c r="BTY245" s="26"/>
      <c r="BTZ245" s="26"/>
      <c r="BUA245" s="26"/>
      <c r="BUB245" s="26"/>
      <c r="BUC245" s="26"/>
      <c r="BUD245" s="26"/>
      <c r="BUE245" s="26"/>
      <c r="BUF245" s="26"/>
      <c r="BUG245" s="26"/>
      <c r="BUH245" s="26"/>
      <c r="BUI245" s="26"/>
      <c r="BUJ245" s="26"/>
      <c r="BUK245" s="26"/>
      <c r="BUL245" s="26"/>
      <c r="BUM245" s="26"/>
      <c r="BUN245" s="26"/>
      <c r="BUO245" s="26"/>
      <c r="BUP245" s="26"/>
      <c r="BUQ245" s="26"/>
      <c r="BUR245" s="26"/>
      <c r="BUS245" s="26"/>
      <c r="BUT245" s="26"/>
      <c r="BUU245" s="26"/>
      <c r="BUV245" s="26"/>
      <c r="BUW245" s="26"/>
      <c r="BUX245" s="26"/>
      <c r="BUY245" s="26"/>
      <c r="BUZ245" s="26"/>
      <c r="BVA245" s="26"/>
      <c r="BVB245" s="26"/>
      <c r="BVC245" s="26"/>
      <c r="BVD245" s="26"/>
      <c r="BVE245" s="26"/>
      <c r="BVF245" s="26"/>
      <c r="BVG245" s="26"/>
      <c r="BVH245" s="26"/>
      <c r="BVI245" s="26"/>
      <c r="BVJ245" s="26"/>
      <c r="BVK245" s="26"/>
      <c r="BVL245" s="26"/>
      <c r="BVM245" s="26"/>
      <c r="BVN245" s="26"/>
      <c r="BVO245" s="26"/>
      <c r="BVP245" s="26"/>
      <c r="BVQ245" s="26"/>
      <c r="BVR245" s="26"/>
      <c r="BVS245" s="26"/>
      <c r="BVT245" s="26"/>
      <c r="BVU245" s="26"/>
      <c r="BVV245" s="26"/>
      <c r="BVW245" s="26"/>
      <c r="BVX245" s="26"/>
      <c r="BVY245" s="26"/>
      <c r="BVZ245" s="26"/>
      <c r="BWA245" s="26"/>
      <c r="BWB245" s="26"/>
      <c r="BWC245" s="26"/>
      <c r="BWD245" s="26"/>
      <c r="BWE245" s="26"/>
      <c r="BWF245" s="26"/>
      <c r="BWG245" s="26"/>
      <c r="BWH245" s="26"/>
      <c r="BWI245" s="26"/>
      <c r="BWJ245" s="26"/>
      <c r="BWK245" s="26"/>
      <c r="BWL245" s="26"/>
      <c r="BWM245" s="26"/>
      <c r="BWN245" s="26"/>
      <c r="BWO245" s="26"/>
      <c r="BWP245" s="26"/>
      <c r="BWQ245" s="26"/>
      <c r="BWR245" s="26"/>
      <c r="BWS245" s="26"/>
      <c r="BWT245" s="26"/>
      <c r="BWU245" s="26"/>
      <c r="BWV245" s="26"/>
      <c r="BWW245" s="26"/>
      <c r="BWX245" s="26"/>
      <c r="BWY245" s="26"/>
      <c r="BWZ245" s="26"/>
      <c r="BXA245" s="26"/>
      <c r="BXB245" s="26"/>
      <c r="BXC245" s="26"/>
      <c r="BXD245" s="26"/>
      <c r="BXE245" s="26"/>
      <c r="BXF245" s="26"/>
      <c r="BXG245" s="26"/>
      <c r="BXH245" s="26"/>
      <c r="BXI245" s="26"/>
      <c r="BXJ245" s="26"/>
      <c r="BXK245" s="26"/>
      <c r="BXL245" s="26"/>
      <c r="BXM245" s="26"/>
      <c r="BXN245" s="26"/>
      <c r="BXO245" s="26"/>
      <c r="BXP245" s="26"/>
      <c r="BXQ245" s="26"/>
      <c r="BXR245" s="26"/>
      <c r="BXS245" s="26"/>
      <c r="BXT245" s="26"/>
      <c r="BXU245" s="26"/>
      <c r="BXV245" s="26"/>
      <c r="BXW245" s="26"/>
      <c r="BXX245" s="26"/>
      <c r="BXY245" s="26"/>
      <c r="BXZ245" s="26"/>
      <c r="BYA245" s="26"/>
      <c r="BYB245" s="26"/>
      <c r="BYC245" s="26"/>
      <c r="BYD245" s="26"/>
      <c r="BYE245" s="26"/>
      <c r="BYF245" s="26"/>
      <c r="BYG245" s="26"/>
      <c r="BYH245" s="26"/>
      <c r="BYI245" s="26"/>
      <c r="BYJ245" s="26"/>
      <c r="BYK245" s="26"/>
      <c r="BYL245" s="26"/>
      <c r="BYM245" s="26"/>
      <c r="BYN245" s="26"/>
      <c r="BYO245" s="26"/>
      <c r="BYP245" s="26"/>
      <c r="BYQ245" s="26"/>
      <c r="BYR245" s="26"/>
      <c r="BYS245" s="26"/>
      <c r="BYT245" s="26"/>
      <c r="BYU245" s="26"/>
      <c r="BYV245" s="26"/>
      <c r="BYW245" s="26"/>
      <c r="BYX245" s="26"/>
      <c r="BYY245" s="26"/>
      <c r="BYZ245" s="26"/>
      <c r="BZA245" s="26"/>
      <c r="BZB245" s="26"/>
      <c r="BZC245" s="26"/>
      <c r="BZD245" s="26"/>
      <c r="BZE245" s="26"/>
      <c r="BZF245" s="26"/>
      <c r="BZG245" s="26"/>
      <c r="BZH245" s="26"/>
      <c r="BZI245" s="26"/>
      <c r="BZJ245" s="26"/>
      <c r="BZK245" s="26"/>
      <c r="BZL245" s="26"/>
      <c r="BZM245" s="26"/>
      <c r="BZN245" s="26"/>
      <c r="BZO245" s="26"/>
      <c r="BZP245" s="26"/>
      <c r="BZQ245" s="26"/>
      <c r="BZR245" s="26"/>
      <c r="BZS245" s="26"/>
      <c r="BZT245" s="26"/>
      <c r="BZU245" s="26"/>
      <c r="BZV245" s="26"/>
      <c r="BZW245" s="26"/>
      <c r="BZX245" s="26"/>
      <c r="BZY245" s="26"/>
      <c r="BZZ245" s="26"/>
      <c r="CAA245" s="26"/>
      <c r="CAB245" s="26"/>
      <c r="CAC245" s="26"/>
      <c r="CAD245" s="26"/>
      <c r="CAE245" s="26"/>
      <c r="CAF245" s="26"/>
      <c r="CAG245" s="26"/>
      <c r="CAH245" s="26"/>
      <c r="CAI245" s="26"/>
      <c r="CAJ245" s="26"/>
      <c r="CAK245" s="26"/>
      <c r="CAL245" s="26"/>
      <c r="CAM245" s="26"/>
      <c r="CAN245" s="26"/>
      <c r="CAO245" s="26"/>
      <c r="CAP245" s="26"/>
      <c r="CAQ245" s="26"/>
      <c r="CAR245" s="26"/>
      <c r="CAS245" s="26"/>
      <c r="CAT245" s="26"/>
      <c r="CAU245" s="26"/>
      <c r="CAV245" s="26"/>
      <c r="CAW245" s="26"/>
      <c r="CAX245" s="26"/>
      <c r="CAY245" s="26"/>
      <c r="CAZ245" s="26"/>
      <c r="CBA245" s="26"/>
      <c r="CBB245" s="26"/>
      <c r="CBC245" s="26"/>
      <c r="CBD245" s="26"/>
      <c r="CBE245" s="26"/>
      <c r="CBF245" s="26"/>
      <c r="CBG245" s="26"/>
      <c r="CBH245" s="26"/>
      <c r="CBI245" s="26"/>
    </row>
    <row r="246" spans="1:2089" s="53" customFormat="1" ht="14" customHeight="1">
      <c r="A246" s="27">
        <v>245</v>
      </c>
      <c r="B246" s="27" t="s">
        <v>396</v>
      </c>
      <c r="C246" s="27">
        <v>1991</v>
      </c>
      <c r="D246" s="26" t="s">
        <v>31</v>
      </c>
      <c r="E246" s="26" t="s">
        <v>566</v>
      </c>
      <c r="F246" s="77" t="s">
        <v>175</v>
      </c>
      <c r="G246" s="2" t="s">
        <v>108</v>
      </c>
      <c r="H246" s="2" t="s">
        <v>30</v>
      </c>
      <c r="I246" s="2" t="s">
        <v>548</v>
      </c>
      <c r="J246" s="2" t="s">
        <v>183</v>
      </c>
      <c r="K246" s="2" t="s">
        <v>548</v>
      </c>
      <c r="L246" s="2" t="s">
        <v>548</v>
      </c>
      <c r="M246" s="2" t="s">
        <v>548</v>
      </c>
      <c r="N246" s="2" t="s">
        <v>62</v>
      </c>
      <c r="O246" s="2" t="s">
        <v>43</v>
      </c>
      <c r="P246" s="2" t="s">
        <v>62</v>
      </c>
      <c r="Q246" s="26" t="s">
        <v>606</v>
      </c>
      <c r="R246" s="102" t="s">
        <v>614</v>
      </c>
      <c r="S246" s="90">
        <f>22/T246</f>
        <v>0.47826086956521741</v>
      </c>
      <c r="T246" s="26">
        <v>46</v>
      </c>
      <c r="U246" s="77">
        <v>1</v>
      </c>
      <c r="V246" s="26">
        <v>0</v>
      </c>
      <c r="W246" s="26">
        <v>1</v>
      </c>
      <c r="X246" s="26">
        <v>1</v>
      </c>
      <c r="Y246" s="26">
        <v>1</v>
      </c>
      <c r="Z246" s="26">
        <v>1</v>
      </c>
      <c r="AA246" s="26">
        <v>1</v>
      </c>
      <c r="AB246" s="26">
        <v>1</v>
      </c>
      <c r="AC246" s="26" t="s">
        <v>70</v>
      </c>
      <c r="AD246" s="26" t="s">
        <v>70</v>
      </c>
      <c r="AE246" s="26" t="s">
        <v>70</v>
      </c>
      <c r="AF246" s="26" t="s">
        <v>70</v>
      </c>
      <c r="AG246" s="33" t="s">
        <v>70</v>
      </c>
      <c r="AH246" s="33" t="s">
        <v>70</v>
      </c>
      <c r="AI246" s="33" t="s">
        <v>70</v>
      </c>
      <c r="AJ246" s="26" t="s">
        <v>70</v>
      </c>
      <c r="AK246" s="33" t="s">
        <v>70</v>
      </c>
      <c r="AL246" s="33" t="s">
        <v>70</v>
      </c>
      <c r="AM246" s="35" t="s">
        <v>175</v>
      </c>
      <c r="AN246" s="26" t="s">
        <v>274</v>
      </c>
      <c r="AO246" s="35" t="s">
        <v>548</v>
      </c>
      <c r="AP246" s="35" t="s">
        <v>548</v>
      </c>
      <c r="AQ246" s="35" t="s">
        <v>548</v>
      </c>
      <c r="AR246" s="35" t="s">
        <v>548</v>
      </c>
      <c r="AS246" s="26" t="s">
        <v>175</v>
      </c>
      <c r="AT246" s="26" t="s">
        <v>70</v>
      </c>
      <c r="AU246" s="26" t="s">
        <v>70</v>
      </c>
      <c r="AV246" s="26">
        <v>9</v>
      </c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  <c r="GR246" s="26"/>
      <c r="GS246" s="26"/>
      <c r="GT246" s="26"/>
      <c r="GU246" s="26"/>
      <c r="GV246" s="26"/>
      <c r="GW246" s="26"/>
      <c r="GX246" s="26"/>
      <c r="GY246" s="26"/>
      <c r="GZ246" s="26"/>
      <c r="HA246" s="26"/>
      <c r="HB246" s="26"/>
      <c r="HC246" s="26"/>
      <c r="HD246" s="26"/>
      <c r="HE246" s="26"/>
      <c r="HF246" s="26"/>
      <c r="HG246" s="26"/>
      <c r="HH246" s="26"/>
      <c r="HI246" s="26"/>
      <c r="HJ246" s="26"/>
      <c r="HK246" s="26"/>
      <c r="HL246" s="26"/>
      <c r="HM246" s="26"/>
      <c r="HN246" s="26"/>
      <c r="HO246" s="26"/>
      <c r="HP246" s="26"/>
      <c r="HQ246" s="26"/>
      <c r="HR246" s="26"/>
      <c r="HS246" s="26"/>
      <c r="HT246" s="26"/>
      <c r="HU246" s="26"/>
      <c r="HV246" s="26"/>
      <c r="HW246" s="26"/>
      <c r="HX246" s="26"/>
      <c r="HY246" s="26"/>
      <c r="HZ246" s="26"/>
      <c r="IA246" s="26"/>
      <c r="IB246" s="26"/>
      <c r="IC246" s="26"/>
      <c r="ID246" s="26"/>
      <c r="IE246" s="26"/>
      <c r="IF246" s="26"/>
      <c r="IG246" s="26"/>
      <c r="IH246" s="26"/>
      <c r="II246" s="26"/>
      <c r="IJ246" s="26"/>
      <c r="IK246" s="26"/>
      <c r="IL246" s="26"/>
      <c r="IM246" s="26"/>
      <c r="IN246" s="26"/>
      <c r="IO246" s="26"/>
      <c r="IP246" s="26"/>
      <c r="IQ246" s="26"/>
      <c r="IR246" s="26"/>
      <c r="IS246" s="26"/>
      <c r="IT246" s="26"/>
      <c r="IU246" s="26"/>
      <c r="IV246" s="26"/>
      <c r="IW246" s="26"/>
      <c r="IX246" s="26"/>
      <c r="IY246" s="26"/>
      <c r="IZ246" s="26"/>
      <c r="JA246" s="26"/>
      <c r="JB246" s="26"/>
      <c r="JC246" s="26"/>
      <c r="JD246" s="26"/>
      <c r="JE246" s="26"/>
      <c r="JF246" s="26"/>
      <c r="JG246" s="26"/>
      <c r="JH246" s="26"/>
      <c r="JI246" s="26"/>
      <c r="JJ246" s="26"/>
      <c r="JK246" s="26"/>
      <c r="JL246" s="26"/>
      <c r="JM246" s="26"/>
      <c r="JN246" s="26"/>
      <c r="JO246" s="26"/>
      <c r="JP246" s="26"/>
      <c r="JQ246" s="26"/>
      <c r="JR246" s="26"/>
      <c r="JS246" s="26"/>
      <c r="JT246" s="26"/>
      <c r="JU246" s="26"/>
      <c r="JV246" s="26"/>
      <c r="JW246" s="26"/>
      <c r="JX246" s="26"/>
      <c r="JY246" s="26"/>
      <c r="JZ246" s="26"/>
      <c r="KA246" s="26"/>
      <c r="KB246" s="26"/>
      <c r="KC246" s="26"/>
      <c r="KD246" s="26"/>
      <c r="KE246" s="26"/>
      <c r="KF246" s="26"/>
      <c r="KG246" s="26"/>
      <c r="KH246" s="26"/>
      <c r="KI246" s="26"/>
      <c r="KJ246" s="26"/>
      <c r="KK246" s="26"/>
      <c r="KL246" s="26"/>
      <c r="KM246" s="26"/>
      <c r="KN246" s="26"/>
      <c r="KO246" s="26"/>
      <c r="KP246" s="26"/>
      <c r="KQ246" s="26"/>
      <c r="KR246" s="26"/>
      <c r="KS246" s="26"/>
      <c r="KT246" s="26"/>
      <c r="KU246" s="26"/>
      <c r="KV246" s="26"/>
      <c r="KW246" s="26"/>
      <c r="KX246" s="26"/>
      <c r="KY246" s="26"/>
      <c r="KZ246" s="26"/>
      <c r="LA246" s="26"/>
      <c r="LB246" s="26"/>
      <c r="LC246" s="26"/>
      <c r="LD246" s="26"/>
      <c r="LE246" s="26"/>
      <c r="LF246" s="26"/>
      <c r="LG246" s="26"/>
      <c r="LH246" s="26"/>
      <c r="LI246" s="26"/>
      <c r="LJ246" s="26"/>
      <c r="LK246" s="26"/>
      <c r="LL246" s="26"/>
      <c r="LM246" s="26"/>
      <c r="LN246" s="26"/>
      <c r="LO246" s="26"/>
      <c r="LP246" s="26"/>
      <c r="LQ246" s="26"/>
      <c r="LR246" s="26"/>
      <c r="LS246" s="26"/>
      <c r="LT246" s="26"/>
      <c r="LU246" s="26"/>
      <c r="LV246" s="26"/>
      <c r="LW246" s="26"/>
      <c r="LX246" s="26"/>
      <c r="LY246" s="26"/>
      <c r="LZ246" s="26"/>
      <c r="MA246" s="26"/>
      <c r="MB246" s="26"/>
      <c r="MC246" s="26"/>
      <c r="MD246" s="26"/>
      <c r="ME246" s="26"/>
      <c r="MF246" s="26"/>
      <c r="MG246" s="26"/>
      <c r="MH246" s="26"/>
      <c r="MI246" s="26"/>
      <c r="MJ246" s="26"/>
      <c r="MK246" s="26"/>
      <c r="ML246" s="26"/>
      <c r="MM246" s="26"/>
      <c r="MN246" s="26"/>
      <c r="MO246" s="26"/>
      <c r="MP246" s="26"/>
      <c r="MQ246" s="26"/>
      <c r="MR246" s="26"/>
      <c r="MS246" s="26"/>
      <c r="MT246" s="26"/>
      <c r="MU246" s="26"/>
      <c r="MV246" s="26"/>
      <c r="MW246" s="26"/>
      <c r="MX246" s="26"/>
      <c r="MY246" s="26"/>
      <c r="MZ246" s="26"/>
      <c r="NA246" s="26"/>
      <c r="NB246" s="26"/>
      <c r="NC246" s="26"/>
      <c r="ND246" s="26"/>
      <c r="NE246" s="26"/>
      <c r="NF246" s="26"/>
      <c r="NG246" s="26"/>
      <c r="NH246" s="26"/>
      <c r="NI246" s="26"/>
      <c r="NJ246" s="26"/>
      <c r="NK246" s="26"/>
      <c r="NL246" s="26"/>
      <c r="NM246" s="26"/>
      <c r="NN246" s="26"/>
      <c r="NO246" s="26"/>
      <c r="NP246" s="26"/>
      <c r="NQ246" s="26"/>
      <c r="NR246" s="26"/>
      <c r="NS246" s="26"/>
      <c r="NT246" s="26"/>
      <c r="NU246" s="26"/>
      <c r="NV246" s="26"/>
      <c r="NW246" s="26"/>
      <c r="NX246" s="26"/>
      <c r="NY246" s="26"/>
      <c r="NZ246" s="26"/>
      <c r="OA246" s="26"/>
      <c r="OB246" s="26"/>
      <c r="OC246" s="26"/>
      <c r="OD246" s="26"/>
      <c r="OE246" s="26"/>
      <c r="OF246" s="26"/>
      <c r="OG246" s="26"/>
      <c r="OH246" s="26"/>
      <c r="OI246" s="26"/>
      <c r="OJ246" s="26"/>
      <c r="OK246" s="26"/>
      <c r="OL246" s="26"/>
      <c r="OM246" s="26"/>
      <c r="ON246" s="26"/>
      <c r="OO246" s="26"/>
      <c r="OP246" s="26"/>
      <c r="OQ246" s="26"/>
      <c r="OR246" s="26"/>
      <c r="OS246" s="26"/>
      <c r="OT246" s="26"/>
      <c r="OU246" s="26"/>
      <c r="OV246" s="26"/>
      <c r="OW246" s="26"/>
      <c r="OX246" s="26"/>
      <c r="OY246" s="26"/>
      <c r="OZ246" s="26"/>
      <c r="PA246" s="26"/>
      <c r="PB246" s="26"/>
      <c r="PC246" s="26"/>
      <c r="PD246" s="26"/>
      <c r="PE246" s="26"/>
      <c r="PF246" s="26"/>
      <c r="PG246" s="26"/>
      <c r="PH246" s="26"/>
      <c r="PI246" s="26"/>
      <c r="PJ246" s="26"/>
      <c r="PK246" s="26"/>
      <c r="PL246" s="26"/>
      <c r="PM246" s="26"/>
      <c r="PN246" s="26"/>
      <c r="PO246" s="26"/>
      <c r="PP246" s="26"/>
      <c r="PQ246" s="26"/>
      <c r="PR246" s="26"/>
      <c r="PS246" s="26"/>
      <c r="PT246" s="26"/>
      <c r="PU246" s="26"/>
      <c r="PV246" s="26"/>
      <c r="PW246" s="26"/>
      <c r="PX246" s="26"/>
      <c r="PY246" s="26"/>
      <c r="PZ246" s="26"/>
      <c r="QA246" s="26"/>
      <c r="QB246" s="26"/>
      <c r="QC246" s="26"/>
      <c r="QD246" s="26"/>
      <c r="QE246" s="26"/>
      <c r="QF246" s="26"/>
      <c r="QG246" s="26"/>
      <c r="QH246" s="26"/>
      <c r="QI246" s="26"/>
      <c r="QJ246" s="26"/>
      <c r="QK246" s="26"/>
      <c r="QL246" s="26"/>
      <c r="QM246" s="26"/>
      <c r="QN246" s="26"/>
      <c r="QO246" s="26"/>
      <c r="QP246" s="26"/>
      <c r="QQ246" s="26"/>
      <c r="QR246" s="26"/>
      <c r="QS246" s="26"/>
      <c r="QT246" s="26"/>
      <c r="QU246" s="26"/>
      <c r="QV246" s="26"/>
      <c r="QW246" s="26"/>
      <c r="QX246" s="26"/>
      <c r="QY246" s="26"/>
      <c r="QZ246" s="26"/>
      <c r="RA246" s="26"/>
      <c r="RB246" s="26"/>
      <c r="RC246" s="26"/>
      <c r="RD246" s="26"/>
      <c r="RE246" s="26"/>
      <c r="RF246" s="26"/>
      <c r="RG246" s="26"/>
      <c r="RH246" s="26"/>
      <c r="RI246" s="26"/>
      <c r="RJ246" s="26"/>
      <c r="RK246" s="26"/>
      <c r="RL246" s="26"/>
      <c r="RM246" s="26"/>
      <c r="RN246" s="26"/>
      <c r="RO246" s="26"/>
      <c r="RP246" s="26"/>
      <c r="RQ246" s="26"/>
      <c r="RR246" s="26"/>
      <c r="RS246" s="26"/>
      <c r="RT246" s="26"/>
      <c r="RU246" s="26"/>
      <c r="RV246" s="26"/>
      <c r="RW246" s="26"/>
      <c r="RX246" s="26"/>
      <c r="RY246" s="26"/>
      <c r="RZ246" s="26"/>
      <c r="SA246" s="26"/>
      <c r="SB246" s="26"/>
      <c r="SC246" s="26"/>
      <c r="SD246" s="26"/>
      <c r="SE246" s="26"/>
      <c r="SF246" s="26"/>
      <c r="SG246" s="26"/>
      <c r="SH246" s="26"/>
      <c r="SI246" s="26"/>
      <c r="SJ246" s="26"/>
      <c r="SK246" s="26"/>
      <c r="SL246" s="26"/>
      <c r="SM246" s="26"/>
      <c r="SN246" s="26"/>
      <c r="SO246" s="26"/>
      <c r="SP246" s="26"/>
      <c r="SQ246" s="26"/>
      <c r="SR246" s="26"/>
      <c r="SS246" s="26"/>
      <c r="ST246" s="26"/>
      <c r="SU246" s="26"/>
      <c r="SV246" s="26"/>
      <c r="SW246" s="26"/>
      <c r="SX246" s="26"/>
      <c r="SY246" s="26"/>
      <c r="SZ246" s="26"/>
      <c r="TA246" s="26"/>
      <c r="TB246" s="26"/>
      <c r="TC246" s="26"/>
      <c r="TD246" s="26"/>
      <c r="TE246" s="26"/>
      <c r="TF246" s="26"/>
      <c r="TG246" s="26"/>
      <c r="TH246" s="26"/>
      <c r="TI246" s="26"/>
      <c r="TJ246" s="26"/>
      <c r="TK246" s="26"/>
      <c r="TL246" s="26"/>
      <c r="TM246" s="26"/>
      <c r="TN246" s="26"/>
      <c r="TO246" s="26"/>
      <c r="TP246" s="26"/>
      <c r="TQ246" s="26"/>
      <c r="TR246" s="26"/>
      <c r="TS246" s="26"/>
      <c r="TT246" s="26"/>
      <c r="TU246" s="26"/>
      <c r="TV246" s="26"/>
      <c r="TW246" s="26"/>
      <c r="TX246" s="26"/>
      <c r="TY246" s="26"/>
      <c r="TZ246" s="26"/>
      <c r="UA246" s="26"/>
      <c r="UB246" s="26"/>
      <c r="UC246" s="26"/>
      <c r="UD246" s="26"/>
      <c r="UE246" s="26"/>
      <c r="UF246" s="26"/>
      <c r="UG246" s="26"/>
      <c r="UH246" s="26"/>
      <c r="UI246" s="26"/>
      <c r="UJ246" s="26"/>
      <c r="UK246" s="26"/>
      <c r="UL246" s="26"/>
      <c r="UM246" s="26"/>
      <c r="UN246" s="26"/>
      <c r="UO246" s="26"/>
      <c r="UP246" s="26"/>
      <c r="UQ246" s="26"/>
      <c r="UR246" s="26"/>
      <c r="US246" s="26"/>
      <c r="UT246" s="26"/>
      <c r="UU246" s="26"/>
      <c r="UV246" s="26"/>
      <c r="UW246" s="26"/>
      <c r="UX246" s="26"/>
      <c r="UY246" s="26"/>
      <c r="UZ246" s="26"/>
      <c r="VA246" s="26"/>
      <c r="VB246" s="26"/>
      <c r="VC246" s="26"/>
      <c r="VD246" s="26"/>
      <c r="VE246" s="26"/>
      <c r="VF246" s="26"/>
      <c r="VG246" s="26"/>
      <c r="VH246" s="26"/>
      <c r="VI246" s="26"/>
      <c r="VJ246" s="26"/>
      <c r="VK246" s="26"/>
      <c r="VL246" s="26"/>
      <c r="VM246" s="26"/>
      <c r="VN246" s="26"/>
      <c r="VO246" s="26"/>
      <c r="VP246" s="26"/>
      <c r="VQ246" s="26"/>
      <c r="VR246" s="26"/>
      <c r="VS246" s="26"/>
      <c r="VT246" s="26"/>
      <c r="VU246" s="26"/>
      <c r="VV246" s="26"/>
      <c r="VW246" s="26"/>
      <c r="VX246" s="26"/>
      <c r="VY246" s="26"/>
      <c r="VZ246" s="26"/>
      <c r="WA246" s="26"/>
      <c r="WB246" s="26"/>
      <c r="WC246" s="26"/>
      <c r="WD246" s="26"/>
      <c r="WE246" s="26"/>
      <c r="WF246" s="26"/>
      <c r="WG246" s="26"/>
      <c r="WH246" s="26"/>
      <c r="WI246" s="26"/>
      <c r="WJ246" s="26"/>
      <c r="WK246" s="26"/>
      <c r="WL246" s="26"/>
      <c r="WM246" s="26"/>
      <c r="WN246" s="26"/>
      <c r="WO246" s="26"/>
      <c r="WP246" s="26"/>
      <c r="WQ246" s="26"/>
      <c r="WR246" s="26"/>
      <c r="WS246" s="26"/>
      <c r="WT246" s="26"/>
      <c r="WU246" s="26"/>
      <c r="WV246" s="26"/>
      <c r="WW246" s="26"/>
      <c r="WX246" s="26"/>
      <c r="WY246" s="26"/>
      <c r="WZ246" s="26"/>
      <c r="XA246" s="26"/>
      <c r="XB246" s="26"/>
      <c r="XC246" s="26"/>
      <c r="XD246" s="26"/>
      <c r="XE246" s="26"/>
      <c r="XF246" s="26"/>
      <c r="XG246" s="26"/>
      <c r="XH246" s="26"/>
      <c r="XI246" s="26"/>
      <c r="XJ246" s="26"/>
      <c r="XK246" s="26"/>
      <c r="XL246" s="26"/>
      <c r="XM246" s="26"/>
      <c r="XN246" s="26"/>
      <c r="XO246" s="26"/>
      <c r="XP246" s="26"/>
      <c r="XQ246" s="26"/>
      <c r="XR246" s="26"/>
      <c r="XS246" s="26"/>
      <c r="XT246" s="26"/>
      <c r="XU246" s="26"/>
      <c r="XV246" s="26"/>
      <c r="XW246" s="26"/>
      <c r="XX246" s="26"/>
      <c r="XY246" s="26"/>
      <c r="XZ246" s="26"/>
      <c r="YA246" s="26"/>
      <c r="YB246" s="26"/>
      <c r="YC246" s="26"/>
      <c r="YD246" s="26"/>
      <c r="YE246" s="26"/>
      <c r="YF246" s="26"/>
      <c r="YG246" s="26"/>
      <c r="YH246" s="26"/>
      <c r="YI246" s="26"/>
      <c r="YJ246" s="26"/>
      <c r="YK246" s="26"/>
      <c r="YL246" s="26"/>
      <c r="YM246" s="26"/>
      <c r="YN246" s="26"/>
      <c r="YO246" s="26"/>
      <c r="YP246" s="26"/>
      <c r="YQ246" s="26"/>
      <c r="YR246" s="26"/>
      <c r="YS246" s="26"/>
      <c r="YT246" s="26"/>
      <c r="YU246" s="26"/>
      <c r="YV246" s="26"/>
      <c r="YW246" s="26"/>
      <c r="YX246" s="26"/>
      <c r="YY246" s="26"/>
      <c r="YZ246" s="26"/>
      <c r="ZA246" s="26"/>
      <c r="ZB246" s="26"/>
      <c r="ZC246" s="26"/>
      <c r="ZD246" s="26"/>
      <c r="ZE246" s="26"/>
      <c r="ZF246" s="26"/>
      <c r="ZG246" s="26"/>
      <c r="ZH246" s="26"/>
      <c r="ZI246" s="26"/>
      <c r="ZJ246" s="26"/>
      <c r="ZK246" s="26"/>
      <c r="ZL246" s="26"/>
      <c r="ZM246" s="26"/>
      <c r="ZN246" s="26"/>
      <c r="ZO246" s="26"/>
      <c r="ZP246" s="26"/>
      <c r="ZQ246" s="26"/>
      <c r="ZR246" s="26"/>
      <c r="ZS246" s="26"/>
      <c r="ZT246" s="26"/>
      <c r="ZU246" s="26"/>
      <c r="ZV246" s="26"/>
      <c r="ZW246" s="26"/>
      <c r="ZX246" s="26"/>
      <c r="ZY246" s="26"/>
      <c r="ZZ246" s="26"/>
      <c r="AAA246" s="26"/>
      <c r="AAB246" s="26"/>
      <c r="AAC246" s="26"/>
      <c r="AAD246" s="26"/>
      <c r="AAE246" s="26"/>
      <c r="AAF246" s="26"/>
      <c r="AAG246" s="26"/>
      <c r="AAH246" s="26"/>
      <c r="AAI246" s="26"/>
      <c r="AAJ246" s="26"/>
      <c r="AAK246" s="26"/>
      <c r="AAL246" s="26"/>
      <c r="AAM246" s="26"/>
      <c r="AAN246" s="26"/>
      <c r="AAO246" s="26"/>
      <c r="AAP246" s="26"/>
      <c r="AAQ246" s="26"/>
      <c r="AAR246" s="26"/>
      <c r="AAS246" s="26"/>
      <c r="AAT246" s="26"/>
      <c r="AAU246" s="26"/>
      <c r="AAV246" s="26"/>
      <c r="AAW246" s="26"/>
      <c r="AAX246" s="26"/>
      <c r="AAY246" s="26"/>
      <c r="AAZ246" s="26"/>
      <c r="ABA246" s="26"/>
      <c r="ABB246" s="26"/>
      <c r="ABC246" s="26"/>
      <c r="ABD246" s="26"/>
      <c r="ABE246" s="26"/>
      <c r="ABF246" s="26"/>
      <c r="ABG246" s="26"/>
      <c r="ABH246" s="26"/>
      <c r="ABI246" s="26"/>
      <c r="ABJ246" s="26"/>
      <c r="ABK246" s="26"/>
      <c r="ABL246" s="26"/>
      <c r="ABM246" s="26"/>
      <c r="ABN246" s="26"/>
      <c r="ABO246" s="26"/>
      <c r="ABP246" s="26"/>
      <c r="ABQ246" s="26"/>
      <c r="ABR246" s="26"/>
      <c r="ABS246" s="26"/>
      <c r="ABT246" s="26"/>
      <c r="ABU246" s="26"/>
      <c r="ABV246" s="26"/>
      <c r="ABW246" s="26"/>
      <c r="ABX246" s="26"/>
      <c r="ABY246" s="26"/>
      <c r="ABZ246" s="26"/>
      <c r="ACA246" s="26"/>
      <c r="ACB246" s="26"/>
      <c r="ACC246" s="26"/>
      <c r="ACD246" s="26"/>
      <c r="ACE246" s="26"/>
      <c r="ACF246" s="26"/>
      <c r="ACG246" s="26"/>
      <c r="ACH246" s="26"/>
      <c r="ACI246" s="26"/>
      <c r="ACJ246" s="26"/>
      <c r="ACK246" s="26"/>
      <c r="ACL246" s="26"/>
      <c r="ACM246" s="26"/>
      <c r="ACN246" s="26"/>
      <c r="ACO246" s="26"/>
      <c r="ACP246" s="26"/>
      <c r="ACQ246" s="26"/>
      <c r="ACR246" s="26"/>
      <c r="ACS246" s="26"/>
      <c r="ACT246" s="26"/>
      <c r="ACU246" s="26"/>
      <c r="ACV246" s="26"/>
      <c r="ACW246" s="26"/>
      <c r="ACX246" s="26"/>
      <c r="ACY246" s="26"/>
      <c r="ACZ246" s="26"/>
      <c r="ADA246" s="26"/>
      <c r="ADB246" s="26"/>
      <c r="ADC246" s="26"/>
      <c r="ADD246" s="26"/>
      <c r="ADE246" s="26"/>
      <c r="ADF246" s="26"/>
      <c r="ADG246" s="26"/>
      <c r="ADH246" s="26"/>
      <c r="ADI246" s="26"/>
      <c r="ADJ246" s="26"/>
      <c r="ADK246" s="26"/>
      <c r="ADL246" s="26"/>
      <c r="ADM246" s="26"/>
      <c r="ADN246" s="26"/>
      <c r="ADO246" s="26"/>
      <c r="ADP246" s="26"/>
      <c r="ADQ246" s="26"/>
      <c r="ADR246" s="26"/>
      <c r="ADS246" s="26"/>
      <c r="ADT246" s="26"/>
      <c r="ADU246" s="26"/>
      <c r="ADV246" s="26"/>
      <c r="ADW246" s="26"/>
      <c r="ADX246" s="26"/>
      <c r="ADY246" s="26"/>
      <c r="ADZ246" s="26"/>
      <c r="AEA246" s="26"/>
      <c r="AEB246" s="26"/>
      <c r="AEC246" s="26"/>
      <c r="AED246" s="26"/>
      <c r="AEE246" s="26"/>
      <c r="AEF246" s="26"/>
      <c r="AEG246" s="26"/>
      <c r="AEH246" s="26"/>
      <c r="AEI246" s="26"/>
      <c r="AEJ246" s="26"/>
      <c r="AEK246" s="26"/>
      <c r="AEL246" s="26"/>
      <c r="AEM246" s="26"/>
      <c r="AEN246" s="26"/>
      <c r="AEO246" s="26"/>
      <c r="AEP246" s="26"/>
      <c r="AEQ246" s="26"/>
      <c r="AER246" s="26"/>
      <c r="AES246" s="26"/>
      <c r="AET246" s="26"/>
      <c r="AEU246" s="26"/>
      <c r="AEV246" s="26"/>
      <c r="AEW246" s="26"/>
      <c r="AEX246" s="26"/>
      <c r="AEY246" s="26"/>
      <c r="AEZ246" s="26"/>
      <c r="AFA246" s="26"/>
      <c r="AFB246" s="26"/>
      <c r="AFC246" s="26"/>
      <c r="AFD246" s="26"/>
      <c r="AFE246" s="26"/>
      <c r="AFF246" s="26"/>
      <c r="AFG246" s="26"/>
      <c r="AFH246" s="26"/>
      <c r="AFI246" s="26"/>
      <c r="AFJ246" s="26"/>
      <c r="AFK246" s="26"/>
      <c r="AFL246" s="26"/>
      <c r="AFM246" s="26"/>
      <c r="AFN246" s="26"/>
      <c r="AFO246" s="26"/>
      <c r="AFP246" s="26"/>
      <c r="AFQ246" s="26"/>
      <c r="AFR246" s="26"/>
      <c r="AFS246" s="26"/>
      <c r="AFT246" s="26"/>
      <c r="AFU246" s="26"/>
      <c r="AFV246" s="26"/>
      <c r="AFW246" s="26"/>
      <c r="AFX246" s="26"/>
      <c r="AFY246" s="26"/>
      <c r="AFZ246" s="26"/>
      <c r="AGA246" s="26"/>
      <c r="AGB246" s="26"/>
      <c r="AGC246" s="26"/>
      <c r="AGD246" s="26"/>
      <c r="AGE246" s="26"/>
      <c r="AGF246" s="26"/>
      <c r="AGG246" s="26"/>
      <c r="AGH246" s="26"/>
      <c r="AGI246" s="26"/>
      <c r="AGJ246" s="26"/>
      <c r="AGK246" s="26"/>
      <c r="AGL246" s="26"/>
      <c r="AGM246" s="26"/>
      <c r="AGN246" s="26"/>
      <c r="AGO246" s="26"/>
      <c r="AGP246" s="26"/>
      <c r="AGQ246" s="26"/>
      <c r="AGR246" s="26"/>
      <c r="AGS246" s="26"/>
      <c r="AGT246" s="26"/>
      <c r="AGU246" s="26"/>
      <c r="AGV246" s="26"/>
      <c r="AGW246" s="26"/>
      <c r="AGX246" s="26"/>
      <c r="AGY246" s="26"/>
      <c r="AGZ246" s="26"/>
      <c r="AHA246" s="26"/>
      <c r="AHB246" s="26"/>
      <c r="AHC246" s="26"/>
      <c r="AHD246" s="26"/>
      <c r="AHE246" s="26"/>
      <c r="AHF246" s="26"/>
      <c r="AHG246" s="26"/>
      <c r="AHH246" s="26"/>
      <c r="AHI246" s="26"/>
      <c r="AHJ246" s="26"/>
      <c r="AHK246" s="26"/>
      <c r="AHL246" s="26"/>
      <c r="AHM246" s="26"/>
      <c r="AHN246" s="26"/>
      <c r="AHO246" s="26"/>
      <c r="AHP246" s="26"/>
      <c r="AHQ246" s="26"/>
      <c r="AHR246" s="26"/>
      <c r="AHS246" s="26"/>
      <c r="AHT246" s="26"/>
      <c r="AHU246" s="26"/>
      <c r="AHV246" s="26"/>
      <c r="AHW246" s="26"/>
      <c r="AHX246" s="26"/>
      <c r="AHY246" s="26"/>
      <c r="AHZ246" s="26"/>
      <c r="AIA246" s="26"/>
      <c r="AIB246" s="26"/>
      <c r="AIC246" s="26"/>
      <c r="AID246" s="26"/>
      <c r="AIE246" s="26"/>
      <c r="AIF246" s="26"/>
      <c r="AIG246" s="26"/>
      <c r="AIH246" s="26"/>
      <c r="AII246" s="26"/>
      <c r="AIJ246" s="26"/>
      <c r="AIK246" s="26"/>
      <c r="AIL246" s="26"/>
      <c r="AIM246" s="26"/>
      <c r="AIN246" s="26"/>
      <c r="AIO246" s="26"/>
      <c r="AIP246" s="26"/>
      <c r="AIQ246" s="26"/>
      <c r="AIR246" s="26"/>
      <c r="AIS246" s="26"/>
      <c r="AIT246" s="26"/>
      <c r="AIU246" s="26"/>
      <c r="AIV246" s="26"/>
      <c r="AIW246" s="26"/>
      <c r="AIX246" s="26"/>
      <c r="AIY246" s="26"/>
      <c r="AIZ246" s="26"/>
      <c r="AJA246" s="26"/>
      <c r="AJB246" s="26"/>
      <c r="AJC246" s="26"/>
      <c r="AJD246" s="26"/>
      <c r="AJE246" s="26"/>
      <c r="AJF246" s="26"/>
      <c r="AJG246" s="26"/>
      <c r="AJH246" s="26"/>
      <c r="AJI246" s="26"/>
      <c r="AJJ246" s="26"/>
      <c r="AJK246" s="26"/>
      <c r="AJL246" s="26"/>
      <c r="AJM246" s="26"/>
      <c r="AJN246" s="26"/>
      <c r="AJO246" s="26"/>
      <c r="AJP246" s="26"/>
      <c r="AJQ246" s="26"/>
      <c r="AJR246" s="26"/>
      <c r="AJS246" s="26"/>
      <c r="AJT246" s="26"/>
      <c r="AJU246" s="26"/>
      <c r="AJV246" s="26"/>
      <c r="AJW246" s="26"/>
      <c r="AJX246" s="26"/>
      <c r="AJY246" s="26"/>
      <c r="AJZ246" s="26"/>
      <c r="AKA246" s="26"/>
      <c r="AKB246" s="26"/>
      <c r="AKC246" s="26"/>
      <c r="AKD246" s="26"/>
      <c r="AKE246" s="26"/>
      <c r="AKF246" s="26"/>
      <c r="AKG246" s="26"/>
      <c r="AKH246" s="26"/>
      <c r="AKI246" s="26"/>
      <c r="AKJ246" s="26"/>
      <c r="AKK246" s="26"/>
      <c r="AKL246" s="26"/>
      <c r="AKM246" s="26"/>
      <c r="AKN246" s="26"/>
      <c r="AKO246" s="26"/>
      <c r="AKP246" s="26"/>
      <c r="AKQ246" s="26"/>
      <c r="AKR246" s="26"/>
      <c r="AKS246" s="26"/>
      <c r="AKT246" s="26"/>
      <c r="AKU246" s="26"/>
      <c r="AKV246" s="26"/>
      <c r="AKW246" s="26"/>
      <c r="AKX246" s="26"/>
      <c r="AKY246" s="26"/>
      <c r="AKZ246" s="26"/>
      <c r="ALA246" s="26"/>
      <c r="ALB246" s="26"/>
      <c r="ALC246" s="26"/>
      <c r="ALD246" s="26"/>
      <c r="ALE246" s="26"/>
      <c r="ALF246" s="26"/>
      <c r="ALG246" s="26"/>
      <c r="ALH246" s="26"/>
      <c r="ALI246" s="26"/>
      <c r="ALJ246" s="26"/>
      <c r="ALK246" s="26"/>
      <c r="ALL246" s="26"/>
      <c r="ALM246" s="26"/>
      <c r="ALN246" s="26"/>
      <c r="ALO246" s="26"/>
      <c r="ALP246" s="26"/>
      <c r="ALQ246" s="26"/>
      <c r="ALR246" s="26"/>
      <c r="ALS246" s="26"/>
      <c r="ALT246" s="26"/>
      <c r="ALU246" s="26"/>
      <c r="ALV246" s="26"/>
      <c r="ALW246" s="26"/>
      <c r="ALX246" s="26"/>
      <c r="ALY246" s="26"/>
      <c r="ALZ246" s="26"/>
      <c r="AMA246" s="26"/>
      <c r="AMB246" s="26"/>
      <c r="AMC246" s="26"/>
      <c r="AMD246" s="26"/>
      <c r="AME246" s="26"/>
      <c r="AMF246" s="26"/>
      <c r="AMG246" s="26"/>
      <c r="AMH246" s="26"/>
      <c r="AMI246" s="26"/>
      <c r="AMJ246" s="26"/>
      <c r="AMK246" s="26"/>
      <c r="AML246" s="26"/>
      <c r="AMM246" s="26"/>
      <c r="AMN246" s="26"/>
      <c r="AMO246" s="26"/>
      <c r="AMP246" s="26"/>
      <c r="AMQ246" s="26"/>
      <c r="AMR246" s="26"/>
      <c r="AMS246" s="26"/>
      <c r="AMT246" s="26"/>
      <c r="AMU246" s="26"/>
      <c r="AMV246" s="26"/>
      <c r="AMW246" s="26"/>
      <c r="AMX246" s="26"/>
      <c r="AMY246" s="26"/>
      <c r="AMZ246" s="26"/>
      <c r="ANA246" s="26"/>
      <c r="ANB246" s="26"/>
      <c r="ANC246" s="26"/>
      <c r="AND246" s="26"/>
      <c r="ANE246" s="26"/>
      <c r="ANF246" s="26"/>
      <c r="ANG246" s="26"/>
      <c r="ANH246" s="26"/>
      <c r="ANI246" s="26"/>
      <c r="ANJ246" s="26"/>
      <c r="ANK246" s="26"/>
      <c r="ANL246" s="26"/>
      <c r="ANM246" s="26"/>
      <c r="ANN246" s="26"/>
      <c r="ANO246" s="26"/>
      <c r="ANP246" s="26"/>
      <c r="ANQ246" s="26"/>
      <c r="ANR246" s="26"/>
      <c r="ANS246" s="26"/>
      <c r="ANT246" s="26"/>
      <c r="ANU246" s="26"/>
      <c r="ANV246" s="26"/>
      <c r="ANW246" s="26"/>
      <c r="ANX246" s="26"/>
      <c r="ANY246" s="26"/>
      <c r="ANZ246" s="26"/>
      <c r="AOA246" s="26"/>
      <c r="AOB246" s="26"/>
      <c r="AOC246" s="26"/>
      <c r="AOD246" s="26"/>
      <c r="AOE246" s="26"/>
      <c r="AOF246" s="26"/>
      <c r="AOG246" s="26"/>
      <c r="AOH246" s="26"/>
      <c r="AOI246" s="26"/>
      <c r="AOJ246" s="26"/>
      <c r="AOK246" s="26"/>
      <c r="AOL246" s="26"/>
      <c r="AOM246" s="26"/>
      <c r="AON246" s="26"/>
      <c r="AOO246" s="26"/>
      <c r="AOP246" s="26"/>
      <c r="AOQ246" s="26"/>
      <c r="AOR246" s="26"/>
      <c r="AOS246" s="26"/>
      <c r="AOT246" s="26"/>
      <c r="AOU246" s="26"/>
      <c r="AOV246" s="26"/>
      <c r="AOW246" s="26"/>
      <c r="AOX246" s="26"/>
      <c r="AOY246" s="26"/>
      <c r="AOZ246" s="26"/>
      <c r="APA246" s="26"/>
      <c r="APB246" s="26"/>
      <c r="APC246" s="26"/>
      <c r="APD246" s="26"/>
      <c r="APE246" s="26"/>
      <c r="APF246" s="26"/>
      <c r="APG246" s="26"/>
      <c r="APH246" s="26"/>
      <c r="API246" s="26"/>
      <c r="APJ246" s="26"/>
      <c r="APK246" s="26"/>
      <c r="APL246" s="26"/>
      <c r="APM246" s="26"/>
      <c r="APN246" s="26"/>
      <c r="APO246" s="26"/>
      <c r="APP246" s="26"/>
      <c r="APQ246" s="26"/>
      <c r="APR246" s="26"/>
      <c r="APS246" s="26"/>
      <c r="APT246" s="26"/>
      <c r="APU246" s="26"/>
      <c r="APV246" s="26"/>
      <c r="APW246" s="26"/>
      <c r="APX246" s="26"/>
      <c r="APY246" s="26"/>
      <c r="APZ246" s="26"/>
      <c r="AQA246" s="26"/>
      <c r="AQB246" s="26"/>
      <c r="AQC246" s="26"/>
      <c r="AQD246" s="26"/>
      <c r="AQE246" s="26"/>
      <c r="AQF246" s="26"/>
      <c r="AQG246" s="26"/>
      <c r="AQH246" s="26"/>
      <c r="AQI246" s="26"/>
      <c r="AQJ246" s="26"/>
      <c r="AQK246" s="26"/>
      <c r="AQL246" s="26"/>
      <c r="AQM246" s="26"/>
      <c r="AQN246" s="26"/>
      <c r="AQO246" s="26"/>
      <c r="AQP246" s="26"/>
      <c r="AQQ246" s="26"/>
      <c r="AQR246" s="26"/>
      <c r="AQS246" s="26"/>
      <c r="AQT246" s="26"/>
      <c r="AQU246" s="26"/>
      <c r="AQV246" s="26"/>
      <c r="AQW246" s="26"/>
      <c r="AQX246" s="26"/>
      <c r="AQY246" s="26"/>
      <c r="AQZ246" s="26"/>
      <c r="ARA246" s="26"/>
      <c r="ARB246" s="26"/>
      <c r="ARC246" s="26"/>
      <c r="ARD246" s="26"/>
      <c r="ARE246" s="26"/>
      <c r="ARF246" s="26"/>
      <c r="ARG246" s="26"/>
      <c r="ARH246" s="26"/>
      <c r="ARI246" s="26"/>
      <c r="ARJ246" s="26"/>
      <c r="ARK246" s="26"/>
      <c r="ARL246" s="26"/>
      <c r="ARM246" s="26"/>
      <c r="ARN246" s="26"/>
      <c r="ARO246" s="26"/>
      <c r="ARP246" s="26"/>
      <c r="ARQ246" s="26"/>
      <c r="ARR246" s="26"/>
      <c r="ARS246" s="26"/>
      <c r="ART246" s="26"/>
      <c r="ARU246" s="26"/>
      <c r="ARV246" s="26"/>
      <c r="ARW246" s="26"/>
      <c r="ARX246" s="26"/>
      <c r="ARY246" s="26"/>
      <c r="ARZ246" s="26"/>
      <c r="ASA246" s="26"/>
      <c r="ASB246" s="26"/>
      <c r="ASC246" s="26"/>
      <c r="ASD246" s="26"/>
      <c r="ASE246" s="26"/>
      <c r="ASF246" s="26"/>
      <c r="ASG246" s="26"/>
      <c r="ASH246" s="26"/>
      <c r="ASI246" s="26"/>
      <c r="ASJ246" s="26"/>
      <c r="ASK246" s="26"/>
      <c r="ASL246" s="26"/>
      <c r="ASM246" s="26"/>
      <c r="ASN246" s="26"/>
      <c r="ASO246" s="26"/>
      <c r="ASP246" s="26"/>
      <c r="ASQ246" s="26"/>
      <c r="ASR246" s="26"/>
      <c r="ASS246" s="26"/>
      <c r="AST246" s="26"/>
      <c r="ASU246" s="26"/>
      <c r="ASV246" s="26"/>
      <c r="ASW246" s="26"/>
      <c r="ASX246" s="26"/>
      <c r="ASY246" s="26"/>
      <c r="ASZ246" s="26"/>
      <c r="ATA246" s="26"/>
      <c r="ATB246" s="26"/>
      <c r="ATC246" s="26"/>
      <c r="ATD246" s="26"/>
      <c r="ATE246" s="26"/>
      <c r="ATF246" s="26"/>
      <c r="ATG246" s="26"/>
      <c r="ATH246" s="26"/>
      <c r="ATI246" s="26"/>
      <c r="ATJ246" s="26"/>
      <c r="ATK246" s="26"/>
      <c r="ATL246" s="26"/>
      <c r="ATM246" s="26"/>
      <c r="ATN246" s="26"/>
      <c r="ATO246" s="26"/>
      <c r="ATP246" s="26"/>
      <c r="ATQ246" s="26"/>
      <c r="ATR246" s="26"/>
      <c r="ATS246" s="26"/>
      <c r="ATT246" s="26"/>
      <c r="ATU246" s="26"/>
      <c r="ATV246" s="26"/>
      <c r="ATW246" s="26"/>
      <c r="ATX246" s="26"/>
      <c r="ATY246" s="26"/>
      <c r="ATZ246" s="26"/>
      <c r="AUA246" s="26"/>
      <c r="AUB246" s="26"/>
      <c r="AUC246" s="26"/>
      <c r="AUD246" s="26"/>
      <c r="AUE246" s="26"/>
      <c r="AUF246" s="26"/>
      <c r="AUG246" s="26"/>
      <c r="AUH246" s="26"/>
      <c r="AUI246" s="26"/>
      <c r="AUJ246" s="26"/>
      <c r="AUK246" s="26"/>
      <c r="AUL246" s="26"/>
      <c r="AUM246" s="26"/>
      <c r="AUN246" s="26"/>
      <c r="AUO246" s="26"/>
      <c r="AUP246" s="26"/>
      <c r="AUQ246" s="26"/>
      <c r="AUR246" s="26"/>
      <c r="AUS246" s="26"/>
      <c r="AUT246" s="26"/>
      <c r="AUU246" s="26"/>
      <c r="AUV246" s="26"/>
      <c r="AUW246" s="26"/>
      <c r="AUX246" s="26"/>
      <c r="AUY246" s="26"/>
      <c r="AUZ246" s="26"/>
      <c r="AVA246" s="26"/>
      <c r="AVB246" s="26"/>
      <c r="AVC246" s="26"/>
      <c r="AVD246" s="26"/>
      <c r="AVE246" s="26"/>
      <c r="AVF246" s="26"/>
      <c r="AVG246" s="26"/>
      <c r="AVH246" s="26"/>
      <c r="AVI246" s="26"/>
      <c r="AVJ246" s="26"/>
      <c r="AVK246" s="26"/>
      <c r="AVL246" s="26"/>
      <c r="AVM246" s="26"/>
      <c r="AVN246" s="26"/>
      <c r="AVO246" s="26"/>
      <c r="AVP246" s="26"/>
      <c r="AVQ246" s="26"/>
      <c r="AVR246" s="26"/>
      <c r="AVS246" s="26"/>
      <c r="AVT246" s="26"/>
      <c r="AVU246" s="26"/>
      <c r="AVV246" s="26"/>
      <c r="AVW246" s="26"/>
      <c r="AVX246" s="26"/>
      <c r="AVY246" s="26"/>
      <c r="AVZ246" s="26"/>
      <c r="AWA246" s="26"/>
      <c r="AWB246" s="26"/>
      <c r="AWC246" s="26"/>
      <c r="AWD246" s="26"/>
      <c r="AWE246" s="26"/>
      <c r="AWF246" s="26"/>
      <c r="AWG246" s="26"/>
      <c r="AWH246" s="26"/>
      <c r="AWI246" s="26"/>
      <c r="AWJ246" s="26"/>
      <c r="AWK246" s="26"/>
      <c r="AWL246" s="26"/>
      <c r="AWM246" s="26"/>
      <c r="AWN246" s="26"/>
      <c r="AWO246" s="26"/>
      <c r="AWP246" s="26"/>
      <c r="AWQ246" s="26"/>
      <c r="AWR246" s="26"/>
      <c r="AWS246" s="26"/>
      <c r="AWT246" s="26"/>
      <c r="AWU246" s="26"/>
      <c r="AWV246" s="26"/>
      <c r="AWW246" s="26"/>
      <c r="AWX246" s="26"/>
      <c r="AWY246" s="26"/>
      <c r="AWZ246" s="26"/>
      <c r="AXA246" s="26"/>
      <c r="AXB246" s="26"/>
      <c r="AXC246" s="26"/>
      <c r="AXD246" s="26"/>
      <c r="AXE246" s="26"/>
      <c r="AXF246" s="26"/>
      <c r="AXG246" s="26"/>
      <c r="AXH246" s="26"/>
      <c r="AXI246" s="26"/>
      <c r="AXJ246" s="26"/>
      <c r="AXK246" s="26"/>
      <c r="AXL246" s="26"/>
      <c r="AXM246" s="26"/>
      <c r="AXN246" s="26"/>
      <c r="AXO246" s="26"/>
      <c r="AXP246" s="26"/>
      <c r="AXQ246" s="26"/>
      <c r="AXR246" s="26"/>
      <c r="AXS246" s="26"/>
      <c r="AXT246" s="26"/>
      <c r="AXU246" s="26"/>
      <c r="AXV246" s="26"/>
      <c r="AXW246" s="26"/>
      <c r="AXX246" s="26"/>
      <c r="AXY246" s="26"/>
      <c r="AXZ246" s="26"/>
      <c r="AYA246" s="26"/>
      <c r="AYB246" s="26"/>
      <c r="AYC246" s="26"/>
      <c r="AYD246" s="26"/>
      <c r="AYE246" s="26"/>
      <c r="AYF246" s="26"/>
      <c r="AYG246" s="26"/>
      <c r="AYH246" s="26"/>
      <c r="AYI246" s="26"/>
      <c r="AYJ246" s="26"/>
      <c r="AYK246" s="26"/>
      <c r="AYL246" s="26"/>
      <c r="AYM246" s="26"/>
      <c r="AYN246" s="26"/>
      <c r="AYO246" s="26"/>
      <c r="AYP246" s="26"/>
      <c r="AYQ246" s="26"/>
      <c r="AYR246" s="26"/>
      <c r="AYS246" s="26"/>
      <c r="AYT246" s="26"/>
      <c r="AYU246" s="26"/>
      <c r="AYV246" s="26"/>
      <c r="AYW246" s="26"/>
      <c r="AYX246" s="26"/>
      <c r="AYY246" s="26"/>
      <c r="AYZ246" s="26"/>
      <c r="AZA246" s="26"/>
      <c r="AZB246" s="26"/>
      <c r="AZC246" s="26"/>
      <c r="AZD246" s="26"/>
      <c r="AZE246" s="26"/>
      <c r="AZF246" s="26"/>
      <c r="AZG246" s="26"/>
      <c r="AZH246" s="26"/>
      <c r="AZI246" s="26"/>
      <c r="AZJ246" s="26"/>
      <c r="AZK246" s="26"/>
      <c r="AZL246" s="26"/>
      <c r="AZM246" s="26"/>
      <c r="AZN246" s="26"/>
      <c r="AZO246" s="26"/>
      <c r="AZP246" s="26"/>
      <c r="AZQ246" s="26"/>
      <c r="AZR246" s="26"/>
      <c r="AZS246" s="26"/>
      <c r="AZT246" s="26"/>
      <c r="AZU246" s="26"/>
      <c r="AZV246" s="26"/>
      <c r="AZW246" s="26"/>
      <c r="AZX246" s="26"/>
      <c r="AZY246" s="26"/>
      <c r="AZZ246" s="26"/>
      <c r="BAA246" s="26"/>
      <c r="BAB246" s="26"/>
      <c r="BAC246" s="26"/>
      <c r="BAD246" s="26"/>
      <c r="BAE246" s="26"/>
      <c r="BAF246" s="26"/>
      <c r="BAG246" s="26"/>
      <c r="BAH246" s="26"/>
      <c r="BAI246" s="26"/>
      <c r="BAJ246" s="26"/>
      <c r="BAK246" s="26"/>
      <c r="BAL246" s="26"/>
      <c r="BAM246" s="26"/>
      <c r="BAN246" s="26"/>
      <c r="BAO246" s="26"/>
      <c r="BAP246" s="26"/>
      <c r="BAQ246" s="26"/>
      <c r="BAR246" s="26"/>
      <c r="BAS246" s="26"/>
      <c r="BAT246" s="26"/>
      <c r="BAU246" s="26"/>
      <c r="BAV246" s="26"/>
      <c r="BAW246" s="26"/>
      <c r="BAX246" s="26"/>
      <c r="BAY246" s="26"/>
      <c r="BAZ246" s="26"/>
      <c r="BBA246" s="26"/>
      <c r="BBB246" s="26"/>
      <c r="BBC246" s="26"/>
      <c r="BBD246" s="26"/>
      <c r="BBE246" s="26"/>
      <c r="BBF246" s="26"/>
      <c r="BBG246" s="26"/>
      <c r="BBH246" s="26"/>
      <c r="BBI246" s="26"/>
      <c r="BBJ246" s="26"/>
      <c r="BBK246" s="26"/>
      <c r="BBL246" s="26"/>
      <c r="BBM246" s="26"/>
      <c r="BBN246" s="26"/>
      <c r="BBO246" s="26"/>
      <c r="BBP246" s="26"/>
      <c r="BBQ246" s="26"/>
      <c r="BBR246" s="26"/>
      <c r="BBS246" s="26"/>
      <c r="BBT246" s="26"/>
      <c r="BBU246" s="26"/>
      <c r="BBV246" s="26"/>
      <c r="BBW246" s="26"/>
      <c r="BBX246" s="26"/>
      <c r="BBY246" s="26"/>
      <c r="BBZ246" s="26"/>
      <c r="BCA246" s="26"/>
      <c r="BCB246" s="26"/>
      <c r="BCC246" s="26"/>
      <c r="BCD246" s="26"/>
      <c r="BCE246" s="26"/>
      <c r="BCF246" s="26"/>
      <c r="BCG246" s="26"/>
      <c r="BCH246" s="26"/>
      <c r="BCI246" s="26"/>
      <c r="BCJ246" s="26"/>
      <c r="BCK246" s="26"/>
      <c r="BCL246" s="26"/>
      <c r="BCM246" s="26"/>
      <c r="BCN246" s="26"/>
      <c r="BCO246" s="26"/>
      <c r="BCP246" s="26"/>
      <c r="BCQ246" s="26"/>
      <c r="BCR246" s="26"/>
      <c r="BCS246" s="26"/>
      <c r="BCT246" s="26"/>
      <c r="BCU246" s="26"/>
      <c r="BCV246" s="26"/>
      <c r="BCW246" s="26"/>
      <c r="BCX246" s="26"/>
      <c r="BCY246" s="26"/>
      <c r="BCZ246" s="26"/>
      <c r="BDA246" s="26"/>
      <c r="BDB246" s="26"/>
      <c r="BDC246" s="26"/>
      <c r="BDD246" s="26"/>
      <c r="BDE246" s="26"/>
      <c r="BDF246" s="26"/>
      <c r="BDG246" s="26"/>
      <c r="BDH246" s="26"/>
      <c r="BDI246" s="26"/>
      <c r="BDJ246" s="26"/>
      <c r="BDK246" s="26"/>
      <c r="BDL246" s="26"/>
      <c r="BDM246" s="26"/>
      <c r="BDN246" s="26"/>
      <c r="BDO246" s="26"/>
      <c r="BDP246" s="26"/>
      <c r="BDQ246" s="26"/>
      <c r="BDR246" s="26"/>
      <c r="BDS246" s="26"/>
      <c r="BDT246" s="26"/>
      <c r="BDU246" s="26"/>
      <c r="BDV246" s="26"/>
      <c r="BDW246" s="26"/>
      <c r="BDX246" s="26"/>
      <c r="BDY246" s="26"/>
      <c r="BDZ246" s="26"/>
      <c r="BEA246" s="26"/>
      <c r="BEB246" s="26"/>
      <c r="BEC246" s="26"/>
      <c r="BED246" s="26"/>
      <c r="BEE246" s="26"/>
      <c r="BEF246" s="26"/>
      <c r="BEG246" s="26"/>
      <c r="BEH246" s="26"/>
      <c r="BEI246" s="26"/>
      <c r="BEJ246" s="26"/>
      <c r="BEK246" s="26"/>
      <c r="BEL246" s="26"/>
      <c r="BEM246" s="26"/>
      <c r="BEN246" s="26"/>
      <c r="BEO246" s="26"/>
      <c r="BEP246" s="26"/>
      <c r="BEQ246" s="26"/>
      <c r="BER246" s="26"/>
      <c r="BES246" s="26"/>
      <c r="BET246" s="26"/>
      <c r="BEU246" s="26"/>
      <c r="BEV246" s="26"/>
      <c r="BEW246" s="26"/>
      <c r="BEX246" s="26"/>
      <c r="BEY246" s="26"/>
      <c r="BEZ246" s="26"/>
      <c r="BFA246" s="26"/>
      <c r="BFB246" s="26"/>
      <c r="BFC246" s="26"/>
      <c r="BFD246" s="26"/>
      <c r="BFE246" s="26"/>
      <c r="BFF246" s="26"/>
      <c r="BFG246" s="26"/>
      <c r="BFH246" s="26"/>
      <c r="BFI246" s="26"/>
      <c r="BFJ246" s="26"/>
      <c r="BFK246" s="26"/>
      <c r="BFL246" s="26"/>
      <c r="BFM246" s="26"/>
      <c r="BFN246" s="26"/>
      <c r="BFO246" s="26"/>
      <c r="BFP246" s="26"/>
      <c r="BFQ246" s="26"/>
      <c r="BFR246" s="26"/>
      <c r="BFS246" s="26"/>
      <c r="BFT246" s="26"/>
      <c r="BFU246" s="26"/>
      <c r="BFV246" s="26"/>
      <c r="BFW246" s="26"/>
      <c r="BFX246" s="26"/>
      <c r="BFY246" s="26"/>
      <c r="BFZ246" s="26"/>
      <c r="BGA246" s="26"/>
      <c r="BGB246" s="26"/>
      <c r="BGC246" s="26"/>
      <c r="BGD246" s="26"/>
      <c r="BGE246" s="26"/>
      <c r="BGF246" s="26"/>
      <c r="BGG246" s="26"/>
      <c r="BGH246" s="26"/>
      <c r="BGI246" s="26"/>
      <c r="BGJ246" s="26"/>
      <c r="BGK246" s="26"/>
      <c r="BGL246" s="26"/>
      <c r="BGM246" s="26"/>
      <c r="BGN246" s="26"/>
      <c r="BGO246" s="26"/>
      <c r="BGP246" s="26"/>
      <c r="BGQ246" s="26"/>
      <c r="BGR246" s="26"/>
      <c r="BGS246" s="26"/>
      <c r="BGT246" s="26"/>
      <c r="BGU246" s="26"/>
      <c r="BGV246" s="26"/>
      <c r="BGW246" s="26"/>
      <c r="BGX246" s="26"/>
      <c r="BGY246" s="26"/>
      <c r="BGZ246" s="26"/>
      <c r="BHA246" s="26"/>
      <c r="BHB246" s="26"/>
      <c r="BHC246" s="26"/>
      <c r="BHD246" s="26"/>
      <c r="BHE246" s="26"/>
      <c r="BHF246" s="26"/>
      <c r="BHG246" s="26"/>
      <c r="BHH246" s="26"/>
      <c r="BHI246" s="26"/>
      <c r="BHJ246" s="26"/>
      <c r="BHK246" s="26"/>
      <c r="BHL246" s="26"/>
      <c r="BHM246" s="26"/>
      <c r="BHN246" s="26"/>
      <c r="BHO246" s="26"/>
      <c r="BHP246" s="26"/>
      <c r="BHQ246" s="26"/>
      <c r="BHR246" s="26"/>
      <c r="BHS246" s="26"/>
      <c r="BHT246" s="26"/>
      <c r="BHU246" s="26"/>
      <c r="BHV246" s="26"/>
      <c r="BHW246" s="26"/>
      <c r="BHX246" s="26"/>
      <c r="BHY246" s="26"/>
      <c r="BHZ246" s="26"/>
      <c r="BIA246" s="26"/>
      <c r="BIB246" s="26"/>
      <c r="BIC246" s="26"/>
      <c r="BID246" s="26"/>
      <c r="BIE246" s="26"/>
      <c r="BIF246" s="26"/>
      <c r="BIG246" s="26"/>
      <c r="BIH246" s="26"/>
      <c r="BII246" s="26"/>
      <c r="BIJ246" s="26"/>
      <c r="BIK246" s="26"/>
      <c r="BIL246" s="26"/>
      <c r="BIM246" s="26"/>
      <c r="BIN246" s="26"/>
      <c r="BIO246" s="26"/>
      <c r="BIP246" s="26"/>
      <c r="BIQ246" s="26"/>
      <c r="BIR246" s="26"/>
      <c r="BIS246" s="26"/>
      <c r="BIT246" s="26"/>
      <c r="BIU246" s="26"/>
      <c r="BIV246" s="26"/>
      <c r="BIW246" s="26"/>
      <c r="BIX246" s="26"/>
      <c r="BIY246" s="26"/>
      <c r="BIZ246" s="26"/>
      <c r="BJA246" s="26"/>
      <c r="BJB246" s="26"/>
      <c r="BJC246" s="26"/>
      <c r="BJD246" s="26"/>
      <c r="BJE246" s="26"/>
      <c r="BJF246" s="26"/>
      <c r="BJG246" s="26"/>
      <c r="BJH246" s="26"/>
      <c r="BJI246" s="26"/>
      <c r="BJJ246" s="26"/>
      <c r="BJK246" s="26"/>
      <c r="BJL246" s="26"/>
      <c r="BJM246" s="26"/>
      <c r="BJN246" s="26"/>
      <c r="BJO246" s="26"/>
      <c r="BJP246" s="26"/>
      <c r="BJQ246" s="26"/>
      <c r="BJR246" s="26"/>
      <c r="BJS246" s="26"/>
      <c r="BJT246" s="26"/>
      <c r="BJU246" s="26"/>
      <c r="BJV246" s="26"/>
      <c r="BJW246" s="26"/>
      <c r="BJX246" s="26"/>
      <c r="BJY246" s="26"/>
      <c r="BJZ246" s="26"/>
      <c r="BKA246" s="26"/>
      <c r="BKB246" s="26"/>
      <c r="BKC246" s="26"/>
      <c r="BKD246" s="26"/>
      <c r="BKE246" s="26"/>
      <c r="BKF246" s="26"/>
      <c r="BKG246" s="26"/>
      <c r="BKH246" s="26"/>
      <c r="BKI246" s="26"/>
      <c r="BKJ246" s="26"/>
      <c r="BKK246" s="26"/>
      <c r="BKL246" s="26"/>
      <c r="BKM246" s="26"/>
      <c r="BKN246" s="26"/>
      <c r="BKO246" s="26"/>
      <c r="BKP246" s="26"/>
      <c r="BKQ246" s="26"/>
      <c r="BKR246" s="26"/>
      <c r="BKS246" s="26"/>
      <c r="BKT246" s="26"/>
      <c r="BKU246" s="26"/>
      <c r="BKV246" s="26"/>
      <c r="BKW246" s="26"/>
      <c r="BKX246" s="26"/>
      <c r="BKY246" s="26"/>
      <c r="BKZ246" s="26"/>
      <c r="BLA246" s="26"/>
      <c r="BLB246" s="26"/>
      <c r="BLC246" s="26"/>
      <c r="BLD246" s="26"/>
      <c r="BLE246" s="26"/>
      <c r="BLF246" s="26"/>
      <c r="BLG246" s="26"/>
      <c r="BLH246" s="26"/>
      <c r="BLI246" s="26"/>
      <c r="BLJ246" s="26"/>
      <c r="BLK246" s="26"/>
      <c r="BLL246" s="26"/>
      <c r="BLM246" s="26"/>
      <c r="BLN246" s="26"/>
      <c r="BLO246" s="26"/>
      <c r="BLP246" s="26"/>
      <c r="BLQ246" s="26"/>
      <c r="BLR246" s="26"/>
      <c r="BLS246" s="26"/>
      <c r="BLT246" s="26"/>
      <c r="BLU246" s="26"/>
      <c r="BLV246" s="26"/>
      <c r="BLW246" s="26"/>
      <c r="BLX246" s="26"/>
      <c r="BLY246" s="26"/>
      <c r="BLZ246" s="26"/>
      <c r="BMA246" s="26"/>
      <c r="BMB246" s="26"/>
      <c r="BMC246" s="26"/>
      <c r="BMD246" s="26"/>
      <c r="BME246" s="26"/>
      <c r="BMF246" s="26"/>
      <c r="BMG246" s="26"/>
      <c r="BMH246" s="26"/>
      <c r="BMI246" s="26"/>
      <c r="BMJ246" s="26"/>
      <c r="BMK246" s="26"/>
      <c r="BML246" s="26"/>
      <c r="BMM246" s="26"/>
      <c r="BMN246" s="26"/>
      <c r="BMO246" s="26"/>
      <c r="BMP246" s="26"/>
      <c r="BMQ246" s="26"/>
      <c r="BMR246" s="26"/>
      <c r="BMS246" s="26"/>
      <c r="BMT246" s="26"/>
      <c r="BMU246" s="26"/>
      <c r="BMV246" s="26"/>
      <c r="BMW246" s="26"/>
      <c r="BMX246" s="26"/>
      <c r="BMY246" s="26"/>
      <c r="BMZ246" s="26"/>
      <c r="BNA246" s="26"/>
      <c r="BNB246" s="26"/>
      <c r="BNC246" s="26"/>
      <c r="BND246" s="26"/>
      <c r="BNE246" s="26"/>
      <c r="BNF246" s="26"/>
      <c r="BNG246" s="26"/>
      <c r="BNH246" s="26"/>
      <c r="BNI246" s="26"/>
      <c r="BNJ246" s="26"/>
      <c r="BNK246" s="26"/>
      <c r="BNL246" s="26"/>
      <c r="BNM246" s="26"/>
      <c r="BNN246" s="26"/>
      <c r="BNO246" s="26"/>
      <c r="BNP246" s="26"/>
      <c r="BNQ246" s="26"/>
      <c r="BNR246" s="26"/>
      <c r="BNS246" s="26"/>
      <c r="BNT246" s="26"/>
      <c r="BNU246" s="26"/>
      <c r="BNV246" s="26"/>
      <c r="BNW246" s="26"/>
      <c r="BNX246" s="26"/>
      <c r="BNY246" s="26"/>
      <c r="BNZ246" s="26"/>
      <c r="BOA246" s="26"/>
      <c r="BOB246" s="26"/>
      <c r="BOC246" s="26"/>
      <c r="BOD246" s="26"/>
      <c r="BOE246" s="26"/>
      <c r="BOF246" s="26"/>
      <c r="BOG246" s="26"/>
      <c r="BOH246" s="26"/>
      <c r="BOI246" s="26"/>
      <c r="BOJ246" s="26"/>
      <c r="BOK246" s="26"/>
      <c r="BOL246" s="26"/>
      <c r="BOM246" s="26"/>
      <c r="BON246" s="26"/>
      <c r="BOO246" s="26"/>
      <c r="BOP246" s="26"/>
      <c r="BOQ246" s="26"/>
      <c r="BOR246" s="26"/>
      <c r="BOS246" s="26"/>
      <c r="BOT246" s="26"/>
      <c r="BOU246" s="26"/>
      <c r="BOV246" s="26"/>
      <c r="BOW246" s="26"/>
      <c r="BOX246" s="26"/>
      <c r="BOY246" s="26"/>
      <c r="BOZ246" s="26"/>
      <c r="BPA246" s="26"/>
      <c r="BPB246" s="26"/>
      <c r="BPC246" s="26"/>
      <c r="BPD246" s="26"/>
      <c r="BPE246" s="26"/>
      <c r="BPF246" s="26"/>
      <c r="BPG246" s="26"/>
      <c r="BPH246" s="26"/>
      <c r="BPI246" s="26"/>
      <c r="BPJ246" s="26"/>
      <c r="BPK246" s="26"/>
      <c r="BPL246" s="26"/>
      <c r="BPM246" s="26"/>
      <c r="BPN246" s="26"/>
      <c r="BPO246" s="26"/>
      <c r="BPP246" s="26"/>
      <c r="BPQ246" s="26"/>
      <c r="BPR246" s="26"/>
      <c r="BPS246" s="26"/>
      <c r="BPT246" s="26"/>
      <c r="BPU246" s="26"/>
      <c r="BPV246" s="26"/>
      <c r="BPW246" s="26"/>
      <c r="BPX246" s="26"/>
      <c r="BPY246" s="26"/>
      <c r="BPZ246" s="26"/>
      <c r="BQA246" s="26"/>
      <c r="BQB246" s="26"/>
      <c r="BQC246" s="26"/>
      <c r="BQD246" s="26"/>
      <c r="BQE246" s="26"/>
      <c r="BQF246" s="26"/>
      <c r="BQG246" s="26"/>
      <c r="BQH246" s="26"/>
      <c r="BQI246" s="26"/>
      <c r="BQJ246" s="26"/>
      <c r="BQK246" s="26"/>
      <c r="BQL246" s="26"/>
      <c r="BQM246" s="26"/>
      <c r="BQN246" s="26"/>
      <c r="BQO246" s="26"/>
      <c r="BQP246" s="26"/>
      <c r="BQQ246" s="26"/>
      <c r="BQR246" s="26"/>
      <c r="BQS246" s="26"/>
      <c r="BQT246" s="26"/>
      <c r="BQU246" s="26"/>
      <c r="BQV246" s="26"/>
      <c r="BQW246" s="26"/>
      <c r="BQX246" s="26"/>
      <c r="BQY246" s="26"/>
      <c r="BQZ246" s="26"/>
      <c r="BRA246" s="26"/>
      <c r="BRB246" s="26"/>
      <c r="BRC246" s="26"/>
      <c r="BRD246" s="26"/>
      <c r="BRE246" s="26"/>
      <c r="BRF246" s="26"/>
      <c r="BRG246" s="26"/>
      <c r="BRH246" s="26"/>
      <c r="BRI246" s="26"/>
      <c r="BRJ246" s="26"/>
      <c r="BRK246" s="26"/>
      <c r="BRL246" s="26"/>
      <c r="BRM246" s="26"/>
      <c r="BRN246" s="26"/>
      <c r="BRO246" s="26"/>
      <c r="BRP246" s="26"/>
      <c r="BRQ246" s="26"/>
      <c r="BRR246" s="26"/>
      <c r="BRS246" s="26"/>
      <c r="BRT246" s="26"/>
      <c r="BRU246" s="26"/>
      <c r="BRV246" s="26"/>
      <c r="BRW246" s="26"/>
      <c r="BRX246" s="26"/>
      <c r="BRY246" s="26"/>
      <c r="BRZ246" s="26"/>
      <c r="BSA246" s="26"/>
      <c r="BSB246" s="26"/>
      <c r="BSC246" s="26"/>
      <c r="BSD246" s="26"/>
      <c r="BSE246" s="26"/>
      <c r="BSF246" s="26"/>
      <c r="BSG246" s="26"/>
      <c r="BSH246" s="26"/>
      <c r="BSI246" s="26"/>
      <c r="BSJ246" s="26"/>
      <c r="BSK246" s="26"/>
      <c r="BSL246" s="26"/>
      <c r="BSM246" s="26"/>
      <c r="BSN246" s="26"/>
      <c r="BSO246" s="26"/>
      <c r="BSP246" s="26"/>
      <c r="BSQ246" s="26"/>
      <c r="BSR246" s="26"/>
      <c r="BSS246" s="26"/>
      <c r="BST246" s="26"/>
      <c r="BSU246" s="26"/>
      <c r="BSV246" s="26"/>
      <c r="BSW246" s="26"/>
      <c r="BSX246" s="26"/>
      <c r="BSY246" s="26"/>
      <c r="BSZ246" s="26"/>
      <c r="BTA246" s="26"/>
      <c r="BTB246" s="26"/>
      <c r="BTC246" s="26"/>
      <c r="BTD246" s="26"/>
      <c r="BTE246" s="26"/>
      <c r="BTF246" s="26"/>
      <c r="BTG246" s="26"/>
      <c r="BTH246" s="26"/>
      <c r="BTI246" s="26"/>
      <c r="BTJ246" s="26"/>
      <c r="BTK246" s="26"/>
      <c r="BTL246" s="26"/>
      <c r="BTM246" s="26"/>
      <c r="BTN246" s="26"/>
      <c r="BTO246" s="26"/>
      <c r="BTP246" s="26"/>
      <c r="BTQ246" s="26"/>
      <c r="BTR246" s="26"/>
      <c r="BTS246" s="26"/>
      <c r="BTT246" s="26"/>
      <c r="BTU246" s="26"/>
      <c r="BTV246" s="26"/>
      <c r="BTW246" s="26"/>
      <c r="BTX246" s="26"/>
      <c r="BTY246" s="26"/>
      <c r="BTZ246" s="26"/>
      <c r="BUA246" s="26"/>
      <c r="BUB246" s="26"/>
      <c r="BUC246" s="26"/>
      <c r="BUD246" s="26"/>
      <c r="BUE246" s="26"/>
      <c r="BUF246" s="26"/>
      <c r="BUG246" s="26"/>
      <c r="BUH246" s="26"/>
      <c r="BUI246" s="26"/>
      <c r="BUJ246" s="26"/>
      <c r="BUK246" s="26"/>
      <c r="BUL246" s="26"/>
      <c r="BUM246" s="26"/>
      <c r="BUN246" s="26"/>
      <c r="BUO246" s="26"/>
      <c r="BUP246" s="26"/>
      <c r="BUQ246" s="26"/>
      <c r="BUR246" s="26"/>
      <c r="BUS246" s="26"/>
      <c r="BUT246" s="26"/>
      <c r="BUU246" s="26"/>
      <c r="BUV246" s="26"/>
      <c r="BUW246" s="26"/>
      <c r="BUX246" s="26"/>
      <c r="BUY246" s="26"/>
      <c r="BUZ246" s="26"/>
      <c r="BVA246" s="26"/>
      <c r="BVB246" s="26"/>
      <c r="BVC246" s="26"/>
      <c r="BVD246" s="26"/>
      <c r="BVE246" s="26"/>
      <c r="BVF246" s="26"/>
      <c r="BVG246" s="26"/>
      <c r="BVH246" s="26"/>
      <c r="BVI246" s="26"/>
      <c r="BVJ246" s="26"/>
      <c r="BVK246" s="26"/>
      <c r="BVL246" s="26"/>
      <c r="BVM246" s="26"/>
      <c r="BVN246" s="26"/>
      <c r="BVO246" s="26"/>
      <c r="BVP246" s="26"/>
      <c r="BVQ246" s="26"/>
      <c r="BVR246" s="26"/>
      <c r="BVS246" s="26"/>
      <c r="BVT246" s="26"/>
      <c r="BVU246" s="26"/>
      <c r="BVV246" s="26"/>
      <c r="BVW246" s="26"/>
      <c r="BVX246" s="26"/>
      <c r="BVY246" s="26"/>
      <c r="BVZ246" s="26"/>
      <c r="BWA246" s="26"/>
      <c r="BWB246" s="26"/>
      <c r="BWC246" s="26"/>
      <c r="BWD246" s="26"/>
      <c r="BWE246" s="26"/>
      <c r="BWF246" s="26"/>
      <c r="BWG246" s="26"/>
      <c r="BWH246" s="26"/>
      <c r="BWI246" s="26"/>
      <c r="BWJ246" s="26"/>
      <c r="BWK246" s="26"/>
      <c r="BWL246" s="26"/>
      <c r="BWM246" s="26"/>
      <c r="BWN246" s="26"/>
      <c r="BWO246" s="26"/>
      <c r="BWP246" s="26"/>
      <c r="BWQ246" s="26"/>
      <c r="BWR246" s="26"/>
      <c r="BWS246" s="26"/>
      <c r="BWT246" s="26"/>
      <c r="BWU246" s="26"/>
      <c r="BWV246" s="26"/>
      <c r="BWW246" s="26"/>
      <c r="BWX246" s="26"/>
      <c r="BWY246" s="26"/>
      <c r="BWZ246" s="26"/>
      <c r="BXA246" s="26"/>
      <c r="BXB246" s="26"/>
      <c r="BXC246" s="26"/>
      <c r="BXD246" s="26"/>
      <c r="BXE246" s="26"/>
      <c r="BXF246" s="26"/>
      <c r="BXG246" s="26"/>
      <c r="BXH246" s="26"/>
      <c r="BXI246" s="26"/>
      <c r="BXJ246" s="26"/>
      <c r="BXK246" s="26"/>
      <c r="BXL246" s="26"/>
      <c r="BXM246" s="26"/>
      <c r="BXN246" s="26"/>
      <c r="BXO246" s="26"/>
      <c r="BXP246" s="26"/>
      <c r="BXQ246" s="26"/>
      <c r="BXR246" s="26"/>
      <c r="BXS246" s="26"/>
      <c r="BXT246" s="26"/>
      <c r="BXU246" s="26"/>
      <c r="BXV246" s="26"/>
      <c r="BXW246" s="26"/>
      <c r="BXX246" s="26"/>
      <c r="BXY246" s="26"/>
      <c r="BXZ246" s="26"/>
      <c r="BYA246" s="26"/>
      <c r="BYB246" s="26"/>
      <c r="BYC246" s="26"/>
      <c r="BYD246" s="26"/>
      <c r="BYE246" s="26"/>
      <c r="BYF246" s="26"/>
      <c r="BYG246" s="26"/>
      <c r="BYH246" s="26"/>
      <c r="BYI246" s="26"/>
      <c r="BYJ246" s="26"/>
      <c r="BYK246" s="26"/>
      <c r="BYL246" s="26"/>
      <c r="BYM246" s="26"/>
      <c r="BYN246" s="26"/>
      <c r="BYO246" s="26"/>
      <c r="BYP246" s="26"/>
      <c r="BYQ246" s="26"/>
      <c r="BYR246" s="26"/>
      <c r="BYS246" s="26"/>
      <c r="BYT246" s="26"/>
      <c r="BYU246" s="26"/>
      <c r="BYV246" s="26"/>
      <c r="BYW246" s="26"/>
      <c r="BYX246" s="26"/>
      <c r="BYY246" s="26"/>
      <c r="BYZ246" s="26"/>
      <c r="BZA246" s="26"/>
      <c r="BZB246" s="26"/>
      <c r="BZC246" s="26"/>
      <c r="BZD246" s="26"/>
      <c r="BZE246" s="26"/>
      <c r="BZF246" s="26"/>
      <c r="BZG246" s="26"/>
      <c r="BZH246" s="26"/>
      <c r="BZI246" s="26"/>
      <c r="BZJ246" s="26"/>
      <c r="BZK246" s="26"/>
      <c r="BZL246" s="26"/>
      <c r="BZM246" s="26"/>
      <c r="BZN246" s="26"/>
      <c r="BZO246" s="26"/>
      <c r="BZP246" s="26"/>
      <c r="BZQ246" s="26"/>
      <c r="BZR246" s="26"/>
      <c r="BZS246" s="26"/>
      <c r="BZT246" s="26"/>
      <c r="BZU246" s="26"/>
      <c r="BZV246" s="26"/>
      <c r="BZW246" s="26"/>
      <c r="BZX246" s="26"/>
      <c r="BZY246" s="26"/>
      <c r="BZZ246" s="26"/>
      <c r="CAA246" s="26"/>
      <c r="CAB246" s="26"/>
      <c r="CAC246" s="26"/>
      <c r="CAD246" s="26"/>
      <c r="CAE246" s="26"/>
      <c r="CAF246" s="26"/>
      <c r="CAG246" s="26"/>
      <c r="CAH246" s="26"/>
      <c r="CAI246" s="26"/>
      <c r="CAJ246" s="26"/>
      <c r="CAK246" s="26"/>
      <c r="CAL246" s="26"/>
      <c r="CAM246" s="26"/>
      <c r="CAN246" s="26"/>
      <c r="CAO246" s="26"/>
      <c r="CAP246" s="26"/>
      <c r="CAQ246" s="26"/>
      <c r="CAR246" s="26"/>
      <c r="CAS246" s="26"/>
      <c r="CAT246" s="26"/>
      <c r="CAU246" s="26"/>
      <c r="CAV246" s="26"/>
      <c r="CAW246" s="26"/>
      <c r="CAX246" s="26"/>
      <c r="CAY246" s="26"/>
      <c r="CAZ246" s="26"/>
      <c r="CBA246" s="26"/>
      <c r="CBB246" s="26"/>
      <c r="CBC246" s="26"/>
      <c r="CBD246" s="26"/>
      <c r="CBE246" s="26"/>
      <c r="CBF246" s="26"/>
      <c r="CBG246" s="26"/>
      <c r="CBH246" s="26"/>
      <c r="CBI246" s="26"/>
    </row>
    <row r="247" spans="1:2089" s="53" customFormat="1" ht="14" customHeight="1">
      <c r="A247" s="27">
        <v>246</v>
      </c>
      <c r="B247" s="27" t="s">
        <v>583</v>
      </c>
      <c r="C247" s="27">
        <v>2013</v>
      </c>
      <c r="D247" s="26" t="s">
        <v>18</v>
      </c>
      <c r="E247" s="26" t="s">
        <v>566</v>
      </c>
      <c r="F247" s="77" t="s">
        <v>175</v>
      </c>
      <c r="G247" s="2" t="s">
        <v>84</v>
      </c>
      <c r="H247" s="2" t="s">
        <v>30</v>
      </c>
      <c r="I247" s="2" t="s">
        <v>548</v>
      </c>
      <c r="J247" s="2" t="s">
        <v>603</v>
      </c>
      <c r="K247" s="2" t="s">
        <v>548</v>
      </c>
      <c r="L247" s="2" t="s">
        <v>548</v>
      </c>
      <c r="M247" s="2" t="s">
        <v>175</v>
      </c>
      <c r="N247" s="2" t="s">
        <v>62</v>
      </c>
      <c r="O247" s="2" t="s">
        <v>43</v>
      </c>
      <c r="P247" s="2" t="s">
        <v>62</v>
      </c>
      <c r="Q247" s="26" t="s">
        <v>606</v>
      </c>
      <c r="R247" s="102" t="s">
        <v>614</v>
      </c>
      <c r="S247" s="2">
        <f>(0.007*587 + 0.317*589)/T247</f>
        <v>0.32397623089983024</v>
      </c>
      <c r="T247" s="1">
        <v>589</v>
      </c>
      <c r="U247" s="77">
        <v>1</v>
      </c>
      <c r="V247" s="26">
        <v>1</v>
      </c>
      <c r="W247" s="26">
        <v>1</v>
      </c>
      <c r="X247" s="26">
        <v>1</v>
      </c>
      <c r="Y247" s="26">
        <v>1</v>
      </c>
      <c r="Z247" s="26">
        <v>0</v>
      </c>
      <c r="AA247" s="26">
        <v>0</v>
      </c>
      <c r="AB247" s="26">
        <v>0</v>
      </c>
      <c r="AC247" s="26">
        <v>0.68251273000000001</v>
      </c>
      <c r="AD247" s="26">
        <v>0.13412563999999999</v>
      </c>
      <c r="AE247" s="26">
        <v>0.11884550000000001</v>
      </c>
      <c r="AF247" s="26">
        <v>6.4516130000000005E-2</v>
      </c>
      <c r="AG247" s="33" t="s">
        <v>70</v>
      </c>
      <c r="AH247" s="33" t="s">
        <v>70</v>
      </c>
      <c r="AI247" s="33" t="s">
        <v>79</v>
      </c>
      <c r="AJ247" s="26" t="s">
        <v>245</v>
      </c>
      <c r="AK247" s="33" t="s">
        <v>70</v>
      </c>
      <c r="AL247" s="33" t="s">
        <v>70</v>
      </c>
      <c r="AM247" s="35" t="s">
        <v>175</v>
      </c>
      <c r="AN247" s="32" t="s">
        <v>9</v>
      </c>
      <c r="AO247" s="35" t="s">
        <v>175</v>
      </c>
      <c r="AP247" s="35" t="s">
        <v>175</v>
      </c>
      <c r="AQ247" s="35" t="s">
        <v>548</v>
      </c>
      <c r="AR247" s="35" t="s">
        <v>548</v>
      </c>
      <c r="AS247" s="26" t="s">
        <v>175</v>
      </c>
      <c r="AT247" s="26" t="s">
        <v>548</v>
      </c>
      <c r="AU247" s="40" t="s">
        <v>548</v>
      </c>
      <c r="AV247" s="26">
        <v>8</v>
      </c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  <c r="GR247" s="26"/>
      <c r="GS247" s="26"/>
      <c r="GT247" s="26"/>
      <c r="GU247" s="26"/>
      <c r="GV247" s="26"/>
      <c r="GW247" s="26"/>
      <c r="GX247" s="26"/>
      <c r="GY247" s="26"/>
      <c r="GZ247" s="26"/>
      <c r="HA247" s="26"/>
      <c r="HB247" s="26"/>
      <c r="HC247" s="26"/>
      <c r="HD247" s="26"/>
      <c r="HE247" s="26"/>
      <c r="HF247" s="26"/>
      <c r="HG247" s="26"/>
      <c r="HH247" s="26"/>
      <c r="HI247" s="26"/>
      <c r="HJ247" s="26"/>
      <c r="HK247" s="26"/>
      <c r="HL247" s="26"/>
      <c r="HM247" s="26"/>
      <c r="HN247" s="26"/>
      <c r="HO247" s="26"/>
      <c r="HP247" s="26"/>
      <c r="HQ247" s="26"/>
      <c r="HR247" s="26"/>
      <c r="HS247" s="26"/>
      <c r="HT247" s="26"/>
      <c r="HU247" s="26"/>
      <c r="HV247" s="26"/>
      <c r="HW247" s="26"/>
      <c r="HX247" s="26"/>
      <c r="HY247" s="26"/>
      <c r="HZ247" s="26"/>
      <c r="IA247" s="26"/>
      <c r="IB247" s="26"/>
      <c r="IC247" s="26"/>
      <c r="ID247" s="26"/>
      <c r="IE247" s="26"/>
      <c r="IF247" s="26"/>
      <c r="IG247" s="26"/>
      <c r="IH247" s="26"/>
      <c r="II247" s="26"/>
      <c r="IJ247" s="26"/>
      <c r="IK247" s="26"/>
      <c r="IL247" s="26"/>
      <c r="IM247" s="26"/>
      <c r="IN247" s="26"/>
      <c r="IO247" s="26"/>
      <c r="IP247" s="26"/>
      <c r="IQ247" s="26"/>
      <c r="IR247" s="26"/>
      <c r="IS247" s="26"/>
      <c r="IT247" s="26"/>
      <c r="IU247" s="26"/>
      <c r="IV247" s="26"/>
      <c r="IW247" s="26"/>
      <c r="IX247" s="26"/>
      <c r="IY247" s="26"/>
      <c r="IZ247" s="26"/>
      <c r="JA247" s="26"/>
      <c r="JB247" s="26"/>
      <c r="JC247" s="26"/>
      <c r="JD247" s="26"/>
      <c r="JE247" s="26"/>
      <c r="JF247" s="26"/>
      <c r="JG247" s="26"/>
      <c r="JH247" s="26"/>
      <c r="JI247" s="26"/>
      <c r="JJ247" s="26"/>
      <c r="JK247" s="26"/>
      <c r="JL247" s="26"/>
      <c r="JM247" s="26"/>
      <c r="JN247" s="26"/>
      <c r="JO247" s="26"/>
      <c r="JP247" s="26"/>
      <c r="JQ247" s="26"/>
      <c r="JR247" s="26"/>
      <c r="JS247" s="26"/>
      <c r="JT247" s="26"/>
      <c r="JU247" s="26"/>
      <c r="JV247" s="26"/>
      <c r="JW247" s="26"/>
      <c r="JX247" s="26"/>
      <c r="JY247" s="26"/>
      <c r="JZ247" s="26"/>
      <c r="KA247" s="26"/>
      <c r="KB247" s="26"/>
      <c r="KC247" s="26"/>
      <c r="KD247" s="26"/>
      <c r="KE247" s="26"/>
      <c r="KF247" s="26"/>
      <c r="KG247" s="26"/>
      <c r="KH247" s="26"/>
      <c r="KI247" s="26"/>
      <c r="KJ247" s="26"/>
      <c r="KK247" s="26"/>
      <c r="KL247" s="26"/>
      <c r="KM247" s="26"/>
      <c r="KN247" s="26"/>
      <c r="KO247" s="26"/>
      <c r="KP247" s="26"/>
      <c r="KQ247" s="26"/>
      <c r="KR247" s="26"/>
      <c r="KS247" s="26"/>
      <c r="KT247" s="26"/>
      <c r="KU247" s="26"/>
      <c r="KV247" s="26"/>
      <c r="KW247" s="26"/>
      <c r="KX247" s="26"/>
      <c r="KY247" s="26"/>
      <c r="KZ247" s="26"/>
      <c r="LA247" s="26"/>
      <c r="LB247" s="26"/>
      <c r="LC247" s="26"/>
      <c r="LD247" s="26"/>
      <c r="LE247" s="26"/>
      <c r="LF247" s="26"/>
      <c r="LG247" s="26"/>
      <c r="LH247" s="26"/>
      <c r="LI247" s="26"/>
      <c r="LJ247" s="26"/>
      <c r="LK247" s="26"/>
      <c r="LL247" s="26"/>
      <c r="LM247" s="26"/>
      <c r="LN247" s="26"/>
      <c r="LO247" s="26"/>
      <c r="LP247" s="26"/>
      <c r="LQ247" s="26"/>
      <c r="LR247" s="26"/>
      <c r="LS247" s="26"/>
      <c r="LT247" s="26"/>
      <c r="LU247" s="26"/>
      <c r="LV247" s="26"/>
      <c r="LW247" s="26"/>
      <c r="LX247" s="26"/>
      <c r="LY247" s="26"/>
      <c r="LZ247" s="26"/>
      <c r="MA247" s="26"/>
      <c r="MB247" s="26"/>
      <c r="MC247" s="26"/>
      <c r="MD247" s="26"/>
      <c r="ME247" s="26"/>
      <c r="MF247" s="26"/>
      <c r="MG247" s="26"/>
      <c r="MH247" s="26"/>
      <c r="MI247" s="26"/>
      <c r="MJ247" s="26"/>
      <c r="MK247" s="26"/>
      <c r="ML247" s="26"/>
      <c r="MM247" s="26"/>
      <c r="MN247" s="26"/>
      <c r="MO247" s="26"/>
      <c r="MP247" s="26"/>
      <c r="MQ247" s="26"/>
      <c r="MR247" s="26"/>
      <c r="MS247" s="26"/>
      <c r="MT247" s="26"/>
      <c r="MU247" s="26"/>
      <c r="MV247" s="26"/>
      <c r="MW247" s="26"/>
      <c r="MX247" s="26"/>
      <c r="MY247" s="26"/>
      <c r="MZ247" s="26"/>
      <c r="NA247" s="26"/>
      <c r="NB247" s="26"/>
      <c r="NC247" s="26"/>
      <c r="ND247" s="26"/>
      <c r="NE247" s="26"/>
      <c r="NF247" s="26"/>
      <c r="NG247" s="26"/>
      <c r="NH247" s="26"/>
      <c r="NI247" s="26"/>
      <c r="NJ247" s="26"/>
      <c r="NK247" s="26"/>
      <c r="NL247" s="26"/>
      <c r="NM247" s="26"/>
      <c r="NN247" s="26"/>
      <c r="NO247" s="26"/>
      <c r="NP247" s="26"/>
      <c r="NQ247" s="26"/>
      <c r="NR247" s="26"/>
      <c r="NS247" s="26"/>
      <c r="NT247" s="26"/>
      <c r="NU247" s="26"/>
      <c r="NV247" s="26"/>
      <c r="NW247" s="26"/>
      <c r="NX247" s="26"/>
      <c r="NY247" s="26"/>
      <c r="NZ247" s="26"/>
      <c r="OA247" s="26"/>
      <c r="OB247" s="26"/>
      <c r="OC247" s="26"/>
      <c r="OD247" s="26"/>
      <c r="OE247" s="26"/>
      <c r="OF247" s="26"/>
      <c r="OG247" s="26"/>
      <c r="OH247" s="26"/>
      <c r="OI247" s="26"/>
      <c r="OJ247" s="26"/>
      <c r="OK247" s="26"/>
      <c r="OL247" s="26"/>
      <c r="OM247" s="26"/>
      <c r="ON247" s="26"/>
      <c r="OO247" s="26"/>
      <c r="OP247" s="26"/>
      <c r="OQ247" s="26"/>
      <c r="OR247" s="26"/>
      <c r="OS247" s="26"/>
      <c r="OT247" s="26"/>
      <c r="OU247" s="26"/>
      <c r="OV247" s="26"/>
      <c r="OW247" s="26"/>
      <c r="OX247" s="26"/>
      <c r="OY247" s="26"/>
      <c r="OZ247" s="26"/>
      <c r="PA247" s="26"/>
      <c r="PB247" s="26"/>
      <c r="PC247" s="26"/>
      <c r="PD247" s="26"/>
      <c r="PE247" s="26"/>
      <c r="PF247" s="26"/>
      <c r="PG247" s="26"/>
      <c r="PH247" s="26"/>
      <c r="PI247" s="26"/>
      <c r="PJ247" s="26"/>
      <c r="PK247" s="26"/>
      <c r="PL247" s="26"/>
      <c r="PM247" s="26"/>
      <c r="PN247" s="26"/>
      <c r="PO247" s="26"/>
      <c r="PP247" s="26"/>
      <c r="PQ247" s="26"/>
      <c r="PR247" s="26"/>
      <c r="PS247" s="26"/>
      <c r="PT247" s="26"/>
      <c r="PU247" s="26"/>
      <c r="PV247" s="26"/>
      <c r="PW247" s="26"/>
      <c r="PX247" s="26"/>
      <c r="PY247" s="26"/>
      <c r="PZ247" s="26"/>
      <c r="QA247" s="26"/>
      <c r="QB247" s="26"/>
      <c r="QC247" s="26"/>
      <c r="QD247" s="26"/>
      <c r="QE247" s="26"/>
      <c r="QF247" s="26"/>
      <c r="QG247" s="26"/>
      <c r="QH247" s="26"/>
      <c r="QI247" s="26"/>
      <c r="QJ247" s="26"/>
      <c r="QK247" s="26"/>
      <c r="QL247" s="26"/>
      <c r="QM247" s="26"/>
      <c r="QN247" s="26"/>
      <c r="QO247" s="26"/>
      <c r="QP247" s="26"/>
      <c r="QQ247" s="26"/>
      <c r="QR247" s="26"/>
      <c r="QS247" s="26"/>
      <c r="QT247" s="26"/>
      <c r="QU247" s="26"/>
      <c r="QV247" s="26"/>
      <c r="QW247" s="26"/>
      <c r="QX247" s="26"/>
      <c r="QY247" s="26"/>
      <c r="QZ247" s="26"/>
      <c r="RA247" s="26"/>
      <c r="RB247" s="26"/>
      <c r="RC247" s="26"/>
      <c r="RD247" s="26"/>
      <c r="RE247" s="26"/>
      <c r="RF247" s="26"/>
      <c r="RG247" s="26"/>
      <c r="RH247" s="26"/>
      <c r="RI247" s="26"/>
      <c r="RJ247" s="26"/>
      <c r="RK247" s="26"/>
      <c r="RL247" s="26"/>
      <c r="RM247" s="26"/>
      <c r="RN247" s="26"/>
      <c r="RO247" s="26"/>
      <c r="RP247" s="26"/>
      <c r="RQ247" s="26"/>
      <c r="RR247" s="26"/>
      <c r="RS247" s="26"/>
      <c r="RT247" s="26"/>
      <c r="RU247" s="26"/>
      <c r="RV247" s="26"/>
      <c r="RW247" s="26"/>
      <c r="RX247" s="26"/>
      <c r="RY247" s="26"/>
      <c r="RZ247" s="26"/>
      <c r="SA247" s="26"/>
      <c r="SB247" s="26"/>
      <c r="SC247" s="26"/>
      <c r="SD247" s="26"/>
      <c r="SE247" s="26"/>
      <c r="SF247" s="26"/>
      <c r="SG247" s="26"/>
      <c r="SH247" s="26"/>
      <c r="SI247" s="26"/>
      <c r="SJ247" s="26"/>
      <c r="SK247" s="26"/>
      <c r="SL247" s="26"/>
      <c r="SM247" s="26"/>
      <c r="SN247" s="26"/>
      <c r="SO247" s="26"/>
      <c r="SP247" s="26"/>
      <c r="SQ247" s="26"/>
      <c r="SR247" s="26"/>
      <c r="SS247" s="26"/>
      <c r="ST247" s="26"/>
      <c r="SU247" s="26"/>
      <c r="SV247" s="26"/>
      <c r="SW247" s="26"/>
      <c r="SX247" s="26"/>
      <c r="SY247" s="26"/>
      <c r="SZ247" s="26"/>
      <c r="TA247" s="26"/>
      <c r="TB247" s="26"/>
      <c r="TC247" s="26"/>
      <c r="TD247" s="26"/>
      <c r="TE247" s="26"/>
      <c r="TF247" s="26"/>
      <c r="TG247" s="26"/>
      <c r="TH247" s="26"/>
      <c r="TI247" s="26"/>
      <c r="TJ247" s="26"/>
      <c r="TK247" s="26"/>
      <c r="TL247" s="26"/>
      <c r="TM247" s="26"/>
      <c r="TN247" s="26"/>
      <c r="TO247" s="26"/>
      <c r="TP247" s="26"/>
      <c r="TQ247" s="26"/>
      <c r="TR247" s="26"/>
      <c r="TS247" s="26"/>
      <c r="TT247" s="26"/>
      <c r="TU247" s="26"/>
      <c r="TV247" s="26"/>
      <c r="TW247" s="26"/>
      <c r="TX247" s="26"/>
      <c r="TY247" s="26"/>
      <c r="TZ247" s="26"/>
      <c r="UA247" s="26"/>
      <c r="UB247" s="26"/>
      <c r="UC247" s="26"/>
      <c r="UD247" s="26"/>
      <c r="UE247" s="26"/>
      <c r="UF247" s="26"/>
      <c r="UG247" s="26"/>
      <c r="UH247" s="26"/>
      <c r="UI247" s="26"/>
      <c r="UJ247" s="26"/>
      <c r="UK247" s="26"/>
      <c r="UL247" s="26"/>
      <c r="UM247" s="26"/>
      <c r="UN247" s="26"/>
      <c r="UO247" s="26"/>
      <c r="UP247" s="26"/>
      <c r="UQ247" s="26"/>
      <c r="UR247" s="26"/>
      <c r="US247" s="26"/>
      <c r="UT247" s="26"/>
      <c r="UU247" s="26"/>
      <c r="UV247" s="26"/>
      <c r="UW247" s="26"/>
      <c r="UX247" s="26"/>
      <c r="UY247" s="26"/>
      <c r="UZ247" s="26"/>
      <c r="VA247" s="26"/>
      <c r="VB247" s="26"/>
      <c r="VC247" s="26"/>
      <c r="VD247" s="26"/>
      <c r="VE247" s="26"/>
      <c r="VF247" s="26"/>
      <c r="VG247" s="26"/>
      <c r="VH247" s="26"/>
      <c r="VI247" s="26"/>
      <c r="VJ247" s="26"/>
      <c r="VK247" s="26"/>
      <c r="VL247" s="26"/>
      <c r="VM247" s="26"/>
      <c r="VN247" s="26"/>
      <c r="VO247" s="26"/>
      <c r="VP247" s="26"/>
      <c r="VQ247" s="26"/>
      <c r="VR247" s="26"/>
      <c r="VS247" s="26"/>
      <c r="VT247" s="26"/>
      <c r="VU247" s="26"/>
      <c r="VV247" s="26"/>
      <c r="VW247" s="26"/>
      <c r="VX247" s="26"/>
      <c r="VY247" s="26"/>
      <c r="VZ247" s="26"/>
      <c r="WA247" s="26"/>
      <c r="WB247" s="26"/>
      <c r="WC247" s="26"/>
      <c r="WD247" s="26"/>
      <c r="WE247" s="26"/>
      <c r="WF247" s="26"/>
      <c r="WG247" s="26"/>
      <c r="WH247" s="26"/>
      <c r="WI247" s="26"/>
      <c r="WJ247" s="26"/>
      <c r="WK247" s="26"/>
      <c r="WL247" s="26"/>
      <c r="WM247" s="26"/>
      <c r="WN247" s="26"/>
      <c r="WO247" s="26"/>
      <c r="WP247" s="26"/>
      <c r="WQ247" s="26"/>
      <c r="WR247" s="26"/>
      <c r="WS247" s="26"/>
      <c r="WT247" s="26"/>
      <c r="WU247" s="26"/>
      <c r="WV247" s="26"/>
      <c r="WW247" s="26"/>
      <c r="WX247" s="26"/>
      <c r="WY247" s="26"/>
      <c r="WZ247" s="26"/>
      <c r="XA247" s="26"/>
      <c r="XB247" s="26"/>
      <c r="XC247" s="26"/>
      <c r="XD247" s="26"/>
      <c r="XE247" s="26"/>
      <c r="XF247" s="26"/>
      <c r="XG247" s="26"/>
      <c r="XH247" s="26"/>
      <c r="XI247" s="26"/>
      <c r="XJ247" s="26"/>
      <c r="XK247" s="26"/>
      <c r="XL247" s="26"/>
      <c r="XM247" s="26"/>
      <c r="XN247" s="26"/>
      <c r="XO247" s="26"/>
      <c r="XP247" s="26"/>
      <c r="XQ247" s="26"/>
      <c r="XR247" s="26"/>
      <c r="XS247" s="26"/>
      <c r="XT247" s="26"/>
      <c r="XU247" s="26"/>
      <c r="XV247" s="26"/>
      <c r="XW247" s="26"/>
      <c r="XX247" s="26"/>
      <c r="XY247" s="26"/>
      <c r="XZ247" s="26"/>
      <c r="YA247" s="26"/>
      <c r="YB247" s="26"/>
      <c r="YC247" s="26"/>
      <c r="YD247" s="26"/>
      <c r="YE247" s="26"/>
      <c r="YF247" s="26"/>
      <c r="YG247" s="26"/>
      <c r="YH247" s="26"/>
      <c r="YI247" s="26"/>
      <c r="YJ247" s="26"/>
      <c r="YK247" s="26"/>
      <c r="YL247" s="26"/>
      <c r="YM247" s="26"/>
      <c r="YN247" s="26"/>
      <c r="YO247" s="26"/>
      <c r="YP247" s="26"/>
      <c r="YQ247" s="26"/>
      <c r="YR247" s="26"/>
      <c r="YS247" s="26"/>
      <c r="YT247" s="26"/>
      <c r="YU247" s="26"/>
      <c r="YV247" s="26"/>
      <c r="YW247" s="26"/>
      <c r="YX247" s="26"/>
      <c r="YY247" s="26"/>
      <c r="YZ247" s="26"/>
      <c r="ZA247" s="26"/>
      <c r="ZB247" s="26"/>
      <c r="ZC247" s="26"/>
      <c r="ZD247" s="26"/>
      <c r="ZE247" s="26"/>
      <c r="ZF247" s="26"/>
      <c r="ZG247" s="26"/>
      <c r="ZH247" s="26"/>
      <c r="ZI247" s="26"/>
      <c r="ZJ247" s="26"/>
      <c r="ZK247" s="26"/>
      <c r="ZL247" s="26"/>
      <c r="ZM247" s="26"/>
      <c r="ZN247" s="26"/>
      <c r="ZO247" s="26"/>
      <c r="ZP247" s="26"/>
      <c r="ZQ247" s="26"/>
      <c r="ZR247" s="26"/>
      <c r="ZS247" s="26"/>
      <c r="ZT247" s="26"/>
      <c r="ZU247" s="26"/>
      <c r="ZV247" s="26"/>
      <c r="ZW247" s="26"/>
      <c r="ZX247" s="26"/>
      <c r="ZY247" s="26"/>
      <c r="ZZ247" s="26"/>
      <c r="AAA247" s="26"/>
      <c r="AAB247" s="26"/>
      <c r="AAC247" s="26"/>
      <c r="AAD247" s="26"/>
      <c r="AAE247" s="26"/>
      <c r="AAF247" s="26"/>
      <c r="AAG247" s="26"/>
      <c r="AAH247" s="26"/>
      <c r="AAI247" s="26"/>
      <c r="AAJ247" s="26"/>
      <c r="AAK247" s="26"/>
      <c r="AAL247" s="26"/>
      <c r="AAM247" s="26"/>
      <c r="AAN247" s="26"/>
      <c r="AAO247" s="26"/>
      <c r="AAP247" s="26"/>
      <c r="AAQ247" s="26"/>
      <c r="AAR247" s="26"/>
      <c r="AAS247" s="26"/>
      <c r="AAT247" s="26"/>
      <c r="AAU247" s="26"/>
      <c r="AAV247" s="26"/>
      <c r="AAW247" s="26"/>
      <c r="AAX247" s="26"/>
      <c r="AAY247" s="26"/>
      <c r="AAZ247" s="26"/>
      <c r="ABA247" s="26"/>
      <c r="ABB247" s="26"/>
      <c r="ABC247" s="26"/>
      <c r="ABD247" s="26"/>
      <c r="ABE247" s="26"/>
      <c r="ABF247" s="26"/>
      <c r="ABG247" s="26"/>
      <c r="ABH247" s="26"/>
      <c r="ABI247" s="26"/>
      <c r="ABJ247" s="26"/>
      <c r="ABK247" s="26"/>
      <c r="ABL247" s="26"/>
      <c r="ABM247" s="26"/>
      <c r="ABN247" s="26"/>
      <c r="ABO247" s="26"/>
      <c r="ABP247" s="26"/>
      <c r="ABQ247" s="26"/>
      <c r="ABR247" s="26"/>
      <c r="ABS247" s="26"/>
      <c r="ABT247" s="26"/>
      <c r="ABU247" s="26"/>
      <c r="ABV247" s="26"/>
      <c r="ABW247" s="26"/>
      <c r="ABX247" s="26"/>
      <c r="ABY247" s="26"/>
      <c r="ABZ247" s="26"/>
      <c r="ACA247" s="26"/>
      <c r="ACB247" s="26"/>
      <c r="ACC247" s="26"/>
      <c r="ACD247" s="26"/>
      <c r="ACE247" s="26"/>
      <c r="ACF247" s="26"/>
      <c r="ACG247" s="26"/>
      <c r="ACH247" s="26"/>
      <c r="ACI247" s="26"/>
      <c r="ACJ247" s="26"/>
      <c r="ACK247" s="26"/>
      <c r="ACL247" s="26"/>
      <c r="ACM247" s="26"/>
      <c r="ACN247" s="26"/>
      <c r="ACO247" s="26"/>
      <c r="ACP247" s="26"/>
      <c r="ACQ247" s="26"/>
      <c r="ACR247" s="26"/>
      <c r="ACS247" s="26"/>
      <c r="ACT247" s="26"/>
      <c r="ACU247" s="26"/>
      <c r="ACV247" s="26"/>
      <c r="ACW247" s="26"/>
      <c r="ACX247" s="26"/>
      <c r="ACY247" s="26"/>
      <c r="ACZ247" s="26"/>
      <c r="ADA247" s="26"/>
      <c r="ADB247" s="26"/>
      <c r="ADC247" s="26"/>
      <c r="ADD247" s="26"/>
      <c r="ADE247" s="26"/>
      <c r="ADF247" s="26"/>
      <c r="ADG247" s="26"/>
      <c r="ADH247" s="26"/>
      <c r="ADI247" s="26"/>
      <c r="ADJ247" s="26"/>
      <c r="ADK247" s="26"/>
      <c r="ADL247" s="26"/>
      <c r="ADM247" s="26"/>
      <c r="ADN247" s="26"/>
      <c r="ADO247" s="26"/>
      <c r="ADP247" s="26"/>
      <c r="ADQ247" s="26"/>
      <c r="ADR247" s="26"/>
      <c r="ADS247" s="26"/>
      <c r="ADT247" s="26"/>
      <c r="ADU247" s="26"/>
      <c r="ADV247" s="26"/>
      <c r="ADW247" s="26"/>
      <c r="ADX247" s="26"/>
      <c r="ADY247" s="26"/>
      <c r="ADZ247" s="26"/>
      <c r="AEA247" s="26"/>
      <c r="AEB247" s="26"/>
      <c r="AEC247" s="26"/>
      <c r="AED247" s="26"/>
      <c r="AEE247" s="26"/>
      <c r="AEF247" s="26"/>
      <c r="AEG247" s="26"/>
      <c r="AEH247" s="26"/>
      <c r="AEI247" s="26"/>
      <c r="AEJ247" s="26"/>
      <c r="AEK247" s="26"/>
      <c r="AEL247" s="26"/>
      <c r="AEM247" s="26"/>
      <c r="AEN247" s="26"/>
      <c r="AEO247" s="26"/>
      <c r="AEP247" s="26"/>
      <c r="AEQ247" s="26"/>
      <c r="AER247" s="26"/>
      <c r="AES247" s="26"/>
      <c r="AET247" s="26"/>
      <c r="AEU247" s="26"/>
      <c r="AEV247" s="26"/>
      <c r="AEW247" s="26"/>
      <c r="AEX247" s="26"/>
      <c r="AEY247" s="26"/>
      <c r="AEZ247" s="26"/>
      <c r="AFA247" s="26"/>
      <c r="AFB247" s="26"/>
      <c r="AFC247" s="26"/>
      <c r="AFD247" s="26"/>
      <c r="AFE247" s="26"/>
      <c r="AFF247" s="26"/>
      <c r="AFG247" s="26"/>
      <c r="AFH247" s="26"/>
      <c r="AFI247" s="26"/>
      <c r="AFJ247" s="26"/>
      <c r="AFK247" s="26"/>
      <c r="AFL247" s="26"/>
      <c r="AFM247" s="26"/>
      <c r="AFN247" s="26"/>
      <c r="AFO247" s="26"/>
      <c r="AFP247" s="26"/>
      <c r="AFQ247" s="26"/>
      <c r="AFR247" s="26"/>
      <c r="AFS247" s="26"/>
      <c r="AFT247" s="26"/>
      <c r="AFU247" s="26"/>
      <c r="AFV247" s="26"/>
      <c r="AFW247" s="26"/>
      <c r="AFX247" s="26"/>
      <c r="AFY247" s="26"/>
      <c r="AFZ247" s="26"/>
      <c r="AGA247" s="26"/>
      <c r="AGB247" s="26"/>
      <c r="AGC247" s="26"/>
      <c r="AGD247" s="26"/>
      <c r="AGE247" s="26"/>
      <c r="AGF247" s="26"/>
      <c r="AGG247" s="26"/>
      <c r="AGH247" s="26"/>
      <c r="AGI247" s="26"/>
      <c r="AGJ247" s="26"/>
      <c r="AGK247" s="26"/>
      <c r="AGL247" s="26"/>
      <c r="AGM247" s="26"/>
      <c r="AGN247" s="26"/>
      <c r="AGO247" s="26"/>
      <c r="AGP247" s="26"/>
      <c r="AGQ247" s="26"/>
      <c r="AGR247" s="26"/>
      <c r="AGS247" s="26"/>
      <c r="AGT247" s="26"/>
      <c r="AGU247" s="26"/>
      <c r="AGV247" s="26"/>
      <c r="AGW247" s="26"/>
      <c r="AGX247" s="26"/>
      <c r="AGY247" s="26"/>
      <c r="AGZ247" s="26"/>
      <c r="AHA247" s="26"/>
      <c r="AHB247" s="26"/>
      <c r="AHC247" s="26"/>
      <c r="AHD247" s="26"/>
      <c r="AHE247" s="26"/>
      <c r="AHF247" s="26"/>
      <c r="AHG247" s="26"/>
      <c r="AHH247" s="26"/>
      <c r="AHI247" s="26"/>
      <c r="AHJ247" s="26"/>
      <c r="AHK247" s="26"/>
      <c r="AHL247" s="26"/>
      <c r="AHM247" s="26"/>
      <c r="AHN247" s="26"/>
      <c r="AHO247" s="26"/>
      <c r="AHP247" s="26"/>
      <c r="AHQ247" s="26"/>
      <c r="AHR247" s="26"/>
      <c r="AHS247" s="26"/>
      <c r="AHT247" s="26"/>
      <c r="AHU247" s="26"/>
      <c r="AHV247" s="26"/>
      <c r="AHW247" s="26"/>
      <c r="AHX247" s="26"/>
      <c r="AHY247" s="26"/>
      <c r="AHZ247" s="26"/>
      <c r="AIA247" s="26"/>
      <c r="AIB247" s="26"/>
      <c r="AIC247" s="26"/>
      <c r="AID247" s="26"/>
      <c r="AIE247" s="26"/>
      <c r="AIF247" s="26"/>
      <c r="AIG247" s="26"/>
      <c r="AIH247" s="26"/>
      <c r="AII247" s="26"/>
      <c r="AIJ247" s="26"/>
      <c r="AIK247" s="26"/>
      <c r="AIL247" s="26"/>
      <c r="AIM247" s="26"/>
      <c r="AIN247" s="26"/>
      <c r="AIO247" s="26"/>
      <c r="AIP247" s="26"/>
      <c r="AIQ247" s="26"/>
      <c r="AIR247" s="26"/>
      <c r="AIS247" s="26"/>
      <c r="AIT247" s="26"/>
      <c r="AIU247" s="26"/>
      <c r="AIV247" s="26"/>
      <c r="AIW247" s="26"/>
      <c r="AIX247" s="26"/>
      <c r="AIY247" s="26"/>
      <c r="AIZ247" s="26"/>
      <c r="AJA247" s="26"/>
      <c r="AJB247" s="26"/>
      <c r="AJC247" s="26"/>
      <c r="AJD247" s="26"/>
      <c r="AJE247" s="26"/>
      <c r="AJF247" s="26"/>
      <c r="AJG247" s="26"/>
      <c r="AJH247" s="26"/>
      <c r="AJI247" s="26"/>
      <c r="AJJ247" s="26"/>
      <c r="AJK247" s="26"/>
      <c r="AJL247" s="26"/>
      <c r="AJM247" s="26"/>
      <c r="AJN247" s="26"/>
      <c r="AJO247" s="26"/>
      <c r="AJP247" s="26"/>
      <c r="AJQ247" s="26"/>
      <c r="AJR247" s="26"/>
      <c r="AJS247" s="26"/>
      <c r="AJT247" s="26"/>
      <c r="AJU247" s="26"/>
      <c r="AJV247" s="26"/>
      <c r="AJW247" s="26"/>
      <c r="AJX247" s="26"/>
      <c r="AJY247" s="26"/>
      <c r="AJZ247" s="26"/>
      <c r="AKA247" s="26"/>
      <c r="AKB247" s="26"/>
      <c r="AKC247" s="26"/>
      <c r="AKD247" s="26"/>
      <c r="AKE247" s="26"/>
      <c r="AKF247" s="26"/>
      <c r="AKG247" s="26"/>
      <c r="AKH247" s="26"/>
      <c r="AKI247" s="26"/>
      <c r="AKJ247" s="26"/>
      <c r="AKK247" s="26"/>
      <c r="AKL247" s="26"/>
      <c r="AKM247" s="26"/>
      <c r="AKN247" s="26"/>
      <c r="AKO247" s="26"/>
      <c r="AKP247" s="26"/>
      <c r="AKQ247" s="26"/>
      <c r="AKR247" s="26"/>
      <c r="AKS247" s="26"/>
      <c r="AKT247" s="26"/>
      <c r="AKU247" s="26"/>
      <c r="AKV247" s="26"/>
      <c r="AKW247" s="26"/>
      <c r="AKX247" s="26"/>
      <c r="AKY247" s="26"/>
      <c r="AKZ247" s="26"/>
      <c r="ALA247" s="26"/>
      <c r="ALB247" s="26"/>
      <c r="ALC247" s="26"/>
      <c r="ALD247" s="26"/>
      <c r="ALE247" s="26"/>
      <c r="ALF247" s="26"/>
      <c r="ALG247" s="26"/>
      <c r="ALH247" s="26"/>
      <c r="ALI247" s="26"/>
      <c r="ALJ247" s="26"/>
      <c r="ALK247" s="26"/>
      <c r="ALL247" s="26"/>
      <c r="ALM247" s="26"/>
      <c r="ALN247" s="26"/>
      <c r="ALO247" s="26"/>
      <c r="ALP247" s="26"/>
      <c r="ALQ247" s="26"/>
      <c r="ALR247" s="26"/>
      <c r="ALS247" s="26"/>
      <c r="ALT247" s="26"/>
      <c r="ALU247" s="26"/>
      <c r="ALV247" s="26"/>
      <c r="ALW247" s="26"/>
      <c r="ALX247" s="26"/>
      <c r="ALY247" s="26"/>
      <c r="ALZ247" s="26"/>
      <c r="AMA247" s="26"/>
      <c r="AMB247" s="26"/>
      <c r="AMC247" s="26"/>
      <c r="AMD247" s="26"/>
      <c r="AME247" s="26"/>
      <c r="AMF247" s="26"/>
      <c r="AMG247" s="26"/>
      <c r="AMH247" s="26"/>
      <c r="AMI247" s="26"/>
      <c r="AMJ247" s="26"/>
      <c r="AMK247" s="26"/>
      <c r="AML247" s="26"/>
      <c r="AMM247" s="26"/>
      <c r="AMN247" s="26"/>
      <c r="AMO247" s="26"/>
      <c r="AMP247" s="26"/>
      <c r="AMQ247" s="26"/>
      <c r="AMR247" s="26"/>
      <c r="AMS247" s="26"/>
      <c r="AMT247" s="26"/>
      <c r="AMU247" s="26"/>
      <c r="AMV247" s="26"/>
      <c r="AMW247" s="26"/>
      <c r="AMX247" s="26"/>
      <c r="AMY247" s="26"/>
      <c r="AMZ247" s="26"/>
      <c r="ANA247" s="26"/>
      <c r="ANB247" s="26"/>
      <c r="ANC247" s="26"/>
      <c r="AND247" s="26"/>
      <c r="ANE247" s="26"/>
      <c r="ANF247" s="26"/>
      <c r="ANG247" s="26"/>
      <c r="ANH247" s="26"/>
      <c r="ANI247" s="26"/>
      <c r="ANJ247" s="26"/>
      <c r="ANK247" s="26"/>
      <c r="ANL247" s="26"/>
      <c r="ANM247" s="26"/>
      <c r="ANN247" s="26"/>
      <c r="ANO247" s="26"/>
      <c r="ANP247" s="26"/>
      <c r="ANQ247" s="26"/>
      <c r="ANR247" s="26"/>
      <c r="ANS247" s="26"/>
      <c r="ANT247" s="26"/>
      <c r="ANU247" s="26"/>
      <c r="ANV247" s="26"/>
      <c r="ANW247" s="26"/>
      <c r="ANX247" s="26"/>
      <c r="ANY247" s="26"/>
      <c r="ANZ247" s="26"/>
      <c r="AOA247" s="26"/>
      <c r="AOB247" s="26"/>
      <c r="AOC247" s="26"/>
      <c r="AOD247" s="26"/>
      <c r="AOE247" s="26"/>
      <c r="AOF247" s="26"/>
      <c r="AOG247" s="26"/>
      <c r="AOH247" s="26"/>
      <c r="AOI247" s="26"/>
      <c r="AOJ247" s="26"/>
      <c r="AOK247" s="26"/>
      <c r="AOL247" s="26"/>
      <c r="AOM247" s="26"/>
      <c r="AON247" s="26"/>
      <c r="AOO247" s="26"/>
      <c r="AOP247" s="26"/>
      <c r="AOQ247" s="26"/>
      <c r="AOR247" s="26"/>
      <c r="AOS247" s="26"/>
      <c r="AOT247" s="26"/>
      <c r="AOU247" s="26"/>
      <c r="AOV247" s="26"/>
      <c r="AOW247" s="26"/>
      <c r="AOX247" s="26"/>
      <c r="AOY247" s="26"/>
      <c r="AOZ247" s="26"/>
      <c r="APA247" s="26"/>
      <c r="APB247" s="26"/>
      <c r="APC247" s="26"/>
      <c r="APD247" s="26"/>
      <c r="APE247" s="26"/>
      <c r="APF247" s="26"/>
      <c r="APG247" s="26"/>
      <c r="APH247" s="26"/>
      <c r="API247" s="26"/>
      <c r="APJ247" s="26"/>
      <c r="APK247" s="26"/>
      <c r="APL247" s="26"/>
      <c r="APM247" s="26"/>
      <c r="APN247" s="26"/>
      <c r="APO247" s="26"/>
      <c r="APP247" s="26"/>
      <c r="APQ247" s="26"/>
      <c r="APR247" s="26"/>
      <c r="APS247" s="26"/>
      <c r="APT247" s="26"/>
      <c r="APU247" s="26"/>
      <c r="APV247" s="26"/>
      <c r="APW247" s="26"/>
      <c r="APX247" s="26"/>
      <c r="APY247" s="26"/>
      <c r="APZ247" s="26"/>
      <c r="AQA247" s="26"/>
      <c r="AQB247" s="26"/>
      <c r="AQC247" s="26"/>
      <c r="AQD247" s="26"/>
      <c r="AQE247" s="26"/>
      <c r="AQF247" s="26"/>
      <c r="AQG247" s="26"/>
      <c r="AQH247" s="26"/>
      <c r="AQI247" s="26"/>
      <c r="AQJ247" s="26"/>
      <c r="AQK247" s="26"/>
      <c r="AQL247" s="26"/>
      <c r="AQM247" s="26"/>
      <c r="AQN247" s="26"/>
      <c r="AQO247" s="26"/>
      <c r="AQP247" s="26"/>
      <c r="AQQ247" s="26"/>
      <c r="AQR247" s="26"/>
      <c r="AQS247" s="26"/>
      <c r="AQT247" s="26"/>
      <c r="AQU247" s="26"/>
      <c r="AQV247" s="26"/>
      <c r="AQW247" s="26"/>
      <c r="AQX247" s="26"/>
      <c r="AQY247" s="26"/>
      <c r="AQZ247" s="26"/>
      <c r="ARA247" s="26"/>
      <c r="ARB247" s="26"/>
      <c r="ARC247" s="26"/>
      <c r="ARD247" s="26"/>
      <c r="ARE247" s="26"/>
      <c r="ARF247" s="26"/>
      <c r="ARG247" s="26"/>
      <c r="ARH247" s="26"/>
      <c r="ARI247" s="26"/>
      <c r="ARJ247" s="26"/>
      <c r="ARK247" s="26"/>
      <c r="ARL247" s="26"/>
      <c r="ARM247" s="26"/>
      <c r="ARN247" s="26"/>
      <c r="ARO247" s="26"/>
      <c r="ARP247" s="26"/>
      <c r="ARQ247" s="26"/>
      <c r="ARR247" s="26"/>
      <c r="ARS247" s="26"/>
      <c r="ART247" s="26"/>
      <c r="ARU247" s="26"/>
      <c r="ARV247" s="26"/>
      <c r="ARW247" s="26"/>
      <c r="ARX247" s="26"/>
      <c r="ARY247" s="26"/>
      <c r="ARZ247" s="26"/>
      <c r="ASA247" s="26"/>
      <c r="ASB247" s="26"/>
      <c r="ASC247" s="26"/>
      <c r="ASD247" s="26"/>
      <c r="ASE247" s="26"/>
      <c r="ASF247" s="26"/>
      <c r="ASG247" s="26"/>
      <c r="ASH247" s="26"/>
      <c r="ASI247" s="26"/>
      <c r="ASJ247" s="26"/>
      <c r="ASK247" s="26"/>
      <c r="ASL247" s="26"/>
      <c r="ASM247" s="26"/>
      <c r="ASN247" s="26"/>
      <c r="ASO247" s="26"/>
      <c r="ASP247" s="26"/>
      <c r="ASQ247" s="26"/>
      <c r="ASR247" s="26"/>
      <c r="ASS247" s="26"/>
      <c r="AST247" s="26"/>
      <c r="ASU247" s="26"/>
      <c r="ASV247" s="26"/>
      <c r="ASW247" s="26"/>
      <c r="ASX247" s="26"/>
      <c r="ASY247" s="26"/>
      <c r="ASZ247" s="26"/>
      <c r="ATA247" s="26"/>
      <c r="ATB247" s="26"/>
      <c r="ATC247" s="26"/>
      <c r="ATD247" s="26"/>
      <c r="ATE247" s="26"/>
      <c r="ATF247" s="26"/>
      <c r="ATG247" s="26"/>
      <c r="ATH247" s="26"/>
      <c r="ATI247" s="26"/>
      <c r="ATJ247" s="26"/>
      <c r="ATK247" s="26"/>
      <c r="ATL247" s="26"/>
      <c r="ATM247" s="26"/>
      <c r="ATN247" s="26"/>
      <c r="ATO247" s="26"/>
      <c r="ATP247" s="26"/>
      <c r="ATQ247" s="26"/>
      <c r="ATR247" s="26"/>
      <c r="ATS247" s="26"/>
      <c r="ATT247" s="26"/>
      <c r="ATU247" s="26"/>
      <c r="ATV247" s="26"/>
      <c r="ATW247" s="26"/>
      <c r="ATX247" s="26"/>
      <c r="ATY247" s="26"/>
      <c r="ATZ247" s="26"/>
      <c r="AUA247" s="26"/>
      <c r="AUB247" s="26"/>
      <c r="AUC247" s="26"/>
      <c r="AUD247" s="26"/>
      <c r="AUE247" s="26"/>
      <c r="AUF247" s="26"/>
      <c r="AUG247" s="26"/>
      <c r="AUH247" s="26"/>
      <c r="AUI247" s="26"/>
      <c r="AUJ247" s="26"/>
      <c r="AUK247" s="26"/>
      <c r="AUL247" s="26"/>
      <c r="AUM247" s="26"/>
      <c r="AUN247" s="26"/>
      <c r="AUO247" s="26"/>
      <c r="AUP247" s="26"/>
      <c r="AUQ247" s="26"/>
      <c r="AUR247" s="26"/>
      <c r="AUS247" s="26"/>
      <c r="AUT247" s="26"/>
      <c r="AUU247" s="26"/>
      <c r="AUV247" s="26"/>
      <c r="AUW247" s="26"/>
      <c r="AUX247" s="26"/>
      <c r="AUY247" s="26"/>
      <c r="AUZ247" s="26"/>
      <c r="AVA247" s="26"/>
      <c r="AVB247" s="26"/>
      <c r="AVC247" s="26"/>
      <c r="AVD247" s="26"/>
      <c r="AVE247" s="26"/>
      <c r="AVF247" s="26"/>
      <c r="AVG247" s="26"/>
      <c r="AVH247" s="26"/>
      <c r="AVI247" s="26"/>
      <c r="AVJ247" s="26"/>
      <c r="AVK247" s="26"/>
      <c r="AVL247" s="26"/>
      <c r="AVM247" s="26"/>
      <c r="AVN247" s="26"/>
      <c r="AVO247" s="26"/>
      <c r="AVP247" s="26"/>
      <c r="AVQ247" s="26"/>
      <c r="AVR247" s="26"/>
      <c r="AVS247" s="26"/>
      <c r="AVT247" s="26"/>
      <c r="AVU247" s="26"/>
      <c r="AVV247" s="26"/>
      <c r="AVW247" s="26"/>
      <c r="AVX247" s="26"/>
      <c r="AVY247" s="26"/>
      <c r="AVZ247" s="26"/>
      <c r="AWA247" s="26"/>
      <c r="AWB247" s="26"/>
      <c r="AWC247" s="26"/>
      <c r="AWD247" s="26"/>
      <c r="AWE247" s="26"/>
      <c r="AWF247" s="26"/>
      <c r="AWG247" s="26"/>
      <c r="AWH247" s="26"/>
      <c r="AWI247" s="26"/>
      <c r="AWJ247" s="26"/>
      <c r="AWK247" s="26"/>
      <c r="AWL247" s="26"/>
      <c r="AWM247" s="26"/>
      <c r="AWN247" s="26"/>
      <c r="AWO247" s="26"/>
      <c r="AWP247" s="26"/>
      <c r="AWQ247" s="26"/>
      <c r="AWR247" s="26"/>
      <c r="AWS247" s="26"/>
      <c r="AWT247" s="26"/>
      <c r="AWU247" s="26"/>
      <c r="AWV247" s="26"/>
      <c r="AWW247" s="26"/>
      <c r="AWX247" s="26"/>
      <c r="AWY247" s="26"/>
      <c r="AWZ247" s="26"/>
      <c r="AXA247" s="26"/>
      <c r="AXB247" s="26"/>
      <c r="AXC247" s="26"/>
      <c r="AXD247" s="26"/>
      <c r="AXE247" s="26"/>
      <c r="AXF247" s="26"/>
      <c r="AXG247" s="26"/>
      <c r="AXH247" s="26"/>
      <c r="AXI247" s="26"/>
      <c r="AXJ247" s="26"/>
      <c r="AXK247" s="26"/>
      <c r="AXL247" s="26"/>
      <c r="AXM247" s="26"/>
      <c r="AXN247" s="26"/>
      <c r="AXO247" s="26"/>
      <c r="AXP247" s="26"/>
      <c r="AXQ247" s="26"/>
      <c r="AXR247" s="26"/>
      <c r="AXS247" s="26"/>
      <c r="AXT247" s="26"/>
      <c r="AXU247" s="26"/>
      <c r="AXV247" s="26"/>
      <c r="AXW247" s="26"/>
      <c r="AXX247" s="26"/>
      <c r="AXY247" s="26"/>
      <c r="AXZ247" s="26"/>
      <c r="AYA247" s="26"/>
      <c r="AYB247" s="26"/>
      <c r="AYC247" s="26"/>
      <c r="AYD247" s="26"/>
      <c r="AYE247" s="26"/>
      <c r="AYF247" s="26"/>
      <c r="AYG247" s="26"/>
      <c r="AYH247" s="26"/>
      <c r="AYI247" s="26"/>
      <c r="AYJ247" s="26"/>
      <c r="AYK247" s="26"/>
      <c r="AYL247" s="26"/>
      <c r="AYM247" s="26"/>
      <c r="AYN247" s="26"/>
      <c r="AYO247" s="26"/>
      <c r="AYP247" s="26"/>
      <c r="AYQ247" s="26"/>
      <c r="AYR247" s="26"/>
      <c r="AYS247" s="26"/>
      <c r="AYT247" s="26"/>
      <c r="AYU247" s="26"/>
      <c r="AYV247" s="26"/>
      <c r="AYW247" s="26"/>
      <c r="AYX247" s="26"/>
      <c r="AYY247" s="26"/>
      <c r="AYZ247" s="26"/>
      <c r="AZA247" s="26"/>
      <c r="AZB247" s="26"/>
      <c r="AZC247" s="26"/>
      <c r="AZD247" s="26"/>
      <c r="AZE247" s="26"/>
      <c r="AZF247" s="26"/>
      <c r="AZG247" s="26"/>
      <c r="AZH247" s="26"/>
      <c r="AZI247" s="26"/>
      <c r="AZJ247" s="26"/>
      <c r="AZK247" s="26"/>
      <c r="AZL247" s="26"/>
      <c r="AZM247" s="26"/>
      <c r="AZN247" s="26"/>
      <c r="AZO247" s="26"/>
      <c r="AZP247" s="26"/>
      <c r="AZQ247" s="26"/>
      <c r="AZR247" s="26"/>
      <c r="AZS247" s="26"/>
      <c r="AZT247" s="26"/>
      <c r="AZU247" s="26"/>
      <c r="AZV247" s="26"/>
      <c r="AZW247" s="26"/>
      <c r="AZX247" s="26"/>
      <c r="AZY247" s="26"/>
      <c r="AZZ247" s="26"/>
      <c r="BAA247" s="26"/>
      <c r="BAB247" s="26"/>
      <c r="BAC247" s="26"/>
      <c r="BAD247" s="26"/>
      <c r="BAE247" s="26"/>
      <c r="BAF247" s="26"/>
      <c r="BAG247" s="26"/>
      <c r="BAH247" s="26"/>
      <c r="BAI247" s="26"/>
      <c r="BAJ247" s="26"/>
      <c r="BAK247" s="26"/>
      <c r="BAL247" s="26"/>
      <c r="BAM247" s="26"/>
      <c r="BAN247" s="26"/>
      <c r="BAO247" s="26"/>
      <c r="BAP247" s="26"/>
      <c r="BAQ247" s="26"/>
      <c r="BAR247" s="26"/>
      <c r="BAS247" s="26"/>
      <c r="BAT247" s="26"/>
      <c r="BAU247" s="26"/>
      <c r="BAV247" s="26"/>
      <c r="BAW247" s="26"/>
      <c r="BAX247" s="26"/>
      <c r="BAY247" s="26"/>
      <c r="BAZ247" s="26"/>
      <c r="BBA247" s="26"/>
      <c r="BBB247" s="26"/>
      <c r="BBC247" s="26"/>
      <c r="BBD247" s="26"/>
      <c r="BBE247" s="26"/>
      <c r="BBF247" s="26"/>
      <c r="BBG247" s="26"/>
      <c r="BBH247" s="26"/>
      <c r="BBI247" s="26"/>
      <c r="BBJ247" s="26"/>
      <c r="BBK247" s="26"/>
      <c r="BBL247" s="26"/>
      <c r="BBM247" s="26"/>
      <c r="BBN247" s="26"/>
      <c r="BBO247" s="26"/>
      <c r="BBP247" s="26"/>
      <c r="BBQ247" s="26"/>
      <c r="BBR247" s="26"/>
      <c r="BBS247" s="26"/>
      <c r="BBT247" s="26"/>
      <c r="BBU247" s="26"/>
      <c r="BBV247" s="26"/>
      <c r="BBW247" s="26"/>
      <c r="BBX247" s="26"/>
      <c r="BBY247" s="26"/>
      <c r="BBZ247" s="26"/>
      <c r="BCA247" s="26"/>
      <c r="BCB247" s="26"/>
      <c r="BCC247" s="26"/>
      <c r="BCD247" s="26"/>
      <c r="BCE247" s="26"/>
      <c r="BCF247" s="26"/>
      <c r="BCG247" s="26"/>
      <c r="BCH247" s="26"/>
      <c r="BCI247" s="26"/>
      <c r="BCJ247" s="26"/>
      <c r="BCK247" s="26"/>
      <c r="BCL247" s="26"/>
      <c r="BCM247" s="26"/>
      <c r="BCN247" s="26"/>
      <c r="BCO247" s="26"/>
      <c r="BCP247" s="26"/>
      <c r="BCQ247" s="26"/>
      <c r="BCR247" s="26"/>
      <c r="BCS247" s="26"/>
      <c r="BCT247" s="26"/>
      <c r="BCU247" s="26"/>
      <c r="BCV247" s="26"/>
      <c r="BCW247" s="26"/>
      <c r="BCX247" s="26"/>
      <c r="BCY247" s="26"/>
      <c r="BCZ247" s="26"/>
      <c r="BDA247" s="26"/>
      <c r="BDB247" s="26"/>
      <c r="BDC247" s="26"/>
      <c r="BDD247" s="26"/>
      <c r="BDE247" s="26"/>
      <c r="BDF247" s="26"/>
      <c r="BDG247" s="26"/>
      <c r="BDH247" s="26"/>
      <c r="BDI247" s="26"/>
      <c r="BDJ247" s="26"/>
      <c r="BDK247" s="26"/>
      <c r="BDL247" s="26"/>
      <c r="BDM247" s="26"/>
      <c r="BDN247" s="26"/>
      <c r="BDO247" s="26"/>
      <c r="BDP247" s="26"/>
      <c r="BDQ247" s="26"/>
      <c r="BDR247" s="26"/>
      <c r="BDS247" s="26"/>
      <c r="BDT247" s="26"/>
      <c r="BDU247" s="26"/>
      <c r="BDV247" s="26"/>
      <c r="BDW247" s="26"/>
      <c r="BDX247" s="26"/>
      <c r="BDY247" s="26"/>
      <c r="BDZ247" s="26"/>
      <c r="BEA247" s="26"/>
      <c r="BEB247" s="26"/>
      <c r="BEC247" s="26"/>
      <c r="BED247" s="26"/>
      <c r="BEE247" s="26"/>
      <c r="BEF247" s="26"/>
      <c r="BEG247" s="26"/>
      <c r="BEH247" s="26"/>
      <c r="BEI247" s="26"/>
      <c r="BEJ247" s="26"/>
      <c r="BEK247" s="26"/>
      <c r="BEL247" s="26"/>
      <c r="BEM247" s="26"/>
      <c r="BEN247" s="26"/>
      <c r="BEO247" s="26"/>
      <c r="BEP247" s="26"/>
      <c r="BEQ247" s="26"/>
      <c r="BER247" s="26"/>
      <c r="BES247" s="26"/>
      <c r="BET247" s="26"/>
      <c r="BEU247" s="26"/>
      <c r="BEV247" s="26"/>
      <c r="BEW247" s="26"/>
      <c r="BEX247" s="26"/>
      <c r="BEY247" s="26"/>
      <c r="BEZ247" s="26"/>
      <c r="BFA247" s="26"/>
      <c r="BFB247" s="26"/>
      <c r="BFC247" s="26"/>
      <c r="BFD247" s="26"/>
      <c r="BFE247" s="26"/>
      <c r="BFF247" s="26"/>
      <c r="BFG247" s="26"/>
      <c r="BFH247" s="26"/>
      <c r="BFI247" s="26"/>
      <c r="BFJ247" s="26"/>
      <c r="BFK247" s="26"/>
      <c r="BFL247" s="26"/>
      <c r="BFM247" s="26"/>
      <c r="BFN247" s="26"/>
      <c r="BFO247" s="26"/>
      <c r="BFP247" s="26"/>
      <c r="BFQ247" s="26"/>
      <c r="BFR247" s="26"/>
      <c r="BFS247" s="26"/>
      <c r="BFT247" s="26"/>
      <c r="BFU247" s="26"/>
      <c r="BFV247" s="26"/>
      <c r="BFW247" s="26"/>
      <c r="BFX247" s="26"/>
      <c r="BFY247" s="26"/>
      <c r="BFZ247" s="26"/>
      <c r="BGA247" s="26"/>
      <c r="BGB247" s="26"/>
      <c r="BGC247" s="26"/>
      <c r="BGD247" s="26"/>
      <c r="BGE247" s="26"/>
      <c r="BGF247" s="26"/>
      <c r="BGG247" s="26"/>
      <c r="BGH247" s="26"/>
      <c r="BGI247" s="26"/>
      <c r="BGJ247" s="26"/>
      <c r="BGK247" s="26"/>
      <c r="BGL247" s="26"/>
      <c r="BGM247" s="26"/>
      <c r="BGN247" s="26"/>
      <c r="BGO247" s="26"/>
      <c r="BGP247" s="26"/>
      <c r="BGQ247" s="26"/>
      <c r="BGR247" s="26"/>
      <c r="BGS247" s="26"/>
      <c r="BGT247" s="26"/>
      <c r="BGU247" s="26"/>
      <c r="BGV247" s="26"/>
      <c r="BGW247" s="26"/>
      <c r="BGX247" s="26"/>
      <c r="BGY247" s="26"/>
      <c r="BGZ247" s="26"/>
      <c r="BHA247" s="26"/>
      <c r="BHB247" s="26"/>
      <c r="BHC247" s="26"/>
      <c r="BHD247" s="26"/>
      <c r="BHE247" s="26"/>
      <c r="BHF247" s="26"/>
      <c r="BHG247" s="26"/>
      <c r="BHH247" s="26"/>
      <c r="BHI247" s="26"/>
      <c r="BHJ247" s="26"/>
      <c r="BHK247" s="26"/>
      <c r="BHL247" s="26"/>
      <c r="BHM247" s="26"/>
      <c r="BHN247" s="26"/>
      <c r="BHO247" s="26"/>
      <c r="BHP247" s="26"/>
      <c r="BHQ247" s="26"/>
      <c r="BHR247" s="26"/>
      <c r="BHS247" s="26"/>
      <c r="BHT247" s="26"/>
      <c r="BHU247" s="26"/>
      <c r="BHV247" s="26"/>
      <c r="BHW247" s="26"/>
      <c r="BHX247" s="26"/>
      <c r="BHY247" s="26"/>
      <c r="BHZ247" s="26"/>
      <c r="BIA247" s="26"/>
      <c r="BIB247" s="26"/>
      <c r="BIC247" s="26"/>
      <c r="BID247" s="26"/>
      <c r="BIE247" s="26"/>
      <c r="BIF247" s="26"/>
      <c r="BIG247" s="26"/>
      <c r="BIH247" s="26"/>
      <c r="BII247" s="26"/>
      <c r="BIJ247" s="26"/>
      <c r="BIK247" s="26"/>
      <c r="BIL247" s="26"/>
      <c r="BIM247" s="26"/>
      <c r="BIN247" s="26"/>
      <c r="BIO247" s="26"/>
      <c r="BIP247" s="26"/>
      <c r="BIQ247" s="26"/>
      <c r="BIR247" s="26"/>
      <c r="BIS247" s="26"/>
      <c r="BIT247" s="26"/>
      <c r="BIU247" s="26"/>
      <c r="BIV247" s="26"/>
      <c r="BIW247" s="26"/>
      <c r="BIX247" s="26"/>
      <c r="BIY247" s="26"/>
      <c r="BIZ247" s="26"/>
      <c r="BJA247" s="26"/>
      <c r="BJB247" s="26"/>
      <c r="BJC247" s="26"/>
      <c r="BJD247" s="26"/>
      <c r="BJE247" s="26"/>
      <c r="BJF247" s="26"/>
      <c r="BJG247" s="26"/>
      <c r="BJH247" s="26"/>
      <c r="BJI247" s="26"/>
      <c r="BJJ247" s="26"/>
      <c r="BJK247" s="26"/>
      <c r="BJL247" s="26"/>
      <c r="BJM247" s="26"/>
      <c r="BJN247" s="26"/>
      <c r="BJO247" s="26"/>
      <c r="BJP247" s="26"/>
      <c r="BJQ247" s="26"/>
      <c r="BJR247" s="26"/>
      <c r="BJS247" s="26"/>
      <c r="BJT247" s="26"/>
      <c r="BJU247" s="26"/>
      <c r="BJV247" s="26"/>
      <c r="BJW247" s="26"/>
      <c r="BJX247" s="26"/>
      <c r="BJY247" s="26"/>
      <c r="BJZ247" s="26"/>
      <c r="BKA247" s="26"/>
      <c r="BKB247" s="26"/>
      <c r="BKC247" s="26"/>
      <c r="BKD247" s="26"/>
      <c r="BKE247" s="26"/>
      <c r="BKF247" s="26"/>
      <c r="BKG247" s="26"/>
      <c r="BKH247" s="26"/>
      <c r="BKI247" s="26"/>
      <c r="BKJ247" s="26"/>
      <c r="BKK247" s="26"/>
      <c r="BKL247" s="26"/>
      <c r="BKM247" s="26"/>
      <c r="BKN247" s="26"/>
      <c r="BKO247" s="26"/>
      <c r="BKP247" s="26"/>
      <c r="BKQ247" s="26"/>
      <c r="BKR247" s="26"/>
      <c r="BKS247" s="26"/>
      <c r="BKT247" s="26"/>
      <c r="BKU247" s="26"/>
      <c r="BKV247" s="26"/>
      <c r="BKW247" s="26"/>
      <c r="BKX247" s="26"/>
      <c r="BKY247" s="26"/>
      <c r="BKZ247" s="26"/>
      <c r="BLA247" s="26"/>
      <c r="BLB247" s="26"/>
      <c r="BLC247" s="26"/>
      <c r="BLD247" s="26"/>
      <c r="BLE247" s="26"/>
      <c r="BLF247" s="26"/>
      <c r="BLG247" s="26"/>
      <c r="BLH247" s="26"/>
      <c r="BLI247" s="26"/>
      <c r="BLJ247" s="26"/>
      <c r="BLK247" s="26"/>
      <c r="BLL247" s="26"/>
      <c r="BLM247" s="26"/>
      <c r="BLN247" s="26"/>
      <c r="BLO247" s="26"/>
      <c r="BLP247" s="26"/>
      <c r="BLQ247" s="26"/>
      <c r="BLR247" s="26"/>
      <c r="BLS247" s="26"/>
      <c r="BLT247" s="26"/>
      <c r="BLU247" s="26"/>
      <c r="BLV247" s="26"/>
      <c r="BLW247" s="26"/>
      <c r="BLX247" s="26"/>
      <c r="BLY247" s="26"/>
      <c r="BLZ247" s="26"/>
      <c r="BMA247" s="26"/>
      <c r="BMB247" s="26"/>
      <c r="BMC247" s="26"/>
      <c r="BMD247" s="26"/>
      <c r="BME247" s="26"/>
      <c r="BMF247" s="26"/>
      <c r="BMG247" s="26"/>
      <c r="BMH247" s="26"/>
      <c r="BMI247" s="26"/>
      <c r="BMJ247" s="26"/>
      <c r="BMK247" s="26"/>
      <c r="BML247" s="26"/>
      <c r="BMM247" s="26"/>
      <c r="BMN247" s="26"/>
      <c r="BMO247" s="26"/>
      <c r="BMP247" s="26"/>
      <c r="BMQ247" s="26"/>
      <c r="BMR247" s="26"/>
      <c r="BMS247" s="26"/>
      <c r="BMT247" s="26"/>
      <c r="BMU247" s="26"/>
      <c r="BMV247" s="26"/>
      <c r="BMW247" s="26"/>
      <c r="BMX247" s="26"/>
      <c r="BMY247" s="26"/>
      <c r="BMZ247" s="26"/>
      <c r="BNA247" s="26"/>
      <c r="BNB247" s="26"/>
      <c r="BNC247" s="26"/>
      <c r="BND247" s="26"/>
      <c r="BNE247" s="26"/>
      <c r="BNF247" s="26"/>
      <c r="BNG247" s="26"/>
      <c r="BNH247" s="26"/>
      <c r="BNI247" s="26"/>
      <c r="BNJ247" s="26"/>
      <c r="BNK247" s="26"/>
      <c r="BNL247" s="26"/>
      <c r="BNM247" s="26"/>
      <c r="BNN247" s="26"/>
      <c r="BNO247" s="26"/>
      <c r="BNP247" s="26"/>
      <c r="BNQ247" s="26"/>
      <c r="BNR247" s="26"/>
      <c r="BNS247" s="26"/>
      <c r="BNT247" s="26"/>
      <c r="BNU247" s="26"/>
      <c r="BNV247" s="26"/>
      <c r="BNW247" s="26"/>
      <c r="BNX247" s="26"/>
      <c r="BNY247" s="26"/>
      <c r="BNZ247" s="26"/>
      <c r="BOA247" s="26"/>
      <c r="BOB247" s="26"/>
      <c r="BOC247" s="26"/>
      <c r="BOD247" s="26"/>
      <c r="BOE247" s="26"/>
      <c r="BOF247" s="26"/>
      <c r="BOG247" s="26"/>
      <c r="BOH247" s="26"/>
      <c r="BOI247" s="26"/>
      <c r="BOJ247" s="26"/>
      <c r="BOK247" s="26"/>
      <c r="BOL247" s="26"/>
      <c r="BOM247" s="26"/>
      <c r="BON247" s="26"/>
      <c r="BOO247" s="26"/>
      <c r="BOP247" s="26"/>
      <c r="BOQ247" s="26"/>
      <c r="BOR247" s="26"/>
      <c r="BOS247" s="26"/>
      <c r="BOT247" s="26"/>
      <c r="BOU247" s="26"/>
      <c r="BOV247" s="26"/>
      <c r="BOW247" s="26"/>
      <c r="BOX247" s="26"/>
      <c r="BOY247" s="26"/>
      <c r="BOZ247" s="26"/>
      <c r="BPA247" s="26"/>
      <c r="BPB247" s="26"/>
      <c r="BPC247" s="26"/>
      <c r="BPD247" s="26"/>
      <c r="BPE247" s="26"/>
      <c r="BPF247" s="26"/>
      <c r="BPG247" s="26"/>
      <c r="BPH247" s="26"/>
      <c r="BPI247" s="26"/>
      <c r="BPJ247" s="26"/>
      <c r="BPK247" s="26"/>
      <c r="BPL247" s="26"/>
      <c r="BPM247" s="26"/>
      <c r="BPN247" s="26"/>
      <c r="BPO247" s="26"/>
      <c r="BPP247" s="26"/>
      <c r="BPQ247" s="26"/>
      <c r="BPR247" s="26"/>
      <c r="BPS247" s="26"/>
      <c r="BPT247" s="26"/>
      <c r="BPU247" s="26"/>
      <c r="BPV247" s="26"/>
      <c r="BPW247" s="26"/>
      <c r="BPX247" s="26"/>
      <c r="BPY247" s="26"/>
      <c r="BPZ247" s="26"/>
      <c r="BQA247" s="26"/>
      <c r="BQB247" s="26"/>
      <c r="BQC247" s="26"/>
      <c r="BQD247" s="26"/>
      <c r="BQE247" s="26"/>
      <c r="BQF247" s="26"/>
      <c r="BQG247" s="26"/>
      <c r="BQH247" s="26"/>
      <c r="BQI247" s="26"/>
      <c r="BQJ247" s="26"/>
      <c r="BQK247" s="26"/>
      <c r="BQL247" s="26"/>
      <c r="BQM247" s="26"/>
      <c r="BQN247" s="26"/>
      <c r="BQO247" s="26"/>
      <c r="BQP247" s="26"/>
      <c r="BQQ247" s="26"/>
      <c r="BQR247" s="26"/>
      <c r="BQS247" s="26"/>
      <c r="BQT247" s="26"/>
      <c r="BQU247" s="26"/>
      <c r="BQV247" s="26"/>
      <c r="BQW247" s="26"/>
      <c r="BQX247" s="26"/>
      <c r="BQY247" s="26"/>
      <c r="BQZ247" s="26"/>
      <c r="BRA247" s="26"/>
      <c r="BRB247" s="26"/>
      <c r="BRC247" s="26"/>
      <c r="BRD247" s="26"/>
      <c r="BRE247" s="26"/>
      <c r="BRF247" s="26"/>
      <c r="BRG247" s="26"/>
      <c r="BRH247" s="26"/>
      <c r="BRI247" s="26"/>
      <c r="BRJ247" s="26"/>
      <c r="BRK247" s="26"/>
      <c r="BRL247" s="26"/>
      <c r="BRM247" s="26"/>
      <c r="BRN247" s="26"/>
      <c r="BRO247" s="26"/>
      <c r="BRP247" s="26"/>
      <c r="BRQ247" s="26"/>
      <c r="BRR247" s="26"/>
      <c r="BRS247" s="26"/>
      <c r="BRT247" s="26"/>
      <c r="BRU247" s="26"/>
      <c r="BRV247" s="26"/>
      <c r="BRW247" s="26"/>
      <c r="BRX247" s="26"/>
      <c r="BRY247" s="26"/>
      <c r="BRZ247" s="26"/>
      <c r="BSA247" s="26"/>
      <c r="BSB247" s="26"/>
      <c r="BSC247" s="26"/>
      <c r="BSD247" s="26"/>
      <c r="BSE247" s="26"/>
      <c r="BSF247" s="26"/>
      <c r="BSG247" s="26"/>
      <c r="BSH247" s="26"/>
      <c r="BSI247" s="26"/>
      <c r="BSJ247" s="26"/>
      <c r="BSK247" s="26"/>
      <c r="BSL247" s="26"/>
      <c r="BSM247" s="26"/>
      <c r="BSN247" s="26"/>
      <c r="BSO247" s="26"/>
      <c r="BSP247" s="26"/>
      <c r="BSQ247" s="26"/>
      <c r="BSR247" s="26"/>
      <c r="BSS247" s="26"/>
      <c r="BST247" s="26"/>
      <c r="BSU247" s="26"/>
      <c r="BSV247" s="26"/>
      <c r="BSW247" s="26"/>
      <c r="BSX247" s="26"/>
      <c r="BSY247" s="26"/>
      <c r="BSZ247" s="26"/>
      <c r="BTA247" s="26"/>
      <c r="BTB247" s="26"/>
      <c r="BTC247" s="26"/>
      <c r="BTD247" s="26"/>
      <c r="BTE247" s="26"/>
      <c r="BTF247" s="26"/>
      <c r="BTG247" s="26"/>
      <c r="BTH247" s="26"/>
      <c r="BTI247" s="26"/>
      <c r="BTJ247" s="26"/>
      <c r="BTK247" s="26"/>
      <c r="BTL247" s="26"/>
      <c r="BTM247" s="26"/>
      <c r="BTN247" s="26"/>
      <c r="BTO247" s="26"/>
      <c r="BTP247" s="26"/>
      <c r="BTQ247" s="26"/>
      <c r="BTR247" s="26"/>
      <c r="BTS247" s="26"/>
      <c r="BTT247" s="26"/>
      <c r="BTU247" s="26"/>
      <c r="BTV247" s="26"/>
      <c r="BTW247" s="26"/>
      <c r="BTX247" s="26"/>
      <c r="BTY247" s="26"/>
      <c r="BTZ247" s="26"/>
      <c r="BUA247" s="26"/>
      <c r="BUB247" s="26"/>
      <c r="BUC247" s="26"/>
      <c r="BUD247" s="26"/>
      <c r="BUE247" s="26"/>
      <c r="BUF247" s="26"/>
      <c r="BUG247" s="26"/>
      <c r="BUH247" s="26"/>
      <c r="BUI247" s="26"/>
      <c r="BUJ247" s="26"/>
      <c r="BUK247" s="26"/>
      <c r="BUL247" s="26"/>
      <c r="BUM247" s="26"/>
      <c r="BUN247" s="26"/>
      <c r="BUO247" s="26"/>
      <c r="BUP247" s="26"/>
      <c r="BUQ247" s="26"/>
      <c r="BUR247" s="26"/>
      <c r="BUS247" s="26"/>
      <c r="BUT247" s="26"/>
      <c r="BUU247" s="26"/>
      <c r="BUV247" s="26"/>
      <c r="BUW247" s="26"/>
      <c r="BUX247" s="26"/>
      <c r="BUY247" s="26"/>
      <c r="BUZ247" s="26"/>
      <c r="BVA247" s="26"/>
      <c r="BVB247" s="26"/>
      <c r="BVC247" s="26"/>
      <c r="BVD247" s="26"/>
      <c r="BVE247" s="26"/>
      <c r="BVF247" s="26"/>
      <c r="BVG247" s="26"/>
      <c r="BVH247" s="26"/>
      <c r="BVI247" s="26"/>
      <c r="BVJ247" s="26"/>
      <c r="BVK247" s="26"/>
      <c r="BVL247" s="26"/>
      <c r="BVM247" s="26"/>
      <c r="BVN247" s="26"/>
      <c r="BVO247" s="26"/>
      <c r="BVP247" s="26"/>
      <c r="BVQ247" s="26"/>
      <c r="BVR247" s="26"/>
      <c r="BVS247" s="26"/>
      <c r="BVT247" s="26"/>
      <c r="BVU247" s="26"/>
      <c r="BVV247" s="26"/>
      <c r="BVW247" s="26"/>
      <c r="BVX247" s="26"/>
      <c r="BVY247" s="26"/>
      <c r="BVZ247" s="26"/>
      <c r="BWA247" s="26"/>
      <c r="BWB247" s="26"/>
      <c r="BWC247" s="26"/>
      <c r="BWD247" s="26"/>
      <c r="BWE247" s="26"/>
      <c r="BWF247" s="26"/>
      <c r="BWG247" s="26"/>
      <c r="BWH247" s="26"/>
      <c r="BWI247" s="26"/>
      <c r="BWJ247" s="26"/>
      <c r="BWK247" s="26"/>
      <c r="BWL247" s="26"/>
      <c r="BWM247" s="26"/>
      <c r="BWN247" s="26"/>
      <c r="BWO247" s="26"/>
      <c r="BWP247" s="26"/>
      <c r="BWQ247" s="26"/>
      <c r="BWR247" s="26"/>
      <c r="BWS247" s="26"/>
      <c r="BWT247" s="26"/>
      <c r="BWU247" s="26"/>
      <c r="BWV247" s="26"/>
      <c r="BWW247" s="26"/>
      <c r="BWX247" s="26"/>
      <c r="BWY247" s="26"/>
      <c r="BWZ247" s="26"/>
      <c r="BXA247" s="26"/>
      <c r="BXB247" s="26"/>
      <c r="BXC247" s="26"/>
      <c r="BXD247" s="26"/>
      <c r="BXE247" s="26"/>
      <c r="BXF247" s="26"/>
      <c r="BXG247" s="26"/>
      <c r="BXH247" s="26"/>
      <c r="BXI247" s="26"/>
      <c r="BXJ247" s="26"/>
      <c r="BXK247" s="26"/>
      <c r="BXL247" s="26"/>
      <c r="BXM247" s="26"/>
      <c r="BXN247" s="26"/>
      <c r="BXO247" s="26"/>
      <c r="BXP247" s="26"/>
      <c r="BXQ247" s="26"/>
      <c r="BXR247" s="26"/>
      <c r="BXS247" s="26"/>
      <c r="BXT247" s="26"/>
      <c r="BXU247" s="26"/>
      <c r="BXV247" s="26"/>
      <c r="BXW247" s="26"/>
      <c r="BXX247" s="26"/>
      <c r="BXY247" s="26"/>
      <c r="BXZ247" s="26"/>
      <c r="BYA247" s="26"/>
      <c r="BYB247" s="26"/>
      <c r="BYC247" s="26"/>
      <c r="BYD247" s="26"/>
      <c r="BYE247" s="26"/>
      <c r="BYF247" s="26"/>
      <c r="BYG247" s="26"/>
      <c r="BYH247" s="26"/>
      <c r="BYI247" s="26"/>
      <c r="BYJ247" s="26"/>
      <c r="BYK247" s="26"/>
      <c r="BYL247" s="26"/>
      <c r="BYM247" s="26"/>
      <c r="BYN247" s="26"/>
      <c r="BYO247" s="26"/>
      <c r="BYP247" s="26"/>
      <c r="BYQ247" s="26"/>
      <c r="BYR247" s="26"/>
      <c r="BYS247" s="26"/>
      <c r="BYT247" s="26"/>
      <c r="BYU247" s="26"/>
      <c r="BYV247" s="26"/>
      <c r="BYW247" s="26"/>
      <c r="BYX247" s="26"/>
      <c r="BYY247" s="26"/>
      <c r="BYZ247" s="26"/>
      <c r="BZA247" s="26"/>
      <c r="BZB247" s="26"/>
      <c r="BZC247" s="26"/>
      <c r="BZD247" s="26"/>
      <c r="BZE247" s="26"/>
      <c r="BZF247" s="26"/>
      <c r="BZG247" s="26"/>
      <c r="BZH247" s="26"/>
      <c r="BZI247" s="26"/>
      <c r="BZJ247" s="26"/>
      <c r="BZK247" s="26"/>
      <c r="BZL247" s="26"/>
      <c r="BZM247" s="26"/>
      <c r="BZN247" s="26"/>
      <c r="BZO247" s="26"/>
      <c r="BZP247" s="26"/>
      <c r="BZQ247" s="26"/>
      <c r="BZR247" s="26"/>
      <c r="BZS247" s="26"/>
      <c r="BZT247" s="26"/>
      <c r="BZU247" s="26"/>
      <c r="BZV247" s="26"/>
      <c r="BZW247" s="26"/>
      <c r="BZX247" s="26"/>
      <c r="BZY247" s="26"/>
      <c r="BZZ247" s="26"/>
      <c r="CAA247" s="26"/>
      <c r="CAB247" s="26"/>
      <c r="CAC247" s="26"/>
      <c r="CAD247" s="26"/>
      <c r="CAE247" s="26"/>
      <c r="CAF247" s="26"/>
      <c r="CAG247" s="26"/>
      <c r="CAH247" s="26"/>
      <c r="CAI247" s="26"/>
      <c r="CAJ247" s="26"/>
      <c r="CAK247" s="26"/>
      <c r="CAL247" s="26"/>
      <c r="CAM247" s="26"/>
      <c r="CAN247" s="26"/>
      <c r="CAO247" s="26"/>
      <c r="CAP247" s="26"/>
      <c r="CAQ247" s="26"/>
      <c r="CAR247" s="26"/>
      <c r="CAS247" s="26"/>
      <c r="CAT247" s="26"/>
      <c r="CAU247" s="26"/>
      <c r="CAV247" s="26"/>
      <c r="CAW247" s="26"/>
      <c r="CAX247" s="26"/>
      <c r="CAY247" s="26"/>
      <c r="CAZ247" s="26"/>
      <c r="CBA247" s="26"/>
      <c r="CBB247" s="26"/>
      <c r="CBC247" s="26"/>
      <c r="CBD247" s="26"/>
      <c r="CBE247" s="26"/>
      <c r="CBF247" s="26"/>
      <c r="CBG247" s="26"/>
      <c r="CBH247" s="26"/>
      <c r="CBI247" s="26"/>
    </row>
    <row r="248" spans="1:2089" s="53" customFormat="1" ht="14" customHeight="1">
      <c r="A248" s="27">
        <v>247</v>
      </c>
      <c r="B248" s="27" t="s">
        <v>583</v>
      </c>
      <c r="C248" s="27">
        <v>2013</v>
      </c>
      <c r="D248" s="26" t="s">
        <v>18</v>
      </c>
      <c r="E248" s="26" t="s">
        <v>566</v>
      </c>
      <c r="F248" s="77" t="s">
        <v>175</v>
      </c>
      <c r="G248" s="2" t="s">
        <v>84</v>
      </c>
      <c r="H248" s="2" t="s">
        <v>30</v>
      </c>
      <c r="I248" s="2" t="s">
        <v>175</v>
      </c>
      <c r="J248" s="2" t="s">
        <v>603</v>
      </c>
      <c r="K248" s="2" t="s">
        <v>548</v>
      </c>
      <c r="L248" s="2" t="s">
        <v>548</v>
      </c>
      <c r="M248" s="2" t="s">
        <v>175</v>
      </c>
      <c r="N248" s="2" t="s">
        <v>62</v>
      </c>
      <c r="O248" s="2" t="s">
        <v>43</v>
      </c>
      <c r="P248" s="2" t="s">
        <v>621</v>
      </c>
      <c r="Q248" s="2" t="s">
        <v>42</v>
      </c>
      <c r="R248" s="102" t="s">
        <v>614</v>
      </c>
      <c r="S248" s="2">
        <f>(0.125+0.3)/2</f>
        <v>0.21249999999999999</v>
      </c>
      <c r="T248" s="1">
        <v>266</v>
      </c>
      <c r="U248" s="77">
        <v>1</v>
      </c>
      <c r="V248" s="26">
        <v>1</v>
      </c>
      <c r="W248" s="26">
        <v>1</v>
      </c>
      <c r="X248" s="26">
        <v>1</v>
      </c>
      <c r="Y248" s="26">
        <v>1</v>
      </c>
      <c r="Z248" s="26">
        <v>0</v>
      </c>
      <c r="AA248" s="26">
        <v>0</v>
      </c>
      <c r="AB248" s="26">
        <v>0</v>
      </c>
      <c r="AC248" s="26">
        <v>0.65789473700000001</v>
      </c>
      <c r="AD248" s="26">
        <v>0.236842105</v>
      </c>
      <c r="AE248" s="26">
        <v>9.0225563999999994E-2</v>
      </c>
      <c r="AF248" s="26">
        <v>1.5037594E-2</v>
      </c>
      <c r="AG248" s="33" t="s">
        <v>70</v>
      </c>
      <c r="AH248" s="33" t="s">
        <v>70</v>
      </c>
      <c r="AI248" s="33" t="s">
        <v>79</v>
      </c>
      <c r="AJ248" s="26" t="s">
        <v>245</v>
      </c>
      <c r="AK248" s="33" t="s">
        <v>70</v>
      </c>
      <c r="AL248" s="33" t="s">
        <v>70</v>
      </c>
      <c r="AM248" s="35" t="s">
        <v>175</v>
      </c>
      <c r="AN248" s="32" t="s">
        <v>9</v>
      </c>
      <c r="AO248" s="35" t="s">
        <v>175</v>
      </c>
      <c r="AP248" s="35" t="s">
        <v>175</v>
      </c>
      <c r="AQ248" s="35" t="s">
        <v>548</v>
      </c>
      <c r="AR248" s="35" t="s">
        <v>548</v>
      </c>
      <c r="AS248" s="26" t="s">
        <v>175</v>
      </c>
      <c r="AT248" s="26" t="s">
        <v>548</v>
      </c>
      <c r="AU248" s="40" t="s">
        <v>548</v>
      </c>
      <c r="AV248" s="26">
        <v>9</v>
      </c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  <c r="GR248" s="26"/>
      <c r="GS248" s="26"/>
      <c r="GT248" s="26"/>
      <c r="GU248" s="26"/>
      <c r="GV248" s="26"/>
      <c r="GW248" s="26"/>
      <c r="GX248" s="26"/>
      <c r="GY248" s="26"/>
      <c r="GZ248" s="26"/>
      <c r="HA248" s="26"/>
      <c r="HB248" s="26"/>
      <c r="HC248" s="26"/>
      <c r="HD248" s="26"/>
      <c r="HE248" s="26"/>
      <c r="HF248" s="26"/>
      <c r="HG248" s="26"/>
      <c r="HH248" s="26"/>
      <c r="HI248" s="26"/>
      <c r="HJ248" s="26"/>
      <c r="HK248" s="26"/>
      <c r="HL248" s="26"/>
      <c r="HM248" s="26"/>
      <c r="HN248" s="26"/>
      <c r="HO248" s="26"/>
      <c r="HP248" s="26"/>
      <c r="HQ248" s="26"/>
      <c r="HR248" s="26"/>
      <c r="HS248" s="26"/>
      <c r="HT248" s="26"/>
      <c r="HU248" s="26"/>
      <c r="HV248" s="26"/>
      <c r="HW248" s="26"/>
      <c r="HX248" s="26"/>
      <c r="HY248" s="26"/>
      <c r="HZ248" s="26"/>
      <c r="IA248" s="26"/>
      <c r="IB248" s="26"/>
      <c r="IC248" s="26"/>
      <c r="ID248" s="26"/>
      <c r="IE248" s="26"/>
      <c r="IF248" s="26"/>
      <c r="IG248" s="26"/>
      <c r="IH248" s="26"/>
      <c r="II248" s="26"/>
      <c r="IJ248" s="26"/>
      <c r="IK248" s="26"/>
      <c r="IL248" s="26"/>
      <c r="IM248" s="26"/>
      <c r="IN248" s="26"/>
      <c r="IO248" s="26"/>
      <c r="IP248" s="26"/>
      <c r="IQ248" s="26"/>
      <c r="IR248" s="26"/>
      <c r="IS248" s="26"/>
      <c r="IT248" s="26"/>
      <c r="IU248" s="26"/>
      <c r="IV248" s="26"/>
      <c r="IW248" s="26"/>
      <c r="IX248" s="26"/>
      <c r="IY248" s="26"/>
      <c r="IZ248" s="26"/>
      <c r="JA248" s="26"/>
      <c r="JB248" s="26"/>
      <c r="JC248" s="26"/>
      <c r="JD248" s="26"/>
      <c r="JE248" s="26"/>
      <c r="JF248" s="26"/>
      <c r="JG248" s="26"/>
      <c r="JH248" s="26"/>
      <c r="JI248" s="26"/>
      <c r="JJ248" s="26"/>
      <c r="JK248" s="26"/>
      <c r="JL248" s="26"/>
      <c r="JM248" s="26"/>
      <c r="JN248" s="26"/>
      <c r="JO248" s="26"/>
      <c r="JP248" s="26"/>
      <c r="JQ248" s="26"/>
      <c r="JR248" s="26"/>
      <c r="JS248" s="26"/>
      <c r="JT248" s="26"/>
      <c r="JU248" s="26"/>
      <c r="JV248" s="26"/>
      <c r="JW248" s="26"/>
      <c r="JX248" s="26"/>
      <c r="JY248" s="26"/>
      <c r="JZ248" s="26"/>
      <c r="KA248" s="26"/>
      <c r="KB248" s="26"/>
      <c r="KC248" s="26"/>
      <c r="KD248" s="26"/>
      <c r="KE248" s="26"/>
      <c r="KF248" s="26"/>
      <c r="KG248" s="26"/>
      <c r="KH248" s="26"/>
      <c r="KI248" s="26"/>
      <c r="KJ248" s="26"/>
      <c r="KK248" s="26"/>
      <c r="KL248" s="26"/>
      <c r="KM248" s="26"/>
      <c r="KN248" s="26"/>
      <c r="KO248" s="26"/>
      <c r="KP248" s="26"/>
      <c r="KQ248" s="26"/>
      <c r="KR248" s="26"/>
      <c r="KS248" s="26"/>
      <c r="KT248" s="26"/>
      <c r="KU248" s="26"/>
      <c r="KV248" s="26"/>
      <c r="KW248" s="26"/>
      <c r="KX248" s="26"/>
      <c r="KY248" s="26"/>
      <c r="KZ248" s="26"/>
      <c r="LA248" s="26"/>
      <c r="LB248" s="26"/>
      <c r="LC248" s="26"/>
      <c r="LD248" s="26"/>
      <c r="LE248" s="26"/>
      <c r="LF248" s="26"/>
      <c r="LG248" s="26"/>
      <c r="LH248" s="26"/>
      <c r="LI248" s="26"/>
      <c r="LJ248" s="26"/>
      <c r="LK248" s="26"/>
      <c r="LL248" s="26"/>
      <c r="LM248" s="26"/>
      <c r="LN248" s="26"/>
      <c r="LO248" s="26"/>
      <c r="LP248" s="26"/>
      <c r="LQ248" s="26"/>
      <c r="LR248" s="26"/>
      <c r="LS248" s="26"/>
      <c r="LT248" s="26"/>
      <c r="LU248" s="26"/>
      <c r="LV248" s="26"/>
      <c r="LW248" s="26"/>
      <c r="LX248" s="26"/>
      <c r="LY248" s="26"/>
      <c r="LZ248" s="26"/>
      <c r="MA248" s="26"/>
      <c r="MB248" s="26"/>
      <c r="MC248" s="26"/>
      <c r="MD248" s="26"/>
      <c r="ME248" s="26"/>
      <c r="MF248" s="26"/>
      <c r="MG248" s="26"/>
      <c r="MH248" s="26"/>
      <c r="MI248" s="26"/>
      <c r="MJ248" s="26"/>
      <c r="MK248" s="26"/>
      <c r="ML248" s="26"/>
      <c r="MM248" s="26"/>
      <c r="MN248" s="26"/>
      <c r="MO248" s="26"/>
      <c r="MP248" s="26"/>
      <c r="MQ248" s="26"/>
      <c r="MR248" s="26"/>
      <c r="MS248" s="26"/>
      <c r="MT248" s="26"/>
      <c r="MU248" s="26"/>
      <c r="MV248" s="26"/>
      <c r="MW248" s="26"/>
      <c r="MX248" s="26"/>
      <c r="MY248" s="26"/>
      <c r="MZ248" s="26"/>
      <c r="NA248" s="26"/>
      <c r="NB248" s="26"/>
      <c r="NC248" s="26"/>
      <c r="ND248" s="26"/>
      <c r="NE248" s="26"/>
      <c r="NF248" s="26"/>
      <c r="NG248" s="26"/>
      <c r="NH248" s="26"/>
      <c r="NI248" s="26"/>
      <c r="NJ248" s="26"/>
      <c r="NK248" s="26"/>
      <c r="NL248" s="26"/>
      <c r="NM248" s="26"/>
      <c r="NN248" s="26"/>
      <c r="NO248" s="26"/>
      <c r="NP248" s="26"/>
      <c r="NQ248" s="26"/>
      <c r="NR248" s="26"/>
      <c r="NS248" s="26"/>
      <c r="NT248" s="26"/>
      <c r="NU248" s="26"/>
      <c r="NV248" s="26"/>
      <c r="NW248" s="26"/>
      <c r="NX248" s="26"/>
      <c r="NY248" s="26"/>
      <c r="NZ248" s="26"/>
      <c r="OA248" s="26"/>
      <c r="OB248" s="26"/>
      <c r="OC248" s="26"/>
      <c r="OD248" s="26"/>
      <c r="OE248" s="26"/>
      <c r="OF248" s="26"/>
      <c r="OG248" s="26"/>
      <c r="OH248" s="26"/>
      <c r="OI248" s="26"/>
      <c r="OJ248" s="26"/>
      <c r="OK248" s="26"/>
      <c r="OL248" s="26"/>
      <c r="OM248" s="26"/>
      <c r="ON248" s="26"/>
      <c r="OO248" s="26"/>
      <c r="OP248" s="26"/>
      <c r="OQ248" s="26"/>
      <c r="OR248" s="26"/>
      <c r="OS248" s="26"/>
      <c r="OT248" s="26"/>
      <c r="OU248" s="26"/>
      <c r="OV248" s="26"/>
      <c r="OW248" s="26"/>
      <c r="OX248" s="26"/>
      <c r="OY248" s="26"/>
      <c r="OZ248" s="26"/>
      <c r="PA248" s="26"/>
      <c r="PB248" s="26"/>
      <c r="PC248" s="26"/>
      <c r="PD248" s="26"/>
      <c r="PE248" s="26"/>
      <c r="PF248" s="26"/>
      <c r="PG248" s="26"/>
      <c r="PH248" s="26"/>
      <c r="PI248" s="26"/>
      <c r="PJ248" s="26"/>
      <c r="PK248" s="26"/>
      <c r="PL248" s="26"/>
      <c r="PM248" s="26"/>
      <c r="PN248" s="26"/>
      <c r="PO248" s="26"/>
      <c r="PP248" s="26"/>
      <c r="PQ248" s="26"/>
      <c r="PR248" s="26"/>
      <c r="PS248" s="26"/>
      <c r="PT248" s="26"/>
      <c r="PU248" s="26"/>
      <c r="PV248" s="26"/>
      <c r="PW248" s="26"/>
      <c r="PX248" s="26"/>
      <c r="PY248" s="26"/>
      <c r="PZ248" s="26"/>
      <c r="QA248" s="26"/>
      <c r="QB248" s="26"/>
      <c r="QC248" s="26"/>
      <c r="QD248" s="26"/>
      <c r="QE248" s="26"/>
      <c r="QF248" s="26"/>
      <c r="QG248" s="26"/>
      <c r="QH248" s="26"/>
      <c r="QI248" s="26"/>
      <c r="QJ248" s="26"/>
      <c r="QK248" s="26"/>
      <c r="QL248" s="26"/>
      <c r="QM248" s="26"/>
      <c r="QN248" s="26"/>
      <c r="QO248" s="26"/>
      <c r="QP248" s="26"/>
      <c r="QQ248" s="26"/>
      <c r="QR248" s="26"/>
      <c r="QS248" s="26"/>
      <c r="QT248" s="26"/>
      <c r="QU248" s="26"/>
      <c r="QV248" s="26"/>
      <c r="QW248" s="26"/>
      <c r="QX248" s="26"/>
      <c r="QY248" s="26"/>
      <c r="QZ248" s="26"/>
      <c r="RA248" s="26"/>
      <c r="RB248" s="26"/>
      <c r="RC248" s="26"/>
      <c r="RD248" s="26"/>
      <c r="RE248" s="26"/>
      <c r="RF248" s="26"/>
      <c r="RG248" s="26"/>
      <c r="RH248" s="26"/>
      <c r="RI248" s="26"/>
      <c r="RJ248" s="26"/>
      <c r="RK248" s="26"/>
      <c r="RL248" s="26"/>
      <c r="RM248" s="26"/>
      <c r="RN248" s="26"/>
      <c r="RO248" s="26"/>
      <c r="RP248" s="26"/>
      <c r="RQ248" s="26"/>
      <c r="RR248" s="26"/>
      <c r="RS248" s="26"/>
      <c r="RT248" s="26"/>
      <c r="RU248" s="26"/>
      <c r="RV248" s="26"/>
      <c r="RW248" s="26"/>
      <c r="RX248" s="26"/>
      <c r="RY248" s="26"/>
      <c r="RZ248" s="26"/>
      <c r="SA248" s="26"/>
      <c r="SB248" s="26"/>
      <c r="SC248" s="26"/>
      <c r="SD248" s="26"/>
      <c r="SE248" s="26"/>
      <c r="SF248" s="26"/>
      <c r="SG248" s="26"/>
      <c r="SH248" s="26"/>
      <c r="SI248" s="26"/>
      <c r="SJ248" s="26"/>
      <c r="SK248" s="26"/>
      <c r="SL248" s="26"/>
      <c r="SM248" s="26"/>
      <c r="SN248" s="26"/>
      <c r="SO248" s="26"/>
      <c r="SP248" s="26"/>
      <c r="SQ248" s="26"/>
      <c r="SR248" s="26"/>
      <c r="SS248" s="26"/>
      <c r="ST248" s="26"/>
      <c r="SU248" s="26"/>
      <c r="SV248" s="26"/>
      <c r="SW248" s="26"/>
      <c r="SX248" s="26"/>
      <c r="SY248" s="26"/>
      <c r="SZ248" s="26"/>
      <c r="TA248" s="26"/>
      <c r="TB248" s="26"/>
      <c r="TC248" s="26"/>
      <c r="TD248" s="26"/>
      <c r="TE248" s="26"/>
      <c r="TF248" s="26"/>
      <c r="TG248" s="26"/>
      <c r="TH248" s="26"/>
      <c r="TI248" s="26"/>
      <c r="TJ248" s="26"/>
      <c r="TK248" s="26"/>
      <c r="TL248" s="26"/>
      <c r="TM248" s="26"/>
      <c r="TN248" s="26"/>
      <c r="TO248" s="26"/>
      <c r="TP248" s="26"/>
      <c r="TQ248" s="26"/>
      <c r="TR248" s="26"/>
      <c r="TS248" s="26"/>
      <c r="TT248" s="26"/>
      <c r="TU248" s="26"/>
      <c r="TV248" s="26"/>
      <c r="TW248" s="26"/>
      <c r="TX248" s="26"/>
      <c r="TY248" s="26"/>
      <c r="TZ248" s="26"/>
      <c r="UA248" s="26"/>
      <c r="UB248" s="26"/>
      <c r="UC248" s="26"/>
      <c r="UD248" s="26"/>
      <c r="UE248" s="26"/>
      <c r="UF248" s="26"/>
      <c r="UG248" s="26"/>
      <c r="UH248" s="26"/>
      <c r="UI248" s="26"/>
      <c r="UJ248" s="26"/>
      <c r="UK248" s="26"/>
      <c r="UL248" s="26"/>
      <c r="UM248" s="26"/>
      <c r="UN248" s="26"/>
      <c r="UO248" s="26"/>
      <c r="UP248" s="26"/>
      <c r="UQ248" s="26"/>
      <c r="UR248" s="26"/>
      <c r="US248" s="26"/>
      <c r="UT248" s="26"/>
      <c r="UU248" s="26"/>
      <c r="UV248" s="26"/>
      <c r="UW248" s="26"/>
      <c r="UX248" s="26"/>
      <c r="UY248" s="26"/>
      <c r="UZ248" s="26"/>
      <c r="VA248" s="26"/>
      <c r="VB248" s="26"/>
      <c r="VC248" s="26"/>
      <c r="VD248" s="26"/>
      <c r="VE248" s="26"/>
      <c r="VF248" s="26"/>
      <c r="VG248" s="26"/>
      <c r="VH248" s="26"/>
      <c r="VI248" s="26"/>
      <c r="VJ248" s="26"/>
      <c r="VK248" s="26"/>
      <c r="VL248" s="26"/>
      <c r="VM248" s="26"/>
      <c r="VN248" s="26"/>
      <c r="VO248" s="26"/>
      <c r="VP248" s="26"/>
      <c r="VQ248" s="26"/>
      <c r="VR248" s="26"/>
      <c r="VS248" s="26"/>
      <c r="VT248" s="26"/>
      <c r="VU248" s="26"/>
      <c r="VV248" s="26"/>
      <c r="VW248" s="26"/>
      <c r="VX248" s="26"/>
      <c r="VY248" s="26"/>
      <c r="VZ248" s="26"/>
      <c r="WA248" s="26"/>
      <c r="WB248" s="26"/>
      <c r="WC248" s="26"/>
      <c r="WD248" s="26"/>
      <c r="WE248" s="26"/>
      <c r="WF248" s="26"/>
      <c r="WG248" s="26"/>
      <c r="WH248" s="26"/>
      <c r="WI248" s="26"/>
      <c r="WJ248" s="26"/>
      <c r="WK248" s="26"/>
      <c r="WL248" s="26"/>
      <c r="WM248" s="26"/>
      <c r="WN248" s="26"/>
      <c r="WO248" s="26"/>
      <c r="WP248" s="26"/>
      <c r="WQ248" s="26"/>
      <c r="WR248" s="26"/>
      <c r="WS248" s="26"/>
      <c r="WT248" s="26"/>
      <c r="WU248" s="26"/>
      <c r="WV248" s="26"/>
      <c r="WW248" s="26"/>
      <c r="WX248" s="26"/>
      <c r="WY248" s="26"/>
      <c r="WZ248" s="26"/>
      <c r="XA248" s="26"/>
      <c r="XB248" s="26"/>
      <c r="XC248" s="26"/>
      <c r="XD248" s="26"/>
      <c r="XE248" s="26"/>
      <c r="XF248" s="26"/>
      <c r="XG248" s="26"/>
      <c r="XH248" s="26"/>
      <c r="XI248" s="26"/>
      <c r="XJ248" s="26"/>
      <c r="XK248" s="26"/>
      <c r="XL248" s="26"/>
      <c r="XM248" s="26"/>
      <c r="XN248" s="26"/>
      <c r="XO248" s="26"/>
      <c r="XP248" s="26"/>
      <c r="XQ248" s="26"/>
      <c r="XR248" s="26"/>
      <c r="XS248" s="26"/>
      <c r="XT248" s="26"/>
      <c r="XU248" s="26"/>
      <c r="XV248" s="26"/>
      <c r="XW248" s="26"/>
      <c r="XX248" s="26"/>
      <c r="XY248" s="26"/>
      <c r="XZ248" s="26"/>
      <c r="YA248" s="26"/>
      <c r="YB248" s="26"/>
      <c r="YC248" s="26"/>
      <c r="YD248" s="26"/>
      <c r="YE248" s="26"/>
      <c r="YF248" s="26"/>
      <c r="YG248" s="26"/>
      <c r="YH248" s="26"/>
      <c r="YI248" s="26"/>
      <c r="YJ248" s="26"/>
      <c r="YK248" s="26"/>
      <c r="YL248" s="26"/>
      <c r="YM248" s="26"/>
      <c r="YN248" s="26"/>
      <c r="YO248" s="26"/>
      <c r="YP248" s="26"/>
      <c r="YQ248" s="26"/>
      <c r="YR248" s="26"/>
      <c r="YS248" s="26"/>
      <c r="YT248" s="26"/>
      <c r="YU248" s="26"/>
      <c r="YV248" s="26"/>
      <c r="YW248" s="26"/>
      <c r="YX248" s="26"/>
      <c r="YY248" s="26"/>
      <c r="YZ248" s="26"/>
      <c r="ZA248" s="26"/>
      <c r="ZB248" s="26"/>
      <c r="ZC248" s="26"/>
      <c r="ZD248" s="26"/>
      <c r="ZE248" s="26"/>
      <c r="ZF248" s="26"/>
      <c r="ZG248" s="26"/>
      <c r="ZH248" s="26"/>
      <c r="ZI248" s="26"/>
      <c r="ZJ248" s="26"/>
      <c r="ZK248" s="26"/>
      <c r="ZL248" s="26"/>
      <c r="ZM248" s="26"/>
      <c r="ZN248" s="26"/>
      <c r="ZO248" s="26"/>
      <c r="ZP248" s="26"/>
      <c r="ZQ248" s="26"/>
      <c r="ZR248" s="26"/>
      <c r="ZS248" s="26"/>
      <c r="ZT248" s="26"/>
      <c r="ZU248" s="26"/>
      <c r="ZV248" s="26"/>
      <c r="ZW248" s="26"/>
      <c r="ZX248" s="26"/>
      <c r="ZY248" s="26"/>
      <c r="ZZ248" s="26"/>
      <c r="AAA248" s="26"/>
      <c r="AAB248" s="26"/>
      <c r="AAC248" s="26"/>
      <c r="AAD248" s="26"/>
      <c r="AAE248" s="26"/>
      <c r="AAF248" s="26"/>
      <c r="AAG248" s="26"/>
      <c r="AAH248" s="26"/>
      <c r="AAI248" s="26"/>
      <c r="AAJ248" s="26"/>
      <c r="AAK248" s="26"/>
      <c r="AAL248" s="26"/>
      <c r="AAM248" s="26"/>
      <c r="AAN248" s="26"/>
      <c r="AAO248" s="26"/>
      <c r="AAP248" s="26"/>
      <c r="AAQ248" s="26"/>
      <c r="AAR248" s="26"/>
      <c r="AAS248" s="26"/>
      <c r="AAT248" s="26"/>
      <c r="AAU248" s="26"/>
      <c r="AAV248" s="26"/>
      <c r="AAW248" s="26"/>
      <c r="AAX248" s="26"/>
      <c r="AAY248" s="26"/>
      <c r="AAZ248" s="26"/>
      <c r="ABA248" s="26"/>
      <c r="ABB248" s="26"/>
      <c r="ABC248" s="26"/>
      <c r="ABD248" s="26"/>
      <c r="ABE248" s="26"/>
      <c r="ABF248" s="26"/>
      <c r="ABG248" s="26"/>
      <c r="ABH248" s="26"/>
      <c r="ABI248" s="26"/>
      <c r="ABJ248" s="26"/>
      <c r="ABK248" s="26"/>
      <c r="ABL248" s="26"/>
      <c r="ABM248" s="26"/>
      <c r="ABN248" s="26"/>
      <c r="ABO248" s="26"/>
      <c r="ABP248" s="26"/>
      <c r="ABQ248" s="26"/>
      <c r="ABR248" s="26"/>
      <c r="ABS248" s="26"/>
      <c r="ABT248" s="26"/>
      <c r="ABU248" s="26"/>
      <c r="ABV248" s="26"/>
      <c r="ABW248" s="26"/>
      <c r="ABX248" s="26"/>
      <c r="ABY248" s="26"/>
      <c r="ABZ248" s="26"/>
      <c r="ACA248" s="26"/>
      <c r="ACB248" s="26"/>
      <c r="ACC248" s="26"/>
      <c r="ACD248" s="26"/>
      <c r="ACE248" s="26"/>
      <c r="ACF248" s="26"/>
      <c r="ACG248" s="26"/>
      <c r="ACH248" s="26"/>
      <c r="ACI248" s="26"/>
      <c r="ACJ248" s="26"/>
      <c r="ACK248" s="26"/>
      <c r="ACL248" s="26"/>
      <c r="ACM248" s="26"/>
      <c r="ACN248" s="26"/>
      <c r="ACO248" s="26"/>
      <c r="ACP248" s="26"/>
      <c r="ACQ248" s="26"/>
      <c r="ACR248" s="26"/>
      <c r="ACS248" s="26"/>
      <c r="ACT248" s="26"/>
      <c r="ACU248" s="26"/>
      <c r="ACV248" s="26"/>
      <c r="ACW248" s="26"/>
      <c r="ACX248" s="26"/>
      <c r="ACY248" s="26"/>
      <c r="ACZ248" s="26"/>
      <c r="ADA248" s="26"/>
      <c r="ADB248" s="26"/>
      <c r="ADC248" s="26"/>
      <c r="ADD248" s="26"/>
      <c r="ADE248" s="26"/>
      <c r="ADF248" s="26"/>
      <c r="ADG248" s="26"/>
      <c r="ADH248" s="26"/>
      <c r="ADI248" s="26"/>
      <c r="ADJ248" s="26"/>
      <c r="ADK248" s="26"/>
      <c r="ADL248" s="26"/>
      <c r="ADM248" s="26"/>
      <c r="ADN248" s="26"/>
      <c r="ADO248" s="26"/>
      <c r="ADP248" s="26"/>
      <c r="ADQ248" s="26"/>
      <c r="ADR248" s="26"/>
      <c r="ADS248" s="26"/>
      <c r="ADT248" s="26"/>
      <c r="ADU248" s="26"/>
      <c r="ADV248" s="26"/>
      <c r="ADW248" s="26"/>
      <c r="ADX248" s="26"/>
      <c r="ADY248" s="26"/>
      <c r="ADZ248" s="26"/>
      <c r="AEA248" s="26"/>
      <c r="AEB248" s="26"/>
      <c r="AEC248" s="26"/>
      <c r="AED248" s="26"/>
      <c r="AEE248" s="26"/>
      <c r="AEF248" s="26"/>
      <c r="AEG248" s="26"/>
      <c r="AEH248" s="26"/>
      <c r="AEI248" s="26"/>
      <c r="AEJ248" s="26"/>
      <c r="AEK248" s="26"/>
      <c r="AEL248" s="26"/>
      <c r="AEM248" s="26"/>
      <c r="AEN248" s="26"/>
      <c r="AEO248" s="26"/>
      <c r="AEP248" s="26"/>
      <c r="AEQ248" s="26"/>
      <c r="AER248" s="26"/>
      <c r="AES248" s="26"/>
      <c r="AET248" s="26"/>
      <c r="AEU248" s="26"/>
      <c r="AEV248" s="26"/>
      <c r="AEW248" s="26"/>
      <c r="AEX248" s="26"/>
      <c r="AEY248" s="26"/>
      <c r="AEZ248" s="26"/>
      <c r="AFA248" s="26"/>
      <c r="AFB248" s="26"/>
      <c r="AFC248" s="26"/>
      <c r="AFD248" s="26"/>
      <c r="AFE248" s="26"/>
      <c r="AFF248" s="26"/>
      <c r="AFG248" s="26"/>
      <c r="AFH248" s="26"/>
      <c r="AFI248" s="26"/>
      <c r="AFJ248" s="26"/>
      <c r="AFK248" s="26"/>
      <c r="AFL248" s="26"/>
      <c r="AFM248" s="26"/>
      <c r="AFN248" s="26"/>
      <c r="AFO248" s="26"/>
      <c r="AFP248" s="26"/>
      <c r="AFQ248" s="26"/>
      <c r="AFR248" s="26"/>
      <c r="AFS248" s="26"/>
      <c r="AFT248" s="26"/>
      <c r="AFU248" s="26"/>
      <c r="AFV248" s="26"/>
      <c r="AFW248" s="26"/>
      <c r="AFX248" s="26"/>
      <c r="AFY248" s="26"/>
      <c r="AFZ248" s="26"/>
      <c r="AGA248" s="26"/>
      <c r="AGB248" s="26"/>
      <c r="AGC248" s="26"/>
      <c r="AGD248" s="26"/>
      <c r="AGE248" s="26"/>
      <c r="AGF248" s="26"/>
      <c r="AGG248" s="26"/>
      <c r="AGH248" s="26"/>
      <c r="AGI248" s="26"/>
      <c r="AGJ248" s="26"/>
      <c r="AGK248" s="26"/>
      <c r="AGL248" s="26"/>
      <c r="AGM248" s="26"/>
      <c r="AGN248" s="26"/>
      <c r="AGO248" s="26"/>
      <c r="AGP248" s="26"/>
      <c r="AGQ248" s="26"/>
      <c r="AGR248" s="26"/>
      <c r="AGS248" s="26"/>
      <c r="AGT248" s="26"/>
      <c r="AGU248" s="26"/>
      <c r="AGV248" s="26"/>
      <c r="AGW248" s="26"/>
      <c r="AGX248" s="26"/>
      <c r="AGY248" s="26"/>
      <c r="AGZ248" s="26"/>
      <c r="AHA248" s="26"/>
      <c r="AHB248" s="26"/>
      <c r="AHC248" s="26"/>
      <c r="AHD248" s="26"/>
      <c r="AHE248" s="26"/>
      <c r="AHF248" s="26"/>
      <c r="AHG248" s="26"/>
      <c r="AHH248" s="26"/>
      <c r="AHI248" s="26"/>
      <c r="AHJ248" s="26"/>
      <c r="AHK248" s="26"/>
      <c r="AHL248" s="26"/>
      <c r="AHM248" s="26"/>
      <c r="AHN248" s="26"/>
      <c r="AHO248" s="26"/>
      <c r="AHP248" s="26"/>
      <c r="AHQ248" s="26"/>
      <c r="AHR248" s="26"/>
      <c r="AHS248" s="26"/>
      <c r="AHT248" s="26"/>
      <c r="AHU248" s="26"/>
      <c r="AHV248" s="26"/>
      <c r="AHW248" s="26"/>
      <c r="AHX248" s="26"/>
      <c r="AHY248" s="26"/>
      <c r="AHZ248" s="26"/>
      <c r="AIA248" s="26"/>
      <c r="AIB248" s="26"/>
      <c r="AIC248" s="26"/>
      <c r="AID248" s="26"/>
      <c r="AIE248" s="26"/>
      <c r="AIF248" s="26"/>
      <c r="AIG248" s="26"/>
      <c r="AIH248" s="26"/>
      <c r="AII248" s="26"/>
      <c r="AIJ248" s="26"/>
      <c r="AIK248" s="26"/>
      <c r="AIL248" s="26"/>
      <c r="AIM248" s="26"/>
      <c r="AIN248" s="26"/>
      <c r="AIO248" s="26"/>
      <c r="AIP248" s="26"/>
      <c r="AIQ248" s="26"/>
      <c r="AIR248" s="26"/>
      <c r="AIS248" s="26"/>
      <c r="AIT248" s="26"/>
      <c r="AIU248" s="26"/>
      <c r="AIV248" s="26"/>
      <c r="AIW248" s="26"/>
      <c r="AIX248" s="26"/>
      <c r="AIY248" s="26"/>
      <c r="AIZ248" s="26"/>
      <c r="AJA248" s="26"/>
      <c r="AJB248" s="26"/>
      <c r="AJC248" s="26"/>
      <c r="AJD248" s="26"/>
      <c r="AJE248" s="26"/>
      <c r="AJF248" s="26"/>
      <c r="AJG248" s="26"/>
      <c r="AJH248" s="26"/>
      <c r="AJI248" s="26"/>
      <c r="AJJ248" s="26"/>
      <c r="AJK248" s="26"/>
      <c r="AJL248" s="26"/>
      <c r="AJM248" s="26"/>
      <c r="AJN248" s="26"/>
      <c r="AJO248" s="26"/>
      <c r="AJP248" s="26"/>
      <c r="AJQ248" s="26"/>
      <c r="AJR248" s="26"/>
      <c r="AJS248" s="26"/>
      <c r="AJT248" s="26"/>
      <c r="AJU248" s="26"/>
      <c r="AJV248" s="26"/>
      <c r="AJW248" s="26"/>
      <c r="AJX248" s="26"/>
      <c r="AJY248" s="26"/>
      <c r="AJZ248" s="26"/>
      <c r="AKA248" s="26"/>
      <c r="AKB248" s="26"/>
      <c r="AKC248" s="26"/>
      <c r="AKD248" s="26"/>
      <c r="AKE248" s="26"/>
      <c r="AKF248" s="26"/>
      <c r="AKG248" s="26"/>
      <c r="AKH248" s="26"/>
      <c r="AKI248" s="26"/>
      <c r="AKJ248" s="26"/>
      <c r="AKK248" s="26"/>
      <c r="AKL248" s="26"/>
      <c r="AKM248" s="26"/>
      <c r="AKN248" s="26"/>
      <c r="AKO248" s="26"/>
      <c r="AKP248" s="26"/>
      <c r="AKQ248" s="26"/>
      <c r="AKR248" s="26"/>
      <c r="AKS248" s="26"/>
      <c r="AKT248" s="26"/>
      <c r="AKU248" s="26"/>
      <c r="AKV248" s="26"/>
      <c r="AKW248" s="26"/>
      <c r="AKX248" s="26"/>
      <c r="AKY248" s="26"/>
      <c r="AKZ248" s="26"/>
      <c r="ALA248" s="26"/>
      <c r="ALB248" s="26"/>
      <c r="ALC248" s="26"/>
      <c r="ALD248" s="26"/>
      <c r="ALE248" s="26"/>
      <c r="ALF248" s="26"/>
      <c r="ALG248" s="26"/>
      <c r="ALH248" s="26"/>
      <c r="ALI248" s="26"/>
      <c r="ALJ248" s="26"/>
      <c r="ALK248" s="26"/>
      <c r="ALL248" s="26"/>
      <c r="ALM248" s="26"/>
      <c r="ALN248" s="26"/>
      <c r="ALO248" s="26"/>
      <c r="ALP248" s="26"/>
      <c r="ALQ248" s="26"/>
      <c r="ALR248" s="26"/>
      <c r="ALS248" s="26"/>
      <c r="ALT248" s="26"/>
      <c r="ALU248" s="26"/>
      <c r="ALV248" s="26"/>
      <c r="ALW248" s="26"/>
      <c r="ALX248" s="26"/>
      <c r="ALY248" s="26"/>
      <c r="ALZ248" s="26"/>
      <c r="AMA248" s="26"/>
      <c r="AMB248" s="26"/>
      <c r="AMC248" s="26"/>
      <c r="AMD248" s="26"/>
      <c r="AME248" s="26"/>
      <c r="AMF248" s="26"/>
      <c r="AMG248" s="26"/>
      <c r="AMH248" s="26"/>
      <c r="AMI248" s="26"/>
      <c r="AMJ248" s="26"/>
      <c r="AMK248" s="26"/>
      <c r="AML248" s="26"/>
      <c r="AMM248" s="26"/>
      <c r="AMN248" s="26"/>
      <c r="AMO248" s="26"/>
      <c r="AMP248" s="26"/>
      <c r="AMQ248" s="26"/>
      <c r="AMR248" s="26"/>
      <c r="AMS248" s="26"/>
      <c r="AMT248" s="26"/>
      <c r="AMU248" s="26"/>
      <c r="AMV248" s="26"/>
      <c r="AMW248" s="26"/>
      <c r="AMX248" s="26"/>
      <c r="AMY248" s="26"/>
      <c r="AMZ248" s="26"/>
      <c r="ANA248" s="26"/>
      <c r="ANB248" s="26"/>
      <c r="ANC248" s="26"/>
      <c r="AND248" s="26"/>
      <c r="ANE248" s="26"/>
      <c r="ANF248" s="26"/>
      <c r="ANG248" s="26"/>
      <c r="ANH248" s="26"/>
      <c r="ANI248" s="26"/>
      <c r="ANJ248" s="26"/>
      <c r="ANK248" s="26"/>
      <c r="ANL248" s="26"/>
      <c r="ANM248" s="26"/>
      <c r="ANN248" s="26"/>
      <c r="ANO248" s="26"/>
      <c r="ANP248" s="26"/>
      <c r="ANQ248" s="26"/>
      <c r="ANR248" s="26"/>
      <c r="ANS248" s="26"/>
      <c r="ANT248" s="26"/>
      <c r="ANU248" s="26"/>
      <c r="ANV248" s="26"/>
      <c r="ANW248" s="26"/>
      <c r="ANX248" s="26"/>
      <c r="ANY248" s="26"/>
      <c r="ANZ248" s="26"/>
      <c r="AOA248" s="26"/>
      <c r="AOB248" s="26"/>
      <c r="AOC248" s="26"/>
      <c r="AOD248" s="26"/>
      <c r="AOE248" s="26"/>
      <c r="AOF248" s="26"/>
      <c r="AOG248" s="26"/>
      <c r="AOH248" s="26"/>
      <c r="AOI248" s="26"/>
      <c r="AOJ248" s="26"/>
      <c r="AOK248" s="26"/>
      <c r="AOL248" s="26"/>
      <c r="AOM248" s="26"/>
      <c r="AON248" s="26"/>
      <c r="AOO248" s="26"/>
      <c r="AOP248" s="26"/>
      <c r="AOQ248" s="26"/>
      <c r="AOR248" s="26"/>
      <c r="AOS248" s="26"/>
      <c r="AOT248" s="26"/>
      <c r="AOU248" s="26"/>
      <c r="AOV248" s="26"/>
      <c r="AOW248" s="26"/>
      <c r="AOX248" s="26"/>
      <c r="AOY248" s="26"/>
      <c r="AOZ248" s="26"/>
      <c r="APA248" s="26"/>
      <c r="APB248" s="26"/>
      <c r="APC248" s="26"/>
      <c r="APD248" s="26"/>
      <c r="APE248" s="26"/>
      <c r="APF248" s="26"/>
      <c r="APG248" s="26"/>
      <c r="APH248" s="26"/>
      <c r="API248" s="26"/>
      <c r="APJ248" s="26"/>
      <c r="APK248" s="26"/>
      <c r="APL248" s="26"/>
      <c r="APM248" s="26"/>
      <c r="APN248" s="26"/>
      <c r="APO248" s="26"/>
      <c r="APP248" s="26"/>
      <c r="APQ248" s="26"/>
      <c r="APR248" s="26"/>
      <c r="APS248" s="26"/>
      <c r="APT248" s="26"/>
      <c r="APU248" s="26"/>
      <c r="APV248" s="26"/>
      <c r="APW248" s="26"/>
      <c r="APX248" s="26"/>
      <c r="APY248" s="26"/>
      <c r="APZ248" s="26"/>
      <c r="AQA248" s="26"/>
      <c r="AQB248" s="26"/>
      <c r="AQC248" s="26"/>
      <c r="AQD248" s="26"/>
      <c r="AQE248" s="26"/>
      <c r="AQF248" s="26"/>
      <c r="AQG248" s="26"/>
      <c r="AQH248" s="26"/>
      <c r="AQI248" s="26"/>
      <c r="AQJ248" s="26"/>
      <c r="AQK248" s="26"/>
      <c r="AQL248" s="26"/>
      <c r="AQM248" s="26"/>
      <c r="AQN248" s="26"/>
      <c r="AQO248" s="26"/>
      <c r="AQP248" s="26"/>
      <c r="AQQ248" s="26"/>
      <c r="AQR248" s="26"/>
      <c r="AQS248" s="26"/>
      <c r="AQT248" s="26"/>
      <c r="AQU248" s="26"/>
      <c r="AQV248" s="26"/>
      <c r="AQW248" s="26"/>
      <c r="AQX248" s="26"/>
      <c r="AQY248" s="26"/>
      <c r="AQZ248" s="26"/>
      <c r="ARA248" s="26"/>
      <c r="ARB248" s="26"/>
      <c r="ARC248" s="26"/>
      <c r="ARD248" s="26"/>
      <c r="ARE248" s="26"/>
      <c r="ARF248" s="26"/>
      <c r="ARG248" s="26"/>
      <c r="ARH248" s="26"/>
      <c r="ARI248" s="26"/>
      <c r="ARJ248" s="26"/>
      <c r="ARK248" s="26"/>
      <c r="ARL248" s="26"/>
      <c r="ARM248" s="26"/>
      <c r="ARN248" s="26"/>
      <c r="ARO248" s="26"/>
      <c r="ARP248" s="26"/>
      <c r="ARQ248" s="26"/>
      <c r="ARR248" s="26"/>
      <c r="ARS248" s="26"/>
      <c r="ART248" s="26"/>
      <c r="ARU248" s="26"/>
      <c r="ARV248" s="26"/>
      <c r="ARW248" s="26"/>
      <c r="ARX248" s="26"/>
      <c r="ARY248" s="26"/>
      <c r="ARZ248" s="26"/>
      <c r="ASA248" s="26"/>
      <c r="ASB248" s="26"/>
      <c r="ASC248" s="26"/>
      <c r="ASD248" s="26"/>
      <c r="ASE248" s="26"/>
      <c r="ASF248" s="26"/>
      <c r="ASG248" s="26"/>
      <c r="ASH248" s="26"/>
      <c r="ASI248" s="26"/>
      <c r="ASJ248" s="26"/>
      <c r="ASK248" s="26"/>
      <c r="ASL248" s="26"/>
      <c r="ASM248" s="26"/>
      <c r="ASN248" s="26"/>
      <c r="ASO248" s="26"/>
      <c r="ASP248" s="26"/>
      <c r="ASQ248" s="26"/>
      <c r="ASR248" s="26"/>
      <c r="ASS248" s="26"/>
      <c r="AST248" s="26"/>
      <c r="ASU248" s="26"/>
      <c r="ASV248" s="26"/>
      <c r="ASW248" s="26"/>
      <c r="ASX248" s="26"/>
      <c r="ASY248" s="26"/>
      <c r="ASZ248" s="26"/>
      <c r="ATA248" s="26"/>
      <c r="ATB248" s="26"/>
      <c r="ATC248" s="26"/>
      <c r="ATD248" s="26"/>
      <c r="ATE248" s="26"/>
      <c r="ATF248" s="26"/>
      <c r="ATG248" s="26"/>
      <c r="ATH248" s="26"/>
      <c r="ATI248" s="26"/>
      <c r="ATJ248" s="26"/>
      <c r="ATK248" s="26"/>
      <c r="ATL248" s="26"/>
      <c r="ATM248" s="26"/>
      <c r="ATN248" s="26"/>
      <c r="ATO248" s="26"/>
      <c r="ATP248" s="26"/>
      <c r="ATQ248" s="26"/>
      <c r="ATR248" s="26"/>
      <c r="ATS248" s="26"/>
      <c r="ATT248" s="26"/>
      <c r="ATU248" s="26"/>
      <c r="ATV248" s="26"/>
      <c r="ATW248" s="26"/>
      <c r="ATX248" s="26"/>
      <c r="ATY248" s="26"/>
      <c r="ATZ248" s="26"/>
      <c r="AUA248" s="26"/>
      <c r="AUB248" s="26"/>
      <c r="AUC248" s="26"/>
      <c r="AUD248" s="26"/>
      <c r="AUE248" s="26"/>
      <c r="AUF248" s="26"/>
      <c r="AUG248" s="26"/>
      <c r="AUH248" s="26"/>
      <c r="AUI248" s="26"/>
      <c r="AUJ248" s="26"/>
      <c r="AUK248" s="26"/>
      <c r="AUL248" s="26"/>
      <c r="AUM248" s="26"/>
      <c r="AUN248" s="26"/>
      <c r="AUO248" s="26"/>
      <c r="AUP248" s="26"/>
      <c r="AUQ248" s="26"/>
      <c r="AUR248" s="26"/>
      <c r="AUS248" s="26"/>
      <c r="AUT248" s="26"/>
      <c r="AUU248" s="26"/>
      <c r="AUV248" s="26"/>
      <c r="AUW248" s="26"/>
      <c r="AUX248" s="26"/>
      <c r="AUY248" s="26"/>
      <c r="AUZ248" s="26"/>
      <c r="AVA248" s="26"/>
      <c r="AVB248" s="26"/>
      <c r="AVC248" s="26"/>
      <c r="AVD248" s="26"/>
      <c r="AVE248" s="26"/>
      <c r="AVF248" s="26"/>
      <c r="AVG248" s="26"/>
      <c r="AVH248" s="26"/>
      <c r="AVI248" s="26"/>
      <c r="AVJ248" s="26"/>
      <c r="AVK248" s="26"/>
      <c r="AVL248" s="26"/>
      <c r="AVM248" s="26"/>
      <c r="AVN248" s="26"/>
      <c r="AVO248" s="26"/>
      <c r="AVP248" s="26"/>
      <c r="AVQ248" s="26"/>
      <c r="AVR248" s="26"/>
      <c r="AVS248" s="26"/>
      <c r="AVT248" s="26"/>
      <c r="AVU248" s="26"/>
      <c r="AVV248" s="26"/>
      <c r="AVW248" s="26"/>
      <c r="AVX248" s="26"/>
      <c r="AVY248" s="26"/>
      <c r="AVZ248" s="26"/>
      <c r="AWA248" s="26"/>
      <c r="AWB248" s="26"/>
      <c r="AWC248" s="26"/>
      <c r="AWD248" s="26"/>
      <c r="AWE248" s="26"/>
      <c r="AWF248" s="26"/>
      <c r="AWG248" s="26"/>
      <c r="AWH248" s="26"/>
      <c r="AWI248" s="26"/>
      <c r="AWJ248" s="26"/>
      <c r="AWK248" s="26"/>
      <c r="AWL248" s="26"/>
      <c r="AWM248" s="26"/>
      <c r="AWN248" s="26"/>
      <c r="AWO248" s="26"/>
      <c r="AWP248" s="26"/>
      <c r="AWQ248" s="26"/>
      <c r="AWR248" s="26"/>
      <c r="AWS248" s="26"/>
      <c r="AWT248" s="26"/>
      <c r="AWU248" s="26"/>
      <c r="AWV248" s="26"/>
      <c r="AWW248" s="26"/>
      <c r="AWX248" s="26"/>
      <c r="AWY248" s="26"/>
      <c r="AWZ248" s="26"/>
      <c r="AXA248" s="26"/>
      <c r="AXB248" s="26"/>
      <c r="AXC248" s="26"/>
      <c r="AXD248" s="26"/>
      <c r="AXE248" s="26"/>
      <c r="AXF248" s="26"/>
      <c r="AXG248" s="26"/>
      <c r="AXH248" s="26"/>
      <c r="AXI248" s="26"/>
      <c r="AXJ248" s="26"/>
      <c r="AXK248" s="26"/>
      <c r="AXL248" s="26"/>
      <c r="AXM248" s="26"/>
      <c r="AXN248" s="26"/>
      <c r="AXO248" s="26"/>
      <c r="AXP248" s="26"/>
      <c r="AXQ248" s="26"/>
      <c r="AXR248" s="26"/>
      <c r="AXS248" s="26"/>
      <c r="AXT248" s="26"/>
      <c r="AXU248" s="26"/>
      <c r="AXV248" s="26"/>
      <c r="AXW248" s="26"/>
      <c r="AXX248" s="26"/>
      <c r="AXY248" s="26"/>
      <c r="AXZ248" s="26"/>
      <c r="AYA248" s="26"/>
      <c r="AYB248" s="26"/>
      <c r="AYC248" s="26"/>
      <c r="AYD248" s="26"/>
      <c r="AYE248" s="26"/>
      <c r="AYF248" s="26"/>
      <c r="AYG248" s="26"/>
      <c r="AYH248" s="26"/>
      <c r="AYI248" s="26"/>
      <c r="AYJ248" s="26"/>
      <c r="AYK248" s="26"/>
      <c r="AYL248" s="26"/>
      <c r="AYM248" s="26"/>
      <c r="AYN248" s="26"/>
      <c r="AYO248" s="26"/>
      <c r="AYP248" s="26"/>
      <c r="AYQ248" s="26"/>
      <c r="AYR248" s="26"/>
      <c r="AYS248" s="26"/>
      <c r="AYT248" s="26"/>
      <c r="AYU248" s="26"/>
      <c r="AYV248" s="26"/>
      <c r="AYW248" s="26"/>
      <c r="AYX248" s="26"/>
      <c r="AYY248" s="26"/>
      <c r="AYZ248" s="26"/>
      <c r="AZA248" s="26"/>
      <c r="AZB248" s="26"/>
      <c r="AZC248" s="26"/>
      <c r="AZD248" s="26"/>
      <c r="AZE248" s="26"/>
      <c r="AZF248" s="26"/>
      <c r="AZG248" s="26"/>
      <c r="AZH248" s="26"/>
      <c r="AZI248" s="26"/>
      <c r="AZJ248" s="26"/>
      <c r="AZK248" s="26"/>
      <c r="AZL248" s="26"/>
      <c r="AZM248" s="26"/>
      <c r="AZN248" s="26"/>
      <c r="AZO248" s="26"/>
      <c r="AZP248" s="26"/>
      <c r="AZQ248" s="26"/>
      <c r="AZR248" s="26"/>
      <c r="AZS248" s="26"/>
      <c r="AZT248" s="26"/>
      <c r="AZU248" s="26"/>
      <c r="AZV248" s="26"/>
      <c r="AZW248" s="26"/>
      <c r="AZX248" s="26"/>
      <c r="AZY248" s="26"/>
      <c r="AZZ248" s="26"/>
      <c r="BAA248" s="26"/>
      <c r="BAB248" s="26"/>
      <c r="BAC248" s="26"/>
      <c r="BAD248" s="26"/>
      <c r="BAE248" s="26"/>
      <c r="BAF248" s="26"/>
      <c r="BAG248" s="26"/>
      <c r="BAH248" s="26"/>
      <c r="BAI248" s="26"/>
      <c r="BAJ248" s="26"/>
      <c r="BAK248" s="26"/>
      <c r="BAL248" s="26"/>
      <c r="BAM248" s="26"/>
      <c r="BAN248" s="26"/>
      <c r="BAO248" s="26"/>
      <c r="BAP248" s="26"/>
      <c r="BAQ248" s="26"/>
      <c r="BAR248" s="26"/>
      <c r="BAS248" s="26"/>
      <c r="BAT248" s="26"/>
      <c r="BAU248" s="26"/>
      <c r="BAV248" s="26"/>
      <c r="BAW248" s="26"/>
      <c r="BAX248" s="26"/>
      <c r="BAY248" s="26"/>
      <c r="BAZ248" s="26"/>
      <c r="BBA248" s="26"/>
      <c r="BBB248" s="26"/>
      <c r="BBC248" s="26"/>
      <c r="BBD248" s="26"/>
      <c r="BBE248" s="26"/>
      <c r="BBF248" s="26"/>
      <c r="BBG248" s="26"/>
      <c r="BBH248" s="26"/>
      <c r="BBI248" s="26"/>
      <c r="BBJ248" s="26"/>
      <c r="BBK248" s="26"/>
      <c r="BBL248" s="26"/>
      <c r="BBM248" s="26"/>
      <c r="BBN248" s="26"/>
      <c r="BBO248" s="26"/>
      <c r="BBP248" s="26"/>
      <c r="BBQ248" s="26"/>
      <c r="BBR248" s="26"/>
      <c r="BBS248" s="26"/>
      <c r="BBT248" s="26"/>
      <c r="BBU248" s="26"/>
      <c r="BBV248" s="26"/>
      <c r="BBW248" s="26"/>
      <c r="BBX248" s="26"/>
      <c r="BBY248" s="26"/>
      <c r="BBZ248" s="26"/>
      <c r="BCA248" s="26"/>
      <c r="BCB248" s="26"/>
      <c r="BCC248" s="26"/>
      <c r="BCD248" s="26"/>
      <c r="BCE248" s="26"/>
      <c r="BCF248" s="26"/>
      <c r="BCG248" s="26"/>
      <c r="BCH248" s="26"/>
      <c r="BCI248" s="26"/>
      <c r="BCJ248" s="26"/>
      <c r="BCK248" s="26"/>
      <c r="BCL248" s="26"/>
      <c r="BCM248" s="26"/>
      <c r="BCN248" s="26"/>
      <c r="BCO248" s="26"/>
      <c r="BCP248" s="26"/>
      <c r="BCQ248" s="26"/>
      <c r="BCR248" s="26"/>
      <c r="BCS248" s="26"/>
      <c r="BCT248" s="26"/>
      <c r="BCU248" s="26"/>
      <c r="BCV248" s="26"/>
      <c r="BCW248" s="26"/>
      <c r="BCX248" s="26"/>
      <c r="BCY248" s="26"/>
      <c r="BCZ248" s="26"/>
      <c r="BDA248" s="26"/>
      <c r="BDB248" s="26"/>
      <c r="BDC248" s="26"/>
      <c r="BDD248" s="26"/>
      <c r="BDE248" s="26"/>
      <c r="BDF248" s="26"/>
      <c r="BDG248" s="26"/>
      <c r="BDH248" s="26"/>
      <c r="BDI248" s="26"/>
      <c r="BDJ248" s="26"/>
      <c r="BDK248" s="26"/>
      <c r="BDL248" s="26"/>
      <c r="BDM248" s="26"/>
      <c r="BDN248" s="26"/>
      <c r="BDO248" s="26"/>
      <c r="BDP248" s="26"/>
      <c r="BDQ248" s="26"/>
      <c r="BDR248" s="26"/>
      <c r="BDS248" s="26"/>
      <c r="BDT248" s="26"/>
      <c r="BDU248" s="26"/>
      <c r="BDV248" s="26"/>
      <c r="BDW248" s="26"/>
      <c r="BDX248" s="26"/>
      <c r="BDY248" s="26"/>
      <c r="BDZ248" s="26"/>
      <c r="BEA248" s="26"/>
      <c r="BEB248" s="26"/>
      <c r="BEC248" s="26"/>
      <c r="BED248" s="26"/>
      <c r="BEE248" s="26"/>
      <c r="BEF248" s="26"/>
      <c r="BEG248" s="26"/>
      <c r="BEH248" s="26"/>
      <c r="BEI248" s="26"/>
      <c r="BEJ248" s="26"/>
      <c r="BEK248" s="26"/>
      <c r="BEL248" s="26"/>
      <c r="BEM248" s="26"/>
      <c r="BEN248" s="26"/>
      <c r="BEO248" s="26"/>
      <c r="BEP248" s="26"/>
      <c r="BEQ248" s="26"/>
      <c r="BER248" s="26"/>
      <c r="BES248" s="26"/>
      <c r="BET248" s="26"/>
      <c r="BEU248" s="26"/>
      <c r="BEV248" s="26"/>
      <c r="BEW248" s="26"/>
      <c r="BEX248" s="26"/>
      <c r="BEY248" s="26"/>
      <c r="BEZ248" s="26"/>
      <c r="BFA248" s="26"/>
      <c r="BFB248" s="26"/>
      <c r="BFC248" s="26"/>
      <c r="BFD248" s="26"/>
      <c r="BFE248" s="26"/>
      <c r="BFF248" s="26"/>
      <c r="BFG248" s="26"/>
      <c r="BFH248" s="26"/>
      <c r="BFI248" s="26"/>
      <c r="BFJ248" s="26"/>
      <c r="BFK248" s="26"/>
      <c r="BFL248" s="26"/>
      <c r="BFM248" s="26"/>
      <c r="BFN248" s="26"/>
      <c r="BFO248" s="26"/>
      <c r="BFP248" s="26"/>
      <c r="BFQ248" s="26"/>
      <c r="BFR248" s="26"/>
      <c r="BFS248" s="26"/>
      <c r="BFT248" s="26"/>
      <c r="BFU248" s="26"/>
      <c r="BFV248" s="26"/>
      <c r="BFW248" s="26"/>
      <c r="BFX248" s="26"/>
      <c r="BFY248" s="26"/>
      <c r="BFZ248" s="26"/>
      <c r="BGA248" s="26"/>
      <c r="BGB248" s="26"/>
      <c r="BGC248" s="26"/>
      <c r="BGD248" s="26"/>
      <c r="BGE248" s="26"/>
      <c r="BGF248" s="26"/>
      <c r="BGG248" s="26"/>
      <c r="BGH248" s="26"/>
      <c r="BGI248" s="26"/>
      <c r="BGJ248" s="26"/>
      <c r="BGK248" s="26"/>
      <c r="BGL248" s="26"/>
      <c r="BGM248" s="26"/>
      <c r="BGN248" s="26"/>
      <c r="BGO248" s="26"/>
      <c r="BGP248" s="26"/>
      <c r="BGQ248" s="26"/>
      <c r="BGR248" s="26"/>
      <c r="BGS248" s="26"/>
      <c r="BGT248" s="26"/>
      <c r="BGU248" s="26"/>
      <c r="BGV248" s="26"/>
      <c r="BGW248" s="26"/>
      <c r="BGX248" s="26"/>
      <c r="BGY248" s="26"/>
      <c r="BGZ248" s="26"/>
      <c r="BHA248" s="26"/>
      <c r="BHB248" s="26"/>
      <c r="BHC248" s="26"/>
      <c r="BHD248" s="26"/>
      <c r="BHE248" s="26"/>
      <c r="BHF248" s="26"/>
      <c r="BHG248" s="26"/>
      <c r="BHH248" s="26"/>
      <c r="BHI248" s="26"/>
      <c r="BHJ248" s="26"/>
      <c r="BHK248" s="26"/>
      <c r="BHL248" s="26"/>
      <c r="BHM248" s="26"/>
      <c r="BHN248" s="26"/>
      <c r="BHO248" s="26"/>
      <c r="BHP248" s="26"/>
      <c r="BHQ248" s="26"/>
      <c r="BHR248" s="26"/>
      <c r="BHS248" s="26"/>
      <c r="BHT248" s="26"/>
      <c r="BHU248" s="26"/>
      <c r="BHV248" s="26"/>
      <c r="BHW248" s="26"/>
      <c r="BHX248" s="26"/>
      <c r="BHY248" s="26"/>
      <c r="BHZ248" s="26"/>
      <c r="BIA248" s="26"/>
      <c r="BIB248" s="26"/>
      <c r="BIC248" s="26"/>
      <c r="BID248" s="26"/>
      <c r="BIE248" s="26"/>
      <c r="BIF248" s="26"/>
      <c r="BIG248" s="26"/>
      <c r="BIH248" s="26"/>
      <c r="BII248" s="26"/>
      <c r="BIJ248" s="26"/>
      <c r="BIK248" s="26"/>
      <c r="BIL248" s="26"/>
      <c r="BIM248" s="26"/>
      <c r="BIN248" s="26"/>
      <c r="BIO248" s="26"/>
      <c r="BIP248" s="26"/>
      <c r="BIQ248" s="26"/>
      <c r="BIR248" s="26"/>
      <c r="BIS248" s="26"/>
      <c r="BIT248" s="26"/>
      <c r="BIU248" s="26"/>
      <c r="BIV248" s="26"/>
      <c r="BIW248" s="26"/>
      <c r="BIX248" s="26"/>
      <c r="BIY248" s="26"/>
      <c r="BIZ248" s="26"/>
      <c r="BJA248" s="26"/>
      <c r="BJB248" s="26"/>
      <c r="BJC248" s="26"/>
      <c r="BJD248" s="26"/>
      <c r="BJE248" s="26"/>
      <c r="BJF248" s="26"/>
      <c r="BJG248" s="26"/>
      <c r="BJH248" s="26"/>
      <c r="BJI248" s="26"/>
      <c r="BJJ248" s="26"/>
      <c r="BJK248" s="26"/>
      <c r="BJL248" s="26"/>
      <c r="BJM248" s="26"/>
      <c r="BJN248" s="26"/>
      <c r="BJO248" s="26"/>
      <c r="BJP248" s="26"/>
      <c r="BJQ248" s="26"/>
      <c r="BJR248" s="26"/>
      <c r="BJS248" s="26"/>
      <c r="BJT248" s="26"/>
      <c r="BJU248" s="26"/>
      <c r="BJV248" s="26"/>
      <c r="BJW248" s="26"/>
      <c r="BJX248" s="26"/>
      <c r="BJY248" s="26"/>
      <c r="BJZ248" s="26"/>
      <c r="BKA248" s="26"/>
      <c r="BKB248" s="26"/>
      <c r="BKC248" s="26"/>
      <c r="BKD248" s="26"/>
      <c r="BKE248" s="26"/>
      <c r="BKF248" s="26"/>
      <c r="BKG248" s="26"/>
      <c r="BKH248" s="26"/>
      <c r="BKI248" s="26"/>
      <c r="BKJ248" s="26"/>
      <c r="BKK248" s="26"/>
      <c r="BKL248" s="26"/>
      <c r="BKM248" s="26"/>
      <c r="BKN248" s="26"/>
      <c r="BKO248" s="26"/>
      <c r="BKP248" s="26"/>
      <c r="BKQ248" s="26"/>
      <c r="BKR248" s="26"/>
      <c r="BKS248" s="26"/>
      <c r="BKT248" s="26"/>
      <c r="BKU248" s="26"/>
      <c r="BKV248" s="26"/>
      <c r="BKW248" s="26"/>
      <c r="BKX248" s="26"/>
      <c r="BKY248" s="26"/>
      <c r="BKZ248" s="26"/>
      <c r="BLA248" s="26"/>
      <c r="BLB248" s="26"/>
      <c r="BLC248" s="26"/>
      <c r="BLD248" s="26"/>
      <c r="BLE248" s="26"/>
      <c r="BLF248" s="26"/>
      <c r="BLG248" s="26"/>
      <c r="BLH248" s="26"/>
      <c r="BLI248" s="26"/>
      <c r="BLJ248" s="26"/>
      <c r="BLK248" s="26"/>
      <c r="BLL248" s="26"/>
      <c r="BLM248" s="26"/>
      <c r="BLN248" s="26"/>
      <c r="BLO248" s="26"/>
      <c r="BLP248" s="26"/>
      <c r="BLQ248" s="26"/>
      <c r="BLR248" s="26"/>
      <c r="BLS248" s="26"/>
      <c r="BLT248" s="26"/>
      <c r="BLU248" s="26"/>
      <c r="BLV248" s="26"/>
      <c r="BLW248" s="26"/>
      <c r="BLX248" s="26"/>
      <c r="BLY248" s="26"/>
      <c r="BLZ248" s="26"/>
      <c r="BMA248" s="26"/>
      <c r="BMB248" s="26"/>
      <c r="BMC248" s="26"/>
      <c r="BMD248" s="26"/>
      <c r="BME248" s="26"/>
      <c r="BMF248" s="26"/>
      <c r="BMG248" s="26"/>
      <c r="BMH248" s="26"/>
      <c r="BMI248" s="26"/>
      <c r="BMJ248" s="26"/>
      <c r="BMK248" s="26"/>
      <c r="BML248" s="26"/>
      <c r="BMM248" s="26"/>
      <c r="BMN248" s="26"/>
      <c r="BMO248" s="26"/>
      <c r="BMP248" s="26"/>
      <c r="BMQ248" s="26"/>
      <c r="BMR248" s="26"/>
      <c r="BMS248" s="26"/>
      <c r="BMT248" s="26"/>
      <c r="BMU248" s="26"/>
      <c r="BMV248" s="26"/>
      <c r="BMW248" s="26"/>
      <c r="BMX248" s="26"/>
      <c r="BMY248" s="26"/>
      <c r="BMZ248" s="26"/>
      <c r="BNA248" s="26"/>
      <c r="BNB248" s="26"/>
      <c r="BNC248" s="26"/>
      <c r="BND248" s="26"/>
      <c r="BNE248" s="26"/>
      <c r="BNF248" s="26"/>
      <c r="BNG248" s="26"/>
      <c r="BNH248" s="26"/>
      <c r="BNI248" s="26"/>
      <c r="BNJ248" s="26"/>
      <c r="BNK248" s="26"/>
      <c r="BNL248" s="26"/>
      <c r="BNM248" s="26"/>
      <c r="BNN248" s="26"/>
      <c r="BNO248" s="26"/>
      <c r="BNP248" s="26"/>
      <c r="BNQ248" s="26"/>
      <c r="BNR248" s="26"/>
      <c r="BNS248" s="26"/>
      <c r="BNT248" s="26"/>
      <c r="BNU248" s="26"/>
      <c r="BNV248" s="26"/>
      <c r="BNW248" s="26"/>
      <c r="BNX248" s="26"/>
      <c r="BNY248" s="26"/>
      <c r="BNZ248" s="26"/>
      <c r="BOA248" s="26"/>
      <c r="BOB248" s="26"/>
      <c r="BOC248" s="26"/>
      <c r="BOD248" s="26"/>
      <c r="BOE248" s="26"/>
      <c r="BOF248" s="26"/>
      <c r="BOG248" s="26"/>
      <c r="BOH248" s="26"/>
      <c r="BOI248" s="26"/>
      <c r="BOJ248" s="26"/>
      <c r="BOK248" s="26"/>
      <c r="BOL248" s="26"/>
      <c r="BOM248" s="26"/>
      <c r="BON248" s="26"/>
      <c r="BOO248" s="26"/>
      <c r="BOP248" s="26"/>
      <c r="BOQ248" s="26"/>
      <c r="BOR248" s="26"/>
      <c r="BOS248" s="26"/>
      <c r="BOT248" s="26"/>
      <c r="BOU248" s="26"/>
      <c r="BOV248" s="26"/>
      <c r="BOW248" s="26"/>
      <c r="BOX248" s="26"/>
      <c r="BOY248" s="26"/>
      <c r="BOZ248" s="26"/>
      <c r="BPA248" s="26"/>
      <c r="BPB248" s="26"/>
      <c r="BPC248" s="26"/>
      <c r="BPD248" s="26"/>
      <c r="BPE248" s="26"/>
      <c r="BPF248" s="26"/>
      <c r="BPG248" s="26"/>
      <c r="BPH248" s="26"/>
      <c r="BPI248" s="26"/>
      <c r="BPJ248" s="26"/>
      <c r="BPK248" s="26"/>
      <c r="BPL248" s="26"/>
      <c r="BPM248" s="26"/>
      <c r="BPN248" s="26"/>
      <c r="BPO248" s="26"/>
      <c r="BPP248" s="26"/>
      <c r="BPQ248" s="26"/>
      <c r="BPR248" s="26"/>
      <c r="BPS248" s="26"/>
      <c r="BPT248" s="26"/>
      <c r="BPU248" s="26"/>
      <c r="BPV248" s="26"/>
      <c r="BPW248" s="26"/>
      <c r="BPX248" s="26"/>
      <c r="BPY248" s="26"/>
      <c r="BPZ248" s="26"/>
      <c r="BQA248" s="26"/>
      <c r="BQB248" s="26"/>
      <c r="BQC248" s="26"/>
      <c r="BQD248" s="26"/>
      <c r="BQE248" s="26"/>
      <c r="BQF248" s="26"/>
      <c r="BQG248" s="26"/>
      <c r="BQH248" s="26"/>
      <c r="BQI248" s="26"/>
      <c r="BQJ248" s="26"/>
      <c r="BQK248" s="26"/>
      <c r="BQL248" s="26"/>
      <c r="BQM248" s="26"/>
      <c r="BQN248" s="26"/>
      <c r="BQO248" s="26"/>
      <c r="BQP248" s="26"/>
      <c r="BQQ248" s="26"/>
      <c r="BQR248" s="26"/>
      <c r="BQS248" s="26"/>
      <c r="BQT248" s="26"/>
      <c r="BQU248" s="26"/>
      <c r="BQV248" s="26"/>
      <c r="BQW248" s="26"/>
      <c r="BQX248" s="26"/>
      <c r="BQY248" s="26"/>
      <c r="BQZ248" s="26"/>
      <c r="BRA248" s="26"/>
      <c r="BRB248" s="26"/>
      <c r="BRC248" s="26"/>
      <c r="BRD248" s="26"/>
      <c r="BRE248" s="26"/>
      <c r="BRF248" s="26"/>
      <c r="BRG248" s="26"/>
      <c r="BRH248" s="26"/>
      <c r="BRI248" s="26"/>
      <c r="BRJ248" s="26"/>
      <c r="BRK248" s="26"/>
      <c r="BRL248" s="26"/>
      <c r="BRM248" s="26"/>
      <c r="BRN248" s="26"/>
      <c r="BRO248" s="26"/>
      <c r="BRP248" s="26"/>
      <c r="BRQ248" s="26"/>
      <c r="BRR248" s="26"/>
      <c r="BRS248" s="26"/>
      <c r="BRT248" s="26"/>
      <c r="BRU248" s="26"/>
      <c r="BRV248" s="26"/>
      <c r="BRW248" s="26"/>
      <c r="BRX248" s="26"/>
      <c r="BRY248" s="26"/>
      <c r="BRZ248" s="26"/>
      <c r="BSA248" s="26"/>
      <c r="BSB248" s="26"/>
      <c r="BSC248" s="26"/>
      <c r="BSD248" s="26"/>
      <c r="BSE248" s="26"/>
      <c r="BSF248" s="26"/>
      <c r="BSG248" s="26"/>
      <c r="BSH248" s="26"/>
      <c r="BSI248" s="26"/>
      <c r="BSJ248" s="26"/>
      <c r="BSK248" s="26"/>
      <c r="BSL248" s="26"/>
      <c r="BSM248" s="26"/>
      <c r="BSN248" s="26"/>
      <c r="BSO248" s="26"/>
      <c r="BSP248" s="26"/>
      <c r="BSQ248" s="26"/>
      <c r="BSR248" s="26"/>
      <c r="BSS248" s="26"/>
      <c r="BST248" s="26"/>
      <c r="BSU248" s="26"/>
      <c r="BSV248" s="26"/>
      <c r="BSW248" s="26"/>
      <c r="BSX248" s="26"/>
      <c r="BSY248" s="26"/>
      <c r="BSZ248" s="26"/>
      <c r="BTA248" s="26"/>
      <c r="BTB248" s="26"/>
      <c r="BTC248" s="26"/>
      <c r="BTD248" s="26"/>
      <c r="BTE248" s="26"/>
      <c r="BTF248" s="26"/>
      <c r="BTG248" s="26"/>
      <c r="BTH248" s="26"/>
      <c r="BTI248" s="26"/>
      <c r="BTJ248" s="26"/>
      <c r="BTK248" s="26"/>
      <c r="BTL248" s="26"/>
      <c r="BTM248" s="26"/>
      <c r="BTN248" s="26"/>
      <c r="BTO248" s="26"/>
      <c r="BTP248" s="26"/>
      <c r="BTQ248" s="26"/>
      <c r="BTR248" s="26"/>
      <c r="BTS248" s="26"/>
      <c r="BTT248" s="26"/>
      <c r="BTU248" s="26"/>
      <c r="BTV248" s="26"/>
      <c r="BTW248" s="26"/>
      <c r="BTX248" s="26"/>
      <c r="BTY248" s="26"/>
      <c r="BTZ248" s="26"/>
      <c r="BUA248" s="26"/>
      <c r="BUB248" s="26"/>
      <c r="BUC248" s="26"/>
      <c r="BUD248" s="26"/>
      <c r="BUE248" s="26"/>
      <c r="BUF248" s="26"/>
      <c r="BUG248" s="26"/>
      <c r="BUH248" s="26"/>
      <c r="BUI248" s="26"/>
      <c r="BUJ248" s="26"/>
      <c r="BUK248" s="26"/>
      <c r="BUL248" s="26"/>
      <c r="BUM248" s="26"/>
      <c r="BUN248" s="26"/>
      <c r="BUO248" s="26"/>
      <c r="BUP248" s="26"/>
      <c r="BUQ248" s="26"/>
      <c r="BUR248" s="26"/>
      <c r="BUS248" s="26"/>
      <c r="BUT248" s="26"/>
      <c r="BUU248" s="26"/>
      <c r="BUV248" s="26"/>
      <c r="BUW248" s="26"/>
      <c r="BUX248" s="26"/>
      <c r="BUY248" s="26"/>
      <c r="BUZ248" s="26"/>
      <c r="BVA248" s="26"/>
      <c r="BVB248" s="26"/>
      <c r="BVC248" s="26"/>
      <c r="BVD248" s="26"/>
      <c r="BVE248" s="26"/>
      <c r="BVF248" s="26"/>
      <c r="BVG248" s="26"/>
      <c r="BVH248" s="26"/>
      <c r="BVI248" s="26"/>
      <c r="BVJ248" s="26"/>
      <c r="BVK248" s="26"/>
      <c r="BVL248" s="26"/>
      <c r="BVM248" s="26"/>
      <c r="BVN248" s="26"/>
      <c r="BVO248" s="26"/>
      <c r="BVP248" s="26"/>
      <c r="BVQ248" s="26"/>
      <c r="BVR248" s="26"/>
      <c r="BVS248" s="26"/>
      <c r="BVT248" s="26"/>
      <c r="BVU248" s="26"/>
      <c r="BVV248" s="26"/>
      <c r="BVW248" s="26"/>
      <c r="BVX248" s="26"/>
      <c r="BVY248" s="26"/>
      <c r="BVZ248" s="26"/>
      <c r="BWA248" s="26"/>
      <c r="BWB248" s="26"/>
      <c r="BWC248" s="26"/>
      <c r="BWD248" s="26"/>
      <c r="BWE248" s="26"/>
      <c r="BWF248" s="26"/>
      <c r="BWG248" s="26"/>
      <c r="BWH248" s="26"/>
      <c r="BWI248" s="26"/>
      <c r="BWJ248" s="26"/>
      <c r="BWK248" s="26"/>
      <c r="BWL248" s="26"/>
      <c r="BWM248" s="26"/>
      <c r="BWN248" s="26"/>
      <c r="BWO248" s="26"/>
      <c r="BWP248" s="26"/>
      <c r="BWQ248" s="26"/>
      <c r="BWR248" s="26"/>
      <c r="BWS248" s="26"/>
      <c r="BWT248" s="26"/>
      <c r="BWU248" s="26"/>
      <c r="BWV248" s="26"/>
      <c r="BWW248" s="26"/>
      <c r="BWX248" s="26"/>
      <c r="BWY248" s="26"/>
      <c r="BWZ248" s="26"/>
      <c r="BXA248" s="26"/>
      <c r="BXB248" s="26"/>
      <c r="BXC248" s="26"/>
      <c r="BXD248" s="26"/>
      <c r="BXE248" s="26"/>
      <c r="BXF248" s="26"/>
      <c r="BXG248" s="26"/>
      <c r="BXH248" s="26"/>
      <c r="BXI248" s="26"/>
      <c r="BXJ248" s="26"/>
      <c r="BXK248" s="26"/>
      <c r="BXL248" s="26"/>
      <c r="BXM248" s="26"/>
      <c r="BXN248" s="26"/>
      <c r="BXO248" s="26"/>
      <c r="BXP248" s="26"/>
      <c r="BXQ248" s="26"/>
      <c r="BXR248" s="26"/>
      <c r="BXS248" s="26"/>
      <c r="BXT248" s="26"/>
      <c r="BXU248" s="26"/>
      <c r="BXV248" s="26"/>
      <c r="BXW248" s="26"/>
      <c r="BXX248" s="26"/>
      <c r="BXY248" s="26"/>
      <c r="BXZ248" s="26"/>
      <c r="BYA248" s="26"/>
      <c r="BYB248" s="26"/>
      <c r="BYC248" s="26"/>
      <c r="BYD248" s="26"/>
      <c r="BYE248" s="26"/>
      <c r="BYF248" s="26"/>
      <c r="BYG248" s="26"/>
      <c r="BYH248" s="26"/>
      <c r="BYI248" s="26"/>
      <c r="BYJ248" s="26"/>
      <c r="BYK248" s="26"/>
      <c r="BYL248" s="26"/>
      <c r="BYM248" s="26"/>
      <c r="BYN248" s="26"/>
      <c r="BYO248" s="26"/>
      <c r="BYP248" s="26"/>
      <c r="BYQ248" s="26"/>
      <c r="BYR248" s="26"/>
      <c r="BYS248" s="26"/>
      <c r="BYT248" s="26"/>
      <c r="BYU248" s="26"/>
      <c r="BYV248" s="26"/>
      <c r="BYW248" s="26"/>
      <c r="BYX248" s="26"/>
      <c r="BYY248" s="26"/>
      <c r="BYZ248" s="26"/>
      <c r="BZA248" s="26"/>
      <c r="BZB248" s="26"/>
      <c r="BZC248" s="26"/>
      <c r="BZD248" s="26"/>
      <c r="BZE248" s="26"/>
      <c r="BZF248" s="26"/>
      <c r="BZG248" s="26"/>
      <c r="BZH248" s="26"/>
      <c r="BZI248" s="26"/>
      <c r="BZJ248" s="26"/>
      <c r="BZK248" s="26"/>
      <c r="BZL248" s="26"/>
      <c r="BZM248" s="26"/>
      <c r="BZN248" s="26"/>
      <c r="BZO248" s="26"/>
      <c r="BZP248" s="26"/>
      <c r="BZQ248" s="26"/>
      <c r="BZR248" s="26"/>
      <c r="BZS248" s="26"/>
      <c r="BZT248" s="26"/>
      <c r="BZU248" s="26"/>
      <c r="BZV248" s="26"/>
      <c r="BZW248" s="26"/>
      <c r="BZX248" s="26"/>
      <c r="BZY248" s="26"/>
      <c r="BZZ248" s="26"/>
      <c r="CAA248" s="26"/>
      <c r="CAB248" s="26"/>
      <c r="CAC248" s="26"/>
      <c r="CAD248" s="26"/>
      <c r="CAE248" s="26"/>
      <c r="CAF248" s="26"/>
      <c r="CAG248" s="26"/>
      <c r="CAH248" s="26"/>
      <c r="CAI248" s="26"/>
      <c r="CAJ248" s="26"/>
      <c r="CAK248" s="26"/>
      <c r="CAL248" s="26"/>
      <c r="CAM248" s="26"/>
      <c r="CAN248" s="26"/>
      <c r="CAO248" s="26"/>
      <c r="CAP248" s="26"/>
      <c r="CAQ248" s="26"/>
      <c r="CAR248" s="26"/>
      <c r="CAS248" s="26"/>
      <c r="CAT248" s="26"/>
      <c r="CAU248" s="26"/>
      <c r="CAV248" s="26"/>
      <c r="CAW248" s="26"/>
      <c r="CAX248" s="26"/>
      <c r="CAY248" s="26"/>
      <c r="CAZ248" s="26"/>
      <c r="CBA248" s="26"/>
      <c r="CBB248" s="26"/>
      <c r="CBC248" s="26"/>
      <c r="CBD248" s="26"/>
      <c r="CBE248" s="26"/>
      <c r="CBF248" s="26"/>
      <c r="CBG248" s="26"/>
      <c r="CBH248" s="26"/>
      <c r="CBI248" s="26"/>
    </row>
    <row r="249" spans="1:2089" ht="14" customHeight="1">
      <c r="A249" s="27">
        <v>248</v>
      </c>
      <c r="B249" s="27" t="s">
        <v>397</v>
      </c>
      <c r="C249" s="26">
        <v>2011</v>
      </c>
      <c r="D249" s="26" t="s">
        <v>122</v>
      </c>
      <c r="E249" s="26" t="s">
        <v>566</v>
      </c>
      <c r="F249" s="77" t="s">
        <v>175</v>
      </c>
      <c r="G249" s="2" t="s">
        <v>106</v>
      </c>
      <c r="H249" s="2" t="s">
        <v>24</v>
      </c>
      <c r="I249" s="2" t="s">
        <v>175</v>
      </c>
      <c r="J249" s="2" t="s">
        <v>604</v>
      </c>
      <c r="K249" s="2" t="s">
        <v>175</v>
      </c>
      <c r="L249" s="2" t="s">
        <v>175</v>
      </c>
      <c r="M249" s="2" t="s">
        <v>175</v>
      </c>
      <c r="N249" s="2" t="s">
        <v>62</v>
      </c>
      <c r="O249" s="2" t="s">
        <v>43</v>
      </c>
      <c r="P249" s="2" t="s">
        <v>62</v>
      </c>
      <c r="Q249" s="26" t="s">
        <v>607</v>
      </c>
      <c r="R249" s="102" t="s">
        <v>614</v>
      </c>
      <c r="S249" s="2">
        <f>2/T249</f>
        <v>7.1428571428571425E-2</v>
      </c>
      <c r="T249" s="26">
        <v>28</v>
      </c>
      <c r="U249" s="77">
        <v>1</v>
      </c>
      <c r="V249" s="26">
        <v>1</v>
      </c>
      <c r="W249" s="26">
        <v>1</v>
      </c>
      <c r="X249" s="26">
        <v>1</v>
      </c>
      <c r="Y249" s="26">
        <v>1</v>
      </c>
      <c r="Z249" s="26">
        <v>0</v>
      </c>
      <c r="AA249" s="26">
        <v>0</v>
      </c>
      <c r="AB249" s="26">
        <v>0</v>
      </c>
      <c r="AC249" s="26">
        <f>1-2/28</f>
        <v>0.9285714285714286</v>
      </c>
      <c r="AD249" s="26">
        <f>1/28</f>
        <v>3.5714285714285712E-2</v>
      </c>
      <c r="AE249" s="26">
        <f>1/28</f>
        <v>3.5714285714285712E-2</v>
      </c>
      <c r="AF249" s="26">
        <v>0</v>
      </c>
      <c r="AG249" s="33">
        <f>(40+4)/28</f>
        <v>1.5714285714285714</v>
      </c>
      <c r="AH249" s="33">
        <f>10^(LOG(4)+LOG(40)+LOG(0.5)*26)</f>
        <v>2.3841857910156229E-6</v>
      </c>
      <c r="AI249" s="33">
        <v>0</v>
      </c>
      <c r="AJ249" s="26" t="s">
        <v>271</v>
      </c>
      <c r="AK249" s="33" t="s">
        <v>70</v>
      </c>
      <c r="AL249" s="33" t="s">
        <v>70</v>
      </c>
      <c r="AM249" s="35" t="s">
        <v>548</v>
      </c>
      <c r="AN249" s="26" t="s">
        <v>274</v>
      </c>
      <c r="AO249" s="35" t="s">
        <v>548</v>
      </c>
      <c r="AP249" s="35" t="s">
        <v>548</v>
      </c>
      <c r="AQ249" s="35" t="s">
        <v>548</v>
      </c>
      <c r="AR249" s="35" t="s">
        <v>548</v>
      </c>
      <c r="AS249" s="26" t="s">
        <v>175</v>
      </c>
      <c r="AT249" s="26" t="s">
        <v>70</v>
      </c>
      <c r="AU249" s="26" t="s">
        <v>70</v>
      </c>
      <c r="AV249" s="26">
        <v>10</v>
      </c>
    </row>
    <row r="250" spans="1:2089" ht="14" customHeight="1">
      <c r="A250" s="27">
        <v>249</v>
      </c>
      <c r="B250" s="27" t="s">
        <v>397</v>
      </c>
      <c r="C250" s="26">
        <v>2011</v>
      </c>
      <c r="D250" s="26" t="s">
        <v>122</v>
      </c>
      <c r="E250" s="26" t="s">
        <v>566</v>
      </c>
      <c r="F250" s="77" t="s">
        <v>175</v>
      </c>
      <c r="G250" s="2" t="s">
        <v>106</v>
      </c>
      <c r="H250" s="2" t="s">
        <v>24</v>
      </c>
      <c r="I250" s="2" t="s">
        <v>175</v>
      </c>
      <c r="J250" s="2" t="s">
        <v>604</v>
      </c>
      <c r="K250" s="2" t="s">
        <v>175</v>
      </c>
      <c r="L250" s="2" t="s">
        <v>175</v>
      </c>
      <c r="M250" s="2" t="s">
        <v>175</v>
      </c>
      <c r="N250" s="2" t="s">
        <v>62</v>
      </c>
      <c r="O250" s="2" t="s">
        <v>43</v>
      </c>
      <c r="P250" s="2" t="s">
        <v>621</v>
      </c>
      <c r="Q250" s="26" t="s">
        <v>607</v>
      </c>
      <c r="R250" s="102" t="s">
        <v>614</v>
      </c>
      <c r="S250" s="2">
        <f>1-AC250</f>
        <v>0.7142857142857143</v>
      </c>
      <c r="T250" s="26">
        <v>28</v>
      </c>
      <c r="U250" s="77">
        <v>1</v>
      </c>
      <c r="V250" s="26">
        <v>1</v>
      </c>
      <c r="W250" s="26">
        <v>1</v>
      </c>
      <c r="X250" s="26">
        <v>1</v>
      </c>
      <c r="Y250" s="26">
        <v>1</v>
      </c>
      <c r="Z250" s="26">
        <v>0</v>
      </c>
      <c r="AA250" s="26">
        <v>0</v>
      </c>
      <c r="AB250" s="26">
        <v>0</v>
      </c>
      <c r="AC250" s="26">
        <v>0.2857142857142857</v>
      </c>
      <c r="AD250" s="26">
        <v>0.32142857142857145</v>
      </c>
      <c r="AE250" s="26">
        <v>0.2857142857142857</v>
      </c>
      <c r="AF250" s="26">
        <v>0.10714285714285714</v>
      </c>
      <c r="AG250" s="33">
        <v>128.78</v>
      </c>
      <c r="AH250" s="33">
        <v>6.76</v>
      </c>
      <c r="AI250" s="33">
        <v>7.5</v>
      </c>
      <c r="AJ250" s="26" t="s">
        <v>272</v>
      </c>
      <c r="AK250" s="33" t="s">
        <v>70</v>
      </c>
      <c r="AL250" s="33" t="s">
        <v>70</v>
      </c>
      <c r="AM250" s="35" t="s">
        <v>548</v>
      </c>
      <c r="AN250" s="26" t="s">
        <v>274</v>
      </c>
      <c r="AO250" s="35" t="s">
        <v>548</v>
      </c>
      <c r="AP250" s="35" t="s">
        <v>548</v>
      </c>
      <c r="AQ250" s="35" t="s">
        <v>548</v>
      </c>
      <c r="AR250" s="35" t="s">
        <v>548</v>
      </c>
      <c r="AS250" s="26" t="s">
        <v>175</v>
      </c>
      <c r="AT250" s="26" t="s">
        <v>70</v>
      </c>
      <c r="AU250" s="26" t="s">
        <v>70</v>
      </c>
      <c r="AV250" s="26">
        <v>10</v>
      </c>
    </row>
    <row r="251" spans="1:2089" ht="14" customHeight="1">
      <c r="A251" s="27">
        <v>250</v>
      </c>
      <c r="B251" s="27" t="s">
        <v>398</v>
      </c>
      <c r="C251" s="27">
        <v>2006</v>
      </c>
      <c r="D251" s="26" t="s">
        <v>18</v>
      </c>
      <c r="E251" s="26" t="s">
        <v>566</v>
      </c>
      <c r="F251" s="77" t="s">
        <v>175</v>
      </c>
      <c r="G251" s="2" t="s">
        <v>84</v>
      </c>
      <c r="H251" s="2" t="s">
        <v>30</v>
      </c>
      <c r="I251" s="2" t="s">
        <v>548</v>
      </c>
      <c r="J251" s="2" t="s">
        <v>604</v>
      </c>
      <c r="K251" s="2" t="s">
        <v>548</v>
      </c>
      <c r="L251" s="2" t="s">
        <v>548</v>
      </c>
      <c r="M251" s="2" t="s">
        <v>548</v>
      </c>
      <c r="N251" s="2" t="s">
        <v>48</v>
      </c>
      <c r="O251" s="2" t="s">
        <v>209</v>
      </c>
      <c r="P251" s="2" t="s">
        <v>48</v>
      </c>
      <c r="Q251" s="2" t="s">
        <v>42</v>
      </c>
      <c r="R251" s="102" t="s">
        <v>614</v>
      </c>
      <c r="S251" s="90">
        <f>1/T251</f>
        <v>4.3478260869565216E-2</v>
      </c>
      <c r="T251" s="26">
        <v>23</v>
      </c>
      <c r="U251" s="77">
        <v>1</v>
      </c>
      <c r="V251" s="26">
        <v>0</v>
      </c>
      <c r="W251" s="26">
        <v>1</v>
      </c>
      <c r="X251" s="26">
        <v>0</v>
      </c>
      <c r="Y251" s="26">
        <v>0</v>
      </c>
      <c r="Z251" s="26">
        <v>0</v>
      </c>
      <c r="AA251" s="26">
        <v>0</v>
      </c>
      <c r="AB251" s="26">
        <v>0</v>
      </c>
      <c r="AC251" s="34" t="s">
        <v>70</v>
      </c>
      <c r="AD251" s="26" t="s">
        <v>70</v>
      </c>
      <c r="AE251" s="26" t="s">
        <v>70</v>
      </c>
      <c r="AF251" s="34" t="s">
        <v>70</v>
      </c>
      <c r="AG251" s="26" t="s">
        <v>70</v>
      </c>
      <c r="AH251" s="26" t="s">
        <v>70</v>
      </c>
      <c r="AI251" s="26" t="s">
        <v>70</v>
      </c>
      <c r="AJ251" s="26" t="s">
        <v>70</v>
      </c>
      <c r="AK251" s="26" t="s">
        <v>70</v>
      </c>
      <c r="AL251" s="26" t="s">
        <v>70</v>
      </c>
      <c r="AM251" s="35" t="s">
        <v>548</v>
      </c>
      <c r="AN251" s="26" t="s">
        <v>274</v>
      </c>
      <c r="AO251" s="35" t="s">
        <v>548</v>
      </c>
      <c r="AP251" s="35" t="s">
        <v>548</v>
      </c>
      <c r="AQ251" s="35" t="s">
        <v>548</v>
      </c>
      <c r="AR251" s="35" t="s">
        <v>548</v>
      </c>
      <c r="AS251" s="26" t="s">
        <v>175</v>
      </c>
      <c r="AT251" s="26" t="s">
        <v>70</v>
      </c>
      <c r="AU251" s="26" t="s">
        <v>70</v>
      </c>
      <c r="AV251" s="26">
        <v>3</v>
      </c>
    </row>
    <row r="252" spans="1:2089" s="56" customFormat="1" ht="14" customHeight="1">
      <c r="A252" s="27">
        <v>251</v>
      </c>
      <c r="B252" s="27" t="s">
        <v>399</v>
      </c>
      <c r="C252" s="27">
        <v>2011</v>
      </c>
      <c r="D252" s="26" t="s">
        <v>134</v>
      </c>
      <c r="E252" s="26" t="s">
        <v>563</v>
      </c>
      <c r="F252" s="77" t="s">
        <v>175</v>
      </c>
      <c r="G252" s="2" t="s">
        <v>105</v>
      </c>
      <c r="H252" s="2" t="s">
        <v>24</v>
      </c>
      <c r="I252" s="2" t="s">
        <v>548</v>
      </c>
      <c r="J252" s="2" t="s">
        <v>189</v>
      </c>
      <c r="K252" s="2" t="s">
        <v>548</v>
      </c>
      <c r="L252" s="2" t="s">
        <v>548</v>
      </c>
      <c r="M252" s="2" t="s">
        <v>175</v>
      </c>
      <c r="N252" s="2" t="s">
        <v>210</v>
      </c>
      <c r="O252" s="2" t="s">
        <v>43</v>
      </c>
      <c r="P252" s="2" t="s">
        <v>626</v>
      </c>
      <c r="Q252" s="2" t="s">
        <v>42</v>
      </c>
      <c r="R252" s="102" t="s">
        <v>614</v>
      </c>
      <c r="S252" s="88">
        <f>1-AC252</f>
        <v>0.5</v>
      </c>
      <c r="T252" s="61">
        <v>38</v>
      </c>
      <c r="U252" s="77">
        <v>1</v>
      </c>
      <c r="V252" s="26">
        <v>1</v>
      </c>
      <c r="W252" s="26">
        <v>1</v>
      </c>
      <c r="X252" s="26">
        <v>1</v>
      </c>
      <c r="Y252" s="26">
        <v>1</v>
      </c>
      <c r="Z252" s="26">
        <v>0</v>
      </c>
      <c r="AA252" s="26">
        <v>0</v>
      </c>
      <c r="AB252" s="26">
        <v>1</v>
      </c>
      <c r="AC252" s="26">
        <v>0.5</v>
      </c>
      <c r="AD252" s="26">
        <f>5/38</f>
        <v>0.13157894736842105</v>
      </c>
      <c r="AE252" s="26">
        <f>5/38</f>
        <v>0.13157894736842105</v>
      </c>
      <c r="AF252" s="26">
        <f>9/38</f>
        <v>0.23684210526315788</v>
      </c>
      <c r="AG252" s="26" t="s">
        <v>70</v>
      </c>
      <c r="AH252" s="26" t="s">
        <v>70</v>
      </c>
      <c r="AI252" s="26" t="s">
        <v>70</v>
      </c>
      <c r="AJ252" s="26" t="s">
        <v>70</v>
      </c>
      <c r="AK252" s="26" t="s">
        <v>70</v>
      </c>
      <c r="AL252" s="26" t="s">
        <v>70</v>
      </c>
      <c r="AM252" s="61" t="s">
        <v>175</v>
      </c>
      <c r="AN252" s="26" t="s">
        <v>274</v>
      </c>
      <c r="AO252" s="35" t="s">
        <v>548</v>
      </c>
      <c r="AP252" s="35" t="s">
        <v>548</v>
      </c>
      <c r="AQ252" s="35" t="s">
        <v>175</v>
      </c>
      <c r="AR252" s="35" t="s">
        <v>548</v>
      </c>
      <c r="AS252" s="26" t="s">
        <v>548</v>
      </c>
      <c r="AT252" s="26" t="s">
        <v>70</v>
      </c>
      <c r="AU252" s="26" t="s">
        <v>70</v>
      </c>
      <c r="AV252" s="26">
        <v>8</v>
      </c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  <c r="GR252" s="26"/>
      <c r="GS252" s="26"/>
      <c r="GT252" s="26"/>
      <c r="GU252" s="26"/>
      <c r="GV252" s="26"/>
      <c r="GW252" s="26"/>
      <c r="GX252" s="26"/>
      <c r="GY252" s="26"/>
      <c r="GZ252" s="26"/>
      <c r="HA252" s="26"/>
      <c r="HB252" s="26"/>
      <c r="HC252" s="26"/>
      <c r="HD252" s="26"/>
      <c r="HE252" s="26"/>
      <c r="HF252" s="26"/>
      <c r="HG252" s="26"/>
      <c r="HH252" s="26"/>
      <c r="HI252" s="26"/>
      <c r="HJ252" s="26"/>
      <c r="HK252" s="26"/>
      <c r="HL252" s="26"/>
      <c r="HM252" s="26"/>
      <c r="HN252" s="26"/>
      <c r="HO252" s="26"/>
      <c r="HP252" s="26"/>
      <c r="HQ252" s="26"/>
      <c r="HR252" s="26"/>
      <c r="HS252" s="26"/>
      <c r="HT252" s="26"/>
      <c r="HU252" s="26"/>
      <c r="HV252" s="26"/>
      <c r="HW252" s="26"/>
      <c r="HX252" s="26"/>
      <c r="HY252" s="26"/>
      <c r="HZ252" s="26"/>
      <c r="IA252" s="26"/>
      <c r="IB252" s="26"/>
      <c r="IC252" s="26"/>
      <c r="ID252" s="26"/>
      <c r="IE252" s="26"/>
      <c r="IF252" s="26"/>
      <c r="IG252" s="26"/>
      <c r="IH252" s="26"/>
      <c r="II252" s="26"/>
      <c r="IJ252" s="26"/>
      <c r="IK252" s="26"/>
      <c r="IL252" s="26"/>
      <c r="IM252" s="26"/>
      <c r="IN252" s="26"/>
      <c r="IO252" s="26"/>
      <c r="IP252" s="26"/>
      <c r="IQ252" s="26"/>
      <c r="IR252" s="26"/>
      <c r="IS252" s="26"/>
      <c r="IT252" s="26"/>
      <c r="IU252" s="26"/>
      <c r="IV252" s="26"/>
      <c r="IW252" s="26"/>
      <c r="IX252" s="26"/>
      <c r="IY252" s="26"/>
      <c r="IZ252" s="26"/>
      <c r="JA252" s="26"/>
      <c r="JB252" s="26"/>
      <c r="JC252" s="26"/>
      <c r="JD252" s="26"/>
      <c r="JE252" s="26"/>
      <c r="JF252" s="26"/>
      <c r="JG252" s="26"/>
      <c r="JH252" s="26"/>
      <c r="JI252" s="26"/>
      <c r="JJ252" s="26"/>
      <c r="JK252" s="26"/>
      <c r="JL252" s="26"/>
      <c r="JM252" s="26"/>
      <c r="JN252" s="26"/>
      <c r="JO252" s="26"/>
      <c r="JP252" s="26"/>
      <c r="JQ252" s="26"/>
      <c r="JR252" s="26"/>
      <c r="JS252" s="26"/>
      <c r="JT252" s="26"/>
      <c r="JU252" s="26"/>
      <c r="JV252" s="26"/>
      <c r="JW252" s="26"/>
      <c r="JX252" s="26"/>
      <c r="JY252" s="26"/>
      <c r="JZ252" s="26"/>
      <c r="KA252" s="26"/>
      <c r="KB252" s="26"/>
      <c r="KC252" s="26"/>
      <c r="KD252" s="26"/>
      <c r="KE252" s="26"/>
      <c r="KF252" s="26"/>
      <c r="KG252" s="26"/>
      <c r="KH252" s="26"/>
      <c r="KI252" s="26"/>
      <c r="KJ252" s="26"/>
      <c r="KK252" s="26"/>
      <c r="KL252" s="26"/>
      <c r="KM252" s="26"/>
      <c r="KN252" s="26"/>
      <c r="KO252" s="26"/>
      <c r="KP252" s="26"/>
      <c r="KQ252" s="26"/>
      <c r="KR252" s="26"/>
      <c r="KS252" s="26"/>
      <c r="KT252" s="26"/>
      <c r="KU252" s="26"/>
      <c r="KV252" s="26"/>
      <c r="KW252" s="26"/>
      <c r="KX252" s="26"/>
      <c r="KY252" s="26"/>
      <c r="KZ252" s="26"/>
      <c r="LA252" s="26"/>
      <c r="LB252" s="26"/>
      <c r="LC252" s="26"/>
      <c r="LD252" s="26"/>
      <c r="LE252" s="26"/>
      <c r="LF252" s="26"/>
      <c r="LG252" s="26"/>
      <c r="LH252" s="26"/>
      <c r="LI252" s="26"/>
      <c r="LJ252" s="26"/>
      <c r="LK252" s="26"/>
      <c r="LL252" s="26"/>
      <c r="LM252" s="26"/>
      <c r="LN252" s="26"/>
      <c r="LO252" s="26"/>
      <c r="LP252" s="26"/>
      <c r="LQ252" s="26"/>
      <c r="LR252" s="26"/>
      <c r="LS252" s="26"/>
      <c r="LT252" s="26"/>
      <c r="LU252" s="26"/>
      <c r="LV252" s="26"/>
      <c r="LW252" s="26"/>
      <c r="LX252" s="26"/>
      <c r="LY252" s="26"/>
      <c r="LZ252" s="26"/>
      <c r="MA252" s="26"/>
      <c r="MB252" s="26"/>
      <c r="MC252" s="26"/>
      <c r="MD252" s="26"/>
      <c r="ME252" s="26"/>
      <c r="MF252" s="26"/>
      <c r="MG252" s="26"/>
      <c r="MH252" s="26"/>
      <c r="MI252" s="26"/>
      <c r="MJ252" s="26"/>
      <c r="MK252" s="26"/>
      <c r="ML252" s="26"/>
      <c r="MM252" s="26"/>
      <c r="MN252" s="26"/>
      <c r="MO252" s="26"/>
      <c r="MP252" s="26"/>
      <c r="MQ252" s="26"/>
      <c r="MR252" s="26"/>
      <c r="MS252" s="26"/>
      <c r="MT252" s="26"/>
      <c r="MU252" s="26"/>
      <c r="MV252" s="26"/>
      <c r="MW252" s="26"/>
      <c r="MX252" s="26"/>
      <c r="MY252" s="26"/>
      <c r="MZ252" s="26"/>
      <c r="NA252" s="26"/>
      <c r="NB252" s="26"/>
      <c r="NC252" s="26"/>
      <c r="ND252" s="26"/>
      <c r="NE252" s="26"/>
      <c r="NF252" s="26"/>
      <c r="NG252" s="26"/>
      <c r="NH252" s="26"/>
      <c r="NI252" s="26"/>
      <c r="NJ252" s="26"/>
      <c r="NK252" s="26"/>
      <c r="NL252" s="26"/>
      <c r="NM252" s="26"/>
      <c r="NN252" s="26"/>
      <c r="NO252" s="26"/>
      <c r="NP252" s="26"/>
      <c r="NQ252" s="26"/>
      <c r="NR252" s="26"/>
      <c r="NS252" s="26"/>
      <c r="NT252" s="26"/>
      <c r="NU252" s="26"/>
      <c r="NV252" s="26"/>
      <c r="NW252" s="26"/>
      <c r="NX252" s="26"/>
      <c r="NY252" s="26"/>
      <c r="NZ252" s="26"/>
      <c r="OA252" s="26"/>
      <c r="OB252" s="26"/>
      <c r="OC252" s="26"/>
      <c r="OD252" s="26"/>
      <c r="OE252" s="26"/>
      <c r="OF252" s="26"/>
      <c r="OG252" s="26"/>
      <c r="OH252" s="26"/>
      <c r="OI252" s="26"/>
      <c r="OJ252" s="26"/>
      <c r="OK252" s="26"/>
      <c r="OL252" s="26"/>
      <c r="OM252" s="26"/>
      <c r="ON252" s="26"/>
      <c r="OO252" s="26"/>
      <c r="OP252" s="26"/>
      <c r="OQ252" s="26"/>
      <c r="OR252" s="26"/>
      <c r="OS252" s="26"/>
      <c r="OT252" s="26"/>
      <c r="OU252" s="26"/>
      <c r="OV252" s="26"/>
      <c r="OW252" s="26"/>
      <c r="OX252" s="26"/>
      <c r="OY252" s="26"/>
      <c r="OZ252" s="26"/>
      <c r="PA252" s="26"/>
      <c r="PB252" s="26"/>
      <c r="PC252" s="26"/>
      <c r="PD252" s="26"/>
      <c r="PE252" s="26"/>
      <c r="PF252" s="26"/>
      <c r="PG252" s="26"/>
      <c r="PH252" s="26"/>
      <c r="PI252" s="26"/>
      <c r="PJ252" s="26"/>
      <c r="PK252" s="26"/>
      <c r="PL252" s="26"/>
      <c r="PM252" s="26"/>
      <c r="PN252" s="26"/>
      <c r="PO252" s="26"/>
      <c r="PP252" s="26"/>
      <c r="PQ252" s="26"/>
      <c r="PR252" s="26"/>
      <c r="PS252" s="26"/>
      <c r="PT252" s="26"/>
      <c r="PU252" s="26"/>
      <c r="PV252" s="26"/>
      <c r="PW252" s="26"/>
      <c r="PX252" s="26"/>
      <c r="PY252" s="26"/>
      <c r="PZ252" s="26"/>
      <c r="QA252" s="26"/>
      <c r="QB252" s="26"/>
      <c r="QC252" s="26"/>
      <c r="QD252" s="26"/>
      <c r="QE252" s="26"/>
      <c r="QF252" s="26"/>
      <c r="QG252" s="26"/>
      <c r="QH252" s="26"/>
      <c r="QI252" s="26"/>
      <c r="QJ252" s="26"/>
      <c r="QK252" s="26"/>
      <c r="QL252" s="26"/>
      <c r="QM252" s="26"/>
      <c r="QN252" s="26"/>
      <c r="QO252" s="26"/>
      <c r="QP252" s="26"/>
      <c r="QQ252" s="26"/>
      <c r="QR252" s="26"/>
      <c r="QS252" s="26"/>
      <c r="QT252" s="26"/>
      <c r="QU252" s="26"/>
      <c r="QV252" s="26"/>
      <c r="QW252" s="26"/>
      <c r="QX252" s="26"/>
      <c r="QY252" s="26"/>
      <c r="QZ252" s="26"/>
      <c r="RA252" s="26"/>
      <c r="RB252" s="26"/>
      <c r="RC252" s="26"/>
      <c r="RD252" s="26"/>
      <c r="RE252" s="26"/>
      <c r="RF252" s="26"/>
      <c r="RG252" s="26"/>
      <c r="RH252" s="26"/>
      <c r="RI252" s="26"/>
      <c r="RJ252" s="26"/>
      <c r="RK252" s="26"/>
      <c r="RL252" s="26"/>
      <c r="RM252" s="26"/>
      <c r="RN252" s="26"/>
      <c r="RO252" s="26"/>
      <c r="RP252" s="26"/>
      <c r="RQ252" s="26"/>
      <c r="RR252" s="26"/>
      <c r="RS252" s="26"/>
      <c r="RT252" s="26"/>
      <c r="RU252" s="26"/>
      <c r="RV252" s="26"/>
      <c r="RW252" s="26"/>
      <c r="RX252" s="26"/>
      <c r="RY252" s="26"/>
      <c r="RZ252" s="26"/>
      <c r="SA252" s="26"/>
      <c r="SB252" s="26"/>
      <c r="SC252" s="26"/>
      <c r="SD252" s="26"/>
      <c r="SE252" s="26"/>
      <c r="SF252" s="26"/>
      <c r="SG252" s="26"/>
      <c r="SH252" s="26"/>
      <c r="SI252" s="26"/>
      <c r="SJ252" s="26"/>
      <c r="SK252" s="26"/>
      <c r="SL252" s="26"/>
      <c r="SM252" s="26"/>
      <c r="SN252" s="26"/>
      <c r="SO252" s="26"/>
      <c r="SP252" s="26"/>
      <c r="SQ252" s="26"/>
      <c r="SR252" s="26"/>
      <c r="SS252" s="26"/>
      <c r="ST252" s="26"/>
      <c r="SU252" s="26"/>
      <c r="SV252" s="26"/>
      <c r="SW252" s="26"/>
      <c r="SX252" s="26"/>
      <c r="SY252" s="26"/>
      <c r="SZ252" s="26"/>
      <c r="TA252" s="26"/>
      <c r="TB252" s="26"/>
      <c r="TC252" s="26"/>
      <c r="TD252" s="26"/>
      <c r="TE252" s="26"/>
      <c r="TF252" s="26"/>
      <c r="TG252" s="26"/>
      <c r="TH252" s="26"/>
      <c r="TI252" s="26"/>
      <c r="TJ252" s="26"/>
      <c r="TK252" s="26"/>
      <c r="TL252" s="26"/>
      <c r="TM252" s="26"/>
      <c r="TN252" s="26"/>
      <c r="TO252" s="26"/>
      <c r="TP252" s="26"/>
      <c r="TQ252" s="26"/>
      <c r="TR252" s="26"/>
      <c r="TS252" s="26"/>
      <c r="TT252" s="26"/>
      <c r="TU252" s="26"/>
      <c r="TV252" s="26"/>
      <c r="TW252" s="26"/>
      <c r="TX252" s="26"/>
      <c r="TY252" s="26"/>
      <c r="TZ252" s="26"/>
      <c r="UA252" s="26"/>
      <c r="UB252" s="26"/>
      <c r="UC252" s="26"/>
      <c r="UD252" s="26"/>
      <c r="UE252" s="26"/>
      <c r="UF252" s="26"/>
      <c r="UG252" s="26"/>
      <c r="UH252" s="26"/>
      <c r="UI252" s="26"/>
      <c r="UJ252" s="26"/>
      <c r="UK252" s="26"/>
      <c r="UL252" s="26"/>
      <c r="UM252" s="26"/>
      <c r="UN252" s="26"/>
      <c r="UO252" s="26"/>
      <c r="UP252" s="26"/>
      <c r="UQ252" s="26"/>
      <c r="UR252" s="26"/>
      <c r="US252" s="26"/>
      <c r="UT252" s="26"/>
      <c r="UU252" s="26"/>
      <c r="UV252" s="26"/>
      <c r="UW252" s="26"/>
      <c r="UX252" s="26"/>
      <c r="UY252" s="26"/>
      <c r="UZ252" s="26"/>
      <c r="VA252" s="26"/>
      <c r="VB252" s="26"/>
      <c r="VC252" s="26"/>
      <c r="VD252" s="26"/>
      <c r="VE252" s="26"/>
      <c r="VF252" s="26"/>
      <c r="VG252" s="26"/>
      <c r="VH252" s="26"/>
      <c r="VI252" s="26"/>
      <c r="VJ252" s="26"/>
      <c r="VK252" s="26"/>
      <c r="VL252" s="26"/>
      <c r="VM252" s="26"/>
      <c r="VN252" s="26"/>
      <c r="VO252" s="26"/>
      <c r="VP252" s="26"/>
      <c r="VQ252" s="26"/>
      <c r="VR252" s="26"/>
      <c r="VS252" s="26"/>
      <c r="VT252" s="26"/>
      <c r="VU252" s="26"/>
      <c r="VV252" s="26"/>
      <c r="VW252" s="26"/>
      <c r="VX252" s="26"/>
      <c r="VY252" s="26"/>
      <c r="VZ252" s="26"/>
      <c r="WA252" s="26"/>
      <c r="WB252" s="26"/>
      <c r="WC252" s="26"/>
      <c r="WD252" s="26"/>
      <c r="WE252" s="26"/>
      <c r="WF252" s="26"/>
      <c r="WG252" s="26"/>
      <c r="WH252" s="26"/>
      <c r="WI252" s="26"/>
      <c r="WJ252" s="26"/>
      <c r="WK252" s="26"/>
      <c r="WL252" s="26"/>
      <c r="WM252" s="26"/>
      <c r="WN252" s="26"/>
      <c r="WO252" s="26"/>
      <c r="WP252" s="26"/>
      <c r="WQ252" s="26"/>
      <c r="WR252" s="26"/>
      <c r="WS252" s="26"/>
      <c r="WT252" s="26"/>
      <c r="WU252" s="26"/>
      <c r="WV252" s="26"/>
      <c r="WW252" s="26"/>
      <c r="WX252" s="26"/>
      <c r="WY252" s="26"/>
      <c r="WZ252" s="26"/>
      <c r="XA252" s="26"/>
      <c r="XB252" s="26"/>
      <c r="XC252" s="26"/>
      <c r="XD252" s="26"/>
      <c r="XE252" s="26"/>
      <c r="XF252" s="26"/>
      <c r="XG252" s="26"/>
      <c r="XH252" s="26"/>
      <c r="XI252" s="26"/>
      <c r="XJ252" s="26"/>
      <c r="XK252" s="26"/>
      <c r="XL252" s="26"/>
      <c r="XM252" s="26"/>
      <c r="XN252" s="26"/>
      <c r="XO252" s="26"/>
      <c r="XP252" s="26"/>
      <c r="XQ252" s="26"/>
      <c r="XR252" s="26"/>
      <c r="XS252" s="26"/>
      <c r="XT252" s="26"/>
      <c r="XU252" s="26"/>
      <c r="XV252" s="26"/>
      <c r="XW252" s="26"/>
      <c r="XX252" s="26"/>
      <c r="XY252" s="26"/>
      <c r="XZ252" s="26"/>
      <c r="YA252" s="26"/>
      <c r="YB252" s="26"/>
      <c r="YC252" s="26"/>
      <c r="YD252" s="26"/>
      <c r="YE252" s="26"/>
      <c r="YF252" s="26"/>
      <c r="YG252" s="26"/>
      <c r="YH252" s="26"/>
      <c r="YI252" s="26"/>
      <c r="YJ252" s="26"/>
      <c r="YK252" s="26"/>
      <c r="YL252" s="26"/>
      <c r="YM252" s="26"/>
      <c r="YN252" s="26"/>
      <c r="YO252" s="26"/>
      <c r="YP252" s="26"/>
      <c r="YQ252" s="26"/>
      <c r="YR252" s="26"/>
      <c r="YS252" s="26"/>
      <c r="YT252" s="26"/>
      <c r="YU252" s="26"/>
      <c r="YV252" s="26"/>
      <c r="YW252" s="26"/>
      <c r="YX252" s="26"/>
      <c r="YY252" s="26"/>
      <c r="YZ252" s="26"/>
      <c r="ZA252" s="26"/>
      <c r="ZB252" s="26"/>
      <c r="ZC252" s="26"/>
      <c r="ZD252" s="26"/>
      <c r="ZE252" s="26"/>
      <c r="ZF252" s="26"/>
      <c r="ZG252" s="26"/>
      <c r="ZH252" s="26"/>
      <c r="ZI252" s="26"/>
      <c r="ZJ252" s="26"/>
      <c r="ZK252" s="26"/>
      <c r="ZL252" s="26"/>
      <c r="ZM252" s="26"/>
      <c r="ZN252" s="26"/>
      <c r="ZO252" s="26"/>
      <c r="ZP252" s="26"/>
      <c r="ZQ252" s="26"/>
      <c r="ZR252" s="26"/>
      <c r="ZS252" s="26"/>
      <c r="ZT252" s="26"/>
      <c r="ZU252" s="26"/>
      <c r="ZV252" s="26"/>
      <c r="ZW252" s="26"/>
      <c r="ZX252" s="26"/>
      <c r="ZY252" s="26"/>
      <c r="ZZ252" s="26"/>
      <c r="AAA252" s="26"/>
      <c r="AAB252" s="26"/>
      <c r="AAC252" s="26"/>
      <c r="AAD252" s="26"/>
      <c r="AAE252" s="26"/>
      <c r="AAF252" s="26"/>
      <c r="AAG252" s="26"/>
      <c r="AAH252" s="26"/>
      <c r="AAI252" s="26"/>
      <c r="AAJ252" s="26"/>
      <c r="AAK252" s="26"/>
      <c r="AAL252" s="26"/>
      <c r="AAM252" s="26"/>
      <c r="AAN252" s="26"/>
      <c r="AAO252" s="26"/>
      <c r="AAP252" s="26"/>
      <c r="AAQ252" s="26"/>
      <c r="AAR252" s="26"/>
      <c r="AAS252" s="26"/>
      <c r="AAT252" s="26"/>
      <c r="AAU252" s="26"/>
      <c r="AAV252" s="26"/>
      <c r="AAW252" s="26"/>
      <c r="AAX252" s="26"/>
      <c r="AAY252" s="26"/>
      <c r="AAZ252" s="26"/>
      <c r="ABA252" s="26"/>
      <c r="ABB252" s="26"/>
      <c r="ABC252" s="26"/>
      <c r="ABD252" s="26"/>
      <c r="ABE252" s="26"/>
      <c r="ABF252" s="26"/>
      <c r="ABG252" s="26"/>
      <c r="ABH252" s="26"/>
      <c r="ABI252" s="26"/>
      <c r="ABJ252" s="26"/>
      <c r="ABK252" s="26"/>
      <c r="ABL252" s="26"/>
      <c r="ABM252" s="26"/>
      <c r="ABN252" s="26"/>
      <c r="ABO252" s="26"/>
      <c r="ABP252" s="26"/>
      <c r="ABQ252" s="26"/>
      <c r="ABR252" s="26"/>
      <c r="ABS252" s="26"/>
      <c r="ABT252" s="26"/>
      <c r="ABU252" s="26"/>
      <c r="ABV252" s="26"/>
      <c r="ABW252" s="26"/>
      <c r="ABX252" s="26"/>
      <c r="ABY252" s="26"/>
      <c r="ABZ252" s="26"/>
      <c r="ACA252" s="26"/>
      <c r="ACB252" s="26"/>
      <c r="ACC252" s="26"/>
      <c r="ACD252" s="26"/>
      <c r="ACE252" s="26"/>
      <c r="ACF252" s="26"/>
      <c r="ACG252" s="26"/>
      <c r="ACH252" s="26"/>
      <c r="ACI252" s="26"/>
      <c r="ACJ252" s="26"/>
      <c r="ACK252" s="26"/>
      <c r="ACL252" s="26"/>
      <c r="ACM252" s="26"/>
      <c r="ACN252" s="26"/>
      <c r="ACO252" s="26"/>
      <c r="ACP252" s="26"/>
      <c r="ACQ252" s="26"/>
      <c r="ACR252" s="26"/>
      <c r="ACS252" s="26"/>
      <c r="ACT252" s="26"/>
      <c r="ACU252" s="26"/>
      <c r="ACV252" s="26"/>
      <c r="ACW252" s="26"/>
      <c r="ACX252" s="26"/>
      <c r="ACY252" s="26"/>
      <c r="ACZ252" s="26"/>
      <c r="ADA252" s="26"/>
      <c r="ADB252" s="26"/>
      <c r="ADC252" s="26"/>
      <c r="ADD252" s="26"/>
      <c r="ADE252" s="26"/>
      <c r="ADF252" s="26"/>
      <c r="ADG252" s="26"/>
      <c r="ADH252" s="26"/>
      <c r="ADI252" s="26"/>
      <c r="ADJ252" s="26"/>
      <c r="ADK252" s="26"/>
      <c r="ADL252" s="26"/>
      <c r="ADM252" s="26"/>
      <c r="ADN252" s="26"/>
      <c r="ADO252" s="26"/>
      <c r="ADP252" s="26"/>
      <c r="ADQ252" s="26"/>
      <c r="ADR252" s="26"/>
      <c r="ADS252" s="26"/>
      <c r="ADT252" s="26"/>
      <c r="ADU252" s="26"/>
      <c r="ADV252" s="26"/>
      <c r="ADW252" s="26"/>
      <c r="ADX252" s="26"/>
      <c r="ADY252" s="26"/>
      <c r="ADZ252" s="26"/>
      <c r="AEA252" s="26"/>
      <c r="AEB252" s="26"/>
      <c r="AEC252" s="26"/>
      <c r="AED252" s="26"/>
      <c r="AEE252" s="26"/>
      <c r="AEF252" s="26"/>
      <c r="AEG252" s="26"/>
      <c r="AEH252" s="26"/>
      <c r="AEI252" s="26"/>
      <c r="AEJ252" s="26"/>
      <c r="AEK252" s="26"/>
      <c r="AEL252" s="26"/>
      <c r="AEM252" s="26"/>
      <c r="AEN252" s="26"/>
      <c r="AEO252" s="26"/>
      <c r="AEP252" s="26"/>
      <c r="AEQ252" s="26"/>
      <c r="AER252" s="26"/>
      <c r="AES252" s="26"/>
      <c r="AET252" s="26"/>
      <c r="AEU252" s="26"/>
      <c r="AEV252" s="26"/>
      <c r="AEW252" s="26"/>
      <c r="AEX252" s="26"/>
      <c r="AEY252" s="26"/>
      <c r="AEZ252" s="26"/>
      <c r="AFA252" s="26"/>
      <c r="AFB252" s="26"/>
      <c r="AFC252" s="26"/>
      <c r="AFD252" s="26"/>
      <c r="AFE252" s="26"/>
      <c r="AFF252" s="26"/>
      <c r="AFG252" s="26"/>
      <c r="AFH252" s="26"/>
      <c r="AFI252" s="26"/>
      <c r="AFJ252" s="26"/>
      <c r="AFK252" s="26"/>
      <c r="AFL252" s="26"/>
      <c r="AFM252" s="26"/>
      <c r="AFN252" s="26"/>
      <c r="AFO252" s="26"/>
      <c r="AFP252" s="26"/>
      <c r="AFQ252" s="26"/>
      <c r="AFR252" s="26"/>
      <c r="AFS252" s="26"/>
      <c r="AFT252" s="26"/>
      <c r="AFU252" s="26"/>
      <c r="AFV252" s="26"/>
      <c r="AFW252" s="26"/>
      <c r="AFX252" s="26"/>
      <c r="AFY252" s="26"/>
      <c r="AFZ252" s="26"/>
      <c r="AGA252" s="26"/>
      <c r="AGB252" s="26"/>
      <c r="AGC252" s="26"/>
      <c r="AGD252" s="26"/>
      <c r="AGE252" s="26"/>
      <c r="AGF252" s="26"/>
      <c r="AGG252" s="26"/>
      <c r="AGH252" s="26"/>
      <c r="AGI252" s="26"/>
      <c r="AGJ252" s="26"/>
      <c r="AGK252" s="26"/>
      <c r="AGL252" s="26"/>
      <c r="AGM252" s="26"/>
      <c r="AGN252" s="26"/>
      <c r="AGO252" s="26"/>
      <c r="AGP252" s="26"/>
      <c r="AGQ252" s="26"/>
      <c r="AGR252" s="26"/>
      <c r="AGS252" s="26"/>
      <c r="AGT252" s="26"/>
      <c r="AGU252" s="26"/>
      <c r="AGV252" s="26"/>
      <c r="AGW252" s="26"/>
      <c r="AGX252" s="26"/>
      <c r="AGY252" s="26"/>
      <c r="AGZ252" s="26"/>
      <c r="AHA252" s="26"/>
      <c r="AHB252" s="26"/>
      <c r="AHC252" s="26"/>
      <c r="AHD252" s="26"/>
      <c r="AHE252" s="26"/>
      <c r="AHF252" s="26"/>
      <c r="AHG252" s="26"/>
      <c r="AHH252" s="26"/>
      <c r="AHI252" s="26"/>
      <c r="AHJ252" s="26"/>
      <c r="AHK252" s="26"/>
      <c r="AHL252" s="26"/>
      <c r="AHM252" s="26"/>
      <c r="AHN252" s="26"/>
      <c r="AHO252" s="26"/>
      <c r="AHP252" s="26"/>
      <c r="AHQ252" s="26"/>
      <c r="AHR252" s="26"/>
      <c r="AHS252" s="26"/>
      <c r="AHT252" s="26"/>
      <c r="AHU252" s="26"/>
      <c r="AHV252" s="26"/>
      <c r="AHW252" s="26"/>
      <c r="AHX252" s="26"/>
      <c r="AHY252" s="26"/>
      <c r="AHZ252" s="26"/>
      <c r="AIA252" s="26"/>
      <c r="AIB252" s="26"/>
      <c r="AIC252" s="26"/>
      <c r="AID252" s="26"/>
      <c r="AIE252" s="26"/>
      <c r="AIF252" s="26"/>
      <c r="AIG252" s="26"/>
      <c r="AIH252" s="26"/>
      <c r="AII252" s="26"/>
      <c r="AIJ252" s="26"/>
      <c r="AIK252" s="26"/>
      <c r="AIL252" s="26"/>
      <c r="AIM252" s="26"/>
      <c r="AIN252" s="26"/>
      <c r="AIO252" s="26"/>
      <c r="AIP252" s="26"/>
      <c r="AIQ252" s="26"/>
      <c r="AIR252" s="26"/>
      <c r="AIS252" s="26"/>
      <c r="AIT252" s="26"/>
      <c r="AIU252" s="26"/>
      <c r="AIV252" s="26"/>
      <c r="AIW252" s="26"/>
      <c r="AIX252" s="26"/>
      <c r="AIY252" s="26"/>
      <c r="AIZ252" s="26"/>
      <c r="AJA252" s="26"/>
      <c r="AJB252" s="26"/>
      <c r="AJC252" s="26"/>
      <c r="AJD252" s="26"/>
      <c r="AJE252" s="26"/>
      <c r="AJF252" s="26"/>
      <c r="AJG252" s="26"/>
      <c r="AJH252" s="26"/>
      <c r="AJI252" s="26"/>
      <c r="AJJ252" s="26"/>
      <c r="AJK252" s="26"/>
      <c r="AJL252" s="26"/>
      <c r="AJM252" s="26"/>
      <c r="AJN252" s="26"/>
      <c r="AJO252" s="26"/>
      <c r="AJP252" s="26"/>
      <c r="AJQ252" s="26"/>
      <c r="AJR252" s="26"/>
      <c r="AJS252" s="26"/>
      <c r="AJT252" s="26"/>
      <c r="AJU252" s="26"/>
      <c r="AJV252" s="26"/>
      <c r="AJW252" s="26"/>
      <c r="AJX252" s="26"/>
      <c r="AJY252" s="26"/>
      <c r="AJZ252" s="26"/>
      <c r="AKA252" s="26"/>
      <c r="AKB252" s="26"/>
      <c r="AKC252" s="26"/>
      <c r="AKD252" s="26"/>
      <c r="AKE252" s="26"/>
      <c r="AKF252" s="26"/>
      <c r="AKG252" s="26"/>
      <c r="AKH252" s="26"/>
      <c r="AKI252" s="26"/>
      <c r="AKJ252" s="26"/>
      <c r="AKK252" s="26"/>
      <c r="AKL252" s="26"/>
      <c r="AKM252" s="26"/>
      <c r="AKN252" s="26"/>
      <c r="AKO252" s="26"/>
      <c r="AKP252" s="26"/>
      <c r="AKQ252" s="26"/>
      <c r="AKR252" s="26"/>
      <c r="AKS252" s="26"/>
      <c r="AKT252" s="26"/>
      <c r="AKU252" s="26"/>
      <c r="AKV252" s="26"/>
      <c r="AKW252" s="26"/>
      <c r="AKX252" s="26"/>
      <c r="AKY252" s="26"/>
      <c r="AKZ252" s="26"/>
      <c r="ALA252" s="26"/>
      <c r="ALB252" s="26"/>
      <c r="ALC252" s="26"/>
      <c r="ALD252" s="26"/>
      <c r="ALE252" s="26"/>
      <c r="ALF252" s="26"/>
      <c r="ALG252" s="26"/>
      <c r="ALH252" s="26"/>
      <c r="ALI252" s="26"/>
      <c r="ALJ252" s="26"/>
      <c r="ALK252" s="26"/>
      <c r="ALL252" s="26"/>
      <c r="ALM252" s="26"/>
      <c r="ALN252" s="26"/>
      <c r="ALO252" s="26"/>
      <c r="ALP252" s="26"/>
      <c r="ALQ252" s="26"/>
      <c r="ALR252" s="26"/>
      <c r="ALS252" s="26"/>
      <c r="ALT252" s="26"/>
      <c r="ALU252" s="26"/>
      <c r="ALV252" s="26"/>
      <c r="ALW252" s="26"/>
      <c r="ALX252" s="26"/>
      <c r="ALY252" s="26"/>
      <c r="ALZ252" s="26"/>
      <c r="AMA252" s="26"/>
      <c r="AMB252" s="26"/>
      <c r="AMC252" s="26"/>
      <c r="AMD252" s="26"/>
      <c r="AME252" s="26"/>
      <c r="AMF252" s="26"/>
      <c r="AMG252" s="26"/>
      <c r="AMH252" s="26"/>
      <c r="AMI252" s="26"/>
      <c r="AMJ252" s="26"/>
      <c r="AMK252" s="26"/>
      <c r="AML252" s="26"/>
      <c r="AMM252" s="26"/>
      <c r="AMN252" s="26"/>
      <c r="AMO252" s="26"/>
      <c r="AMP252" s="26"/>
      <c r="AMQ252" s="26"/>
      <c r="AMR252" s="26"/>
      <c r="AMS252" s="26"/>
      <c r="AMT252" s="26"/>
      <c r="AMU252" s="26"/>
      <c r="AMV252" s="26"/>
      <c r="AMW252" s="26"/>
      <c r="AMX252" s="26"/>
      <c r="AMY252" s="26"/>
      <c r="AMZ252" s="26"/>
      <c r="ANA252" s="26"/>
      <c r="ANB252" s="26"/>
      <c r="ANC252" s="26"/>
      <c r="AND252" s="26"/>
      <c r="ANE252" s="26"/>
      <c r="ANF252" s="26"/>
      <c r="ANG252" s="26"/>
      <c r="ANH252" s="26"/>
      <c r="ANI252" s="26"/>
      <c r="ANJ252" s="26"/>
      <c r="ANK252" s="26"/>
      <c r="ANL252" s="26"/>
      <c r="ANM252" s="26"/>
      <c r="ANN252" s="26"/>
      <c r="ANO252" s="26"/>
      <c r="ANP252" s="26"/>
      <c r="ANQ252" s="26"/>
      <c r="ANR252" s="26"/>
      <c r="ANS252" s="26"/>
      <c r="ANT252" s="26"/>
      <c r="ANU252" s="26"/>
      <c r="ANV252" s="26"/>
      <c r="ANW252" s="26"/>
      <c r="ANX252" s="26"/>
      <c r="ANY252" s="26"/>
      <c r="ANZ252" s="26"/>
      <c r="AOA252" s="26"/>
      <c r="AOB252" s="26"/>
      <c r="AOC252" s="26"/>
      <c r="AOD252" s="26"/>
      <c r="AOE252" s="26"/>
      <c r="AOF252" s="26"/>
      <c r="AOG252" s="26"/>
      <c r="AOH252" s="26"/>
      <c r="AOI252" s="26"/>
      <c r="AOJ252" s="26"/>
      <c r="AOK252" s="26"/>
      <c r="AOL252" s="26"/>
      <c r="AOM252" s="26"/>
      <c r="AON252" s="26"/>
      <c r="AOO252" s="26"/>
      <c r="AOP252" s="26"/>
      <c r="AOQ252" s="26"/>
      <c r="AOR252" s="26"/>
      <c r="AOS252" s="26"/>
      <c r="AOT252" s="26"/>
      <c r="AOU252" s="26"/>
      <c r="AOV252" s="26"/>
      <c r="AOW252" s="26"/>
      <c r="AOX252" s="26"/>
      <c r="AOY252" s="26"/>
      <c r="AOZ252" s="26"/>
      <c r="APA252" s="26"/>
      <c r="APB252" s="26"/>
      <c r="APC252" s="26"/>
      <c r="APD252" s="26"/>
      <c r="APE252" s="26"/>
      <c r="APF252" s="26"/>
      <c r="APG252" s="26"/>
      <c r="APH252" s="26"/>
      <c r="API252" s="26"/>
      <c r="APJ252" s="26"/>
      <c r="APK252" s="26"/>
      <c r="APL252" s="26"/>
      <c r="APM252" s="26"/>
      <c r="APN252" s="26"/>
      <c r="APO252" s="26"/>
      <c r="APP252" s="26"/>
      <c r="APQ252" s="26"/>
      <c r="APR252" s="26"/>
      <c r="APS252" s="26"/>
      <c r="APT252" s="26"/>
      <c r="APU252" s="26"/>
      <c r="APV252" s="26"/>
      <c r="APW252" s="26"/>
      <c r="APX252" s="26"/>
      <c r="APY252" s="26"/>
      <c r="APZ252" s="26"/>
      <c r="AQA252" s="26"/>
      <c r="AQB252" s="26"/>
      <c r="AQC252" s="26"/>
      <c r="AQD252" s="26"/>
      <c r="AQE252" s="26"/>
      <c r="AQF252" s="26"/>
      <c r="AQG252" s="26"/>
      <c r="AQH252" s="26"/>
      <c r="AQI252" s="26"/>
      <c r="AQJ252" s="26"/>
      <c r="AQK252" s="26"/>
      <c r="AQL252" s="26"/>
      <c r="AQM252" s="26"/>
      <c r="AQN252" s="26"/>
      <c r="AQO252" s="26"/>
      <c r="AQP252" s="26"/>
      <c r="AQQ252" s="26"/>
      <c r="AQR252" s="26"/>
      <c r="AQS252" s="26"/>
      <c r="AQT252" s="26"/>
      <c r="AQU252" s="26"/>
      <c r="AQV252" s="26"/>
      <c r="AQW252" s="26"/>
      <c r="AQX252" s="26"/>
      <c r="AQY252" s="26"/>
      <c r="AQZ252" s="26"/>
      <c r="ARA252" s="26"/>
      <c r="ARB252" s="26"/>
      <c r="ARC252" s="26"/>
      <c r="ARD252" s="26"/>
      <c r="ARE252" s="26"/>
      <c r="ARF252" s="26"/>
      <c r="ARG252" s="26"/>
      <c r="ARH252" s="26"/>
      <c r="ARI252" s="26"/>
      <c r="ARJ252" s="26"/>
      <c r="ARK252" s="26"/>
      <c r="ARL252" s="26"/>
      <c r="ARM252" s="26"/>
      <c r="ARN252" s="26"/>
      <c r="ARO252" s="26"/>
      <c r="ARP252" s="26"/>
      <c r="ARQ252" s="26"/>
      <c r="ARR252" s="26"/>
      <c r="ARS252" s="26"/>
      <c r="ART252" s="26"/>
      <c r="ARU252" s="26"/>
      <c r="ARV252" s="26"/>
      <c r="ARW252" s="26"/>
      <c r="ARX252" s="26"/>
      <c r="ARY252" s="26"/>
      <c r="ARZ252" s="26"/>
      <c r="ASA252" s="26"/>
      <c r="ASB252" s="26"/>
      <c r="ASC252" s="26"/>
      <c r="ASD252" s="26"/>
      <c r="ASE252" s="26"/>
      <c r="ASF252" s="26"/>
      <c r="ASG252" s="26"/>
      <c r="ASH252" s="26"/>
      <c r="ASI252" s="26"/>
      <c r="ASJ252" s="26"/>
      <c r="ASK252" s="26"/>
      <c r="ASL252" s="26"/>
      <c r="ASM252" s="26"/>
      <c r="ASN252" s="26"/>
      <c r="ASO252" s="26"/>
      <c r="ASP252" s="26"/>
      <c r="ASQ252" s="26"/>
      <c r="ASR252" s="26"/>
      <c r="ASS252" s="26"/>
      <c r="AST252" s="26"/>
      <c r="ASU252" s="26"/>
      <c r="ASV252" s="26"/>
      <c r="ASW252" s="26"/>
      <c r="ASX252" s="26"/>
      <c r="ASY252" s="26"/>
      <c r="ASZ252" s="26"/>
      <c r="ATA252" s="26"/>
      <c r="ATB252" s="26"/>
      <c r="ATC252" s="26"/>
      <c r="ATD252" s="26"/>
      <c r="ATE252" s="26"/>
      <c r="ATF252" s="26"/>
      <c r="ATG252" s="26"/>
      <c r="ATH252" s="26"/>
      <c r="ATI252" s="26"/>
      <c r="ATJ252" s="26"/>
      <c r="ATK252" s="26"/>
      <c r="ATL252" s="26"/>
      <c r="ATM252" s="26"/>
      <c r="ATN252" s="26"/>
      <c r="ATO252" s="26"/>
      <c r="ATP252" s="26"/>
      <c r="ATQ252" s="26"/>
      <c r="ATR252" s="26"/>
      <c r="ATS252" s="26"/>
      <c r="ATT252" s="26"/>
      <c r="ATU252" s="26"/>
      <c r="ATV252" s="26"/>
      <c r="ATW252" s="26"/>
      <c r="ATX252" s="26"/>
      <c r="ATY252" s="26"/>
      <c r="ATZ252" s="26"/>
      <c r="AUA252" s="26"/>
      <c r="AUB252" s="26"/>
      <c r="AUC252" s="26"/>
      <c r="AUD252" s="26"/>
      <c r="AUE252" s="26"/>
      <c r="AUF252" s="26"/>
      <c r="AUG252" s="26"/>
      <c r="AUH252" s="26"/>
      <c r="AUI252" s="26"/>
      <c r="AUJ252" s="26"/>
      <c r="AUK252" s="26"/>
      <c r="AUL252" s="26"/>
      <c r="AUM252" s="26"/>
      <c r="AUN252" s="26"/>
      <c r="AUO252" s="26"/>
      <c r="AUP252" s="26"/>
      <c r="AUQ252" s="26"/>
      <c r="AUR252" s="26"/>
      <c r="AUS252" s="26"/>
      <c r="AUT252" s="26"/>
      <c r="AUU252" s="26"/>
      <c r="AUV252" s="26"/>
      <c r="AUW252" s="26"/>
      <c r="AUX252" s="26"/>
      <c r="AUY252" s="26"/>
      <c r="AUZ252" s="26"/>
      <c r="AVA252" s="26"/>
      <c r="AVB252" s="26"/>
      <c r="AVC252" s="26"/>
      <c r="AVD252" s="26"/>
      <c r="AVE252" s="26"/>
      <c r="AVF252" s="26"/>
      <c r="AVG252" s="26"/>
      <c r="AVH252" s="26"/>
      <c r="AVI252" s="26"/>
      <c r="AVJ252" s="26"/>
      <c r="AVK252" s="26"/>
      <c r="AVL252" s="26"/>
      <c r="AVM252" s="26"/>
      <c r="AVN252" s="26"/>
      <c r="AVO252" s="26"/>
      <c r="AVP252" s="26"/>
      <c r="AVQ252" s="26"/>
      <c r="AVR252" s="26"/>
      <c r="AVS252" s="26"/>
      <c r="AVT252" s="26"/>
      <c r="AVU252" s="26"/>
      <c r="AVV252" s="26"/>
      <c r="AVW252" s="26"/>
      <c r="AVX252" s="26"/>
      <c r="AVY252" s="26"/>
      <c r="AVZ252" s="26"/>
      <c r="AWA252" s="26"/>
      <c r="AWB252" s="26"/>
      <c r="AWC252" s="26"/>
      <c r="AWD252" s="26"/>
      <c r="AWE252" s="26"/>
      <c r="AWF252" s="26"/>
      <c r="AWG252" s="26"/>
      <c r="AWH252" s="26"/>
      <c r="AWI252" s="26"/>
      <c r="AWJ252" s="26"/>
      <c r="AWK252" s="26"/>
      <c r="AWL252" s="26"/>
      <c r="AWM252" s="26"/>
      <c r="AWN252" s="26"/>
      <c r="AWO252" s="26"/>
      <c r="AWP252" s="26"/>
      <c r="AWQ252" s="26"/>
      <c r="AWR252" s="26"/>
      <c r="AWS252" s="26"/>
      <c r="AWT252" s="26"/>
      <c r="AWU252" s="26"/>
      <c r="AWV252" s="26"/>
      <c r="AWW252" s="26"/>
      <c r="AWX252" s="26"/>
      <c r="AWY252" s="26"/>
      <c r="AWZ252" s="26"/>
      <c r="AXA252" s="26"/>
      <c r="AXB252" s="26"/>
      <c r="AXC252" s="26"/>
      <c r="AXD252" s="26"/>
      <c r="AXE252" s="26"/>
      <c r="AXF252" s="26"/>
      <c r="AXG252" s="26"/>
      <c r="AXH252" s="26"/>
      <c r="AXI252" s="26"/>
      <c r="AXJ252" s="26"/>
      <c r="AXK252" s="26"/>
      <c r="AXL252" s="26"/>
      <c r="AXM252" s="26"/>
      <c r="AXN252" s="26"/>
      <c r="AXO252" s="26"/>
      <c r="AXP252" s="26"/>
      <c r="AXQ252" s="26"/>
      <c r="AXR252" s="26"/>
      <c r="AXS252" s="26"/>
      <c r="AXT252" s="26"/>
      <c r="AXU252" s="26"/>
      <c r="AXV252" s="26"/>
      <c r="AXW252" s="26"/>
      <c r="AXX252" s="26"/>
      <c r="AXY252" s="26"/>
      <c r="AXZ252" s="26"/>
      <c r="AYA252" s="26"/>
      <c r="AYB252" s="26"/>
      <c r="AYC252" s="26"/>
      <c r="AYD252" s="26"/>
      <c r="AYE252" s="26"/>
      <c r="AYF252" s="26"/>
      <c r="AYG252" s="26"/>
      <c r="AYH252" s="26"/>
      <c r="AYI252" s="26"/>
      <c r="AYJ252" s="26"/>
      <c r="AYK252" s="26"/>
      <c r="AYL252" s="26"/>
      <c r="AYM252" s="26"/>
      <c r="AYN252" s="26"/>
      <c r="AYO252" s="26"/>
      <c r="AYP252" s="26"/>
      <c r="AYQ252" s="26"/>
      <c r="AYR252" s="26"/>
      <c r="AYS252" s="26"/>
      <c r="AYT252" s="26"/>
      <c r="AYU252" s="26"/>
      <c r="AYV252" s="26"/>
      <c r="AYW252" s="26"/>
      <c r="AYX252" s="26"/>
      <c r="AYY252" s="26"/>
      <c r="AYZ252" s="26"/>
      <c r="AZA252" s="26"/>
      <c r="AZB252" s="26"/>
      <c r="AZC252" s="26"/>
      <c r="AZD252" s="26"/>
      <c r="AZE252" s="26"/>
      <c r="AZF252" s="26"/>
      <c r="AZG252" s="26"/>
      <c r="AZH252" s="26"/>
      <c r="AZI252" s="26"/>
      <c r="AZJ252" s="26"/>
      <c r="AZK252" s="26"/>
      <c r="AZL252" s="26"/>
      <c r="AZM252" s="26"/>
      <c r="AZN252" s="26"/>
      <c r="AZO252" s="26"/>
      <c r="AZP252" s="26"/>
      <c r="AZQ252" s="26"/>
      <c r="AZR252" s="26"/>
      <c r="AZS252" s="26"/>
      <c r="AZT252" s="26"/>
      <c r="AZU252" s="26"/>
      <c r="AZV252" s="26"/>
      <c r="AZW252" s="26"/>
      <c r="AZX252" s="26"/>
      <c r="AZY252" s="26"/>
      <c r="AZZ252" s="26"/>
      <c r="BAA252" s="26"/>
      <c r="BAB252" s="26"/>
      <c r="BAC252" s="26"/>
      <c r="BAD252" s="26"/>
      <c r="BAE252" s="26"/>
      <c r="BAF252" s="26"/>
      <c r="BAG252" s="26"/>
      <c r="BAH252" s="26"/>
      <c r="BAI252" s="26"/>
      <c r="BAJ252" s="26"/>
      <c r="BAK252" s="26"/>
      <c r="BAL252" s="26"/>
      <c r="BAM252" s="26"/>
      <c r="BAN252" s="26"/>
      <c r="BAO252" s="26"/>
      <c r="BAP252" s="26"/>
      <c r="BAQ252" s="26"/>
      <c r="BAR252" s="26"/>
      <c r="BAS252" s="26"/>
      <c r="BAT252" s="26"/>
      <c r="BAU252" s="26"/>
      <c r="BAV252" s="26"/>
      <c r="BAW252" s="26"/>
      <c r="BAX252" s="26"/>
      <c r="BAY252" s="26"/>
      <c r="BAZ252" s="26"/>
      <c r="BBA252" s="26"/>
      <c r="BBB252" s="26"/>
      <c r="BBC252" s="26"/>
      <c r="BBD252" s="26"/>
      <c r="BBE252" s="26"/>
      <c r="BBF252" s="26"/>
      <c r="BBG252" s="26"/>
      <c r="BBH252" s="26"/>
      <c r="BBI252" s="26"/>
      <c r="BBJ252" s="26"/>
      <c r="BBK252" s="26"/>
      <c r="BBL252" s="26"/>
      <c r="BBM252" s="26"/>
      <c r="BBN252" s="26"/>
      <c r="BBO252" s="26"/>
      <c r="BBP252" s="26"/>
      <c r="BBQ252" s="26"/>
      <c r="BBR252" s="26"/>
      <c r="BBS252" s="26"/>
      <c r="BBT252" s="26"/>
      <c r="BBU252" s="26"/>
      <c r="BBV252" s="26"/>
      <c r="BBW252" s="26"/>
      <c r="BBX252" s="26"/>
      <c r="BBY252" s="26"/>
      <c r="BBZ252" s="26"/>
      <c r="BCA252" s="26"/>
      <c r="BCB252" s="26"/>
      <c r="BCC252" s="26"/>
      <c r="BCD252" s="26"/>
      <c r="BCE252" s="26"/>
      <c r="BCF252" s="26"/>
      <c r="BCG252" s="26"/>
      <c r="BCH252" s="26"/>
      <c r="BCI252" s="26"/>
      <c r="BCJ252" s="26"/>
      <c r="BCK252" s="26"/>
      <c r="BCL252" s="26"/>
      <c r="BCM252" s="26"/>
      <c r="BCN252" s="26"/>
      <c r="BCO252" s="26"/>
      <c r="BCP252" s="26"/>
      <c r="BCQ252" s="26"/>
      <c r="BCR252" s="26"/>
      <c r="BCS252" s="26"/>
      <c r="BCT252" s="26"/>
      <c r="BCU252" s="26"/>
      <c r="BCV252" s="26"/>
      <c r="BCW252" s="26"/>
      <c r="BCX252" s="26"/>
      <c r="BCY252" s="26"/>
      <c r="BCZ252" s="26"/>
      <c r="BDA252" s="26"/>
      <c r="BDB252" s="26"/>
      <c r="BDC252" s="26"/>
      <c r="BDD252" s="26"/>
      <c r="BDE252" s="26"/>
      <c r="BDF252" s="26"/>
      <c r="BDG252" s="26"/>
      <c r="BDH252" s="26"/>
      <c r="BDI252" s="26"/>
      <c r="BDJ252" s="26"/>
      <c r="BDK252" s="26"/>
      <c r="BDL252" s="26"/>
      <c r="BDM252" s="26"/>
      <c r="BDN252" s="26"/>
      <c r="BDO252" s="26"/>
      <c r="BDP252" s="26"/>
      <c r="BDQ252" s="26"/>
      <c r="BDR252" s="26"/>
      <c r="BDS252" s="26"/>
      <c r="BDT252" s="26"/>
      <c r="BDU252" s="26"/>
      <c r="BDV252" s="26"/>
      <c r="BDW252" s="26"/>
      <c r="BDX252" s="26"/>
      <c r="BDY252" s="26"/>
      <c r="BDZ252" s="26"/>
      <c r="BEA252" s="26"/>
      <c r="BEB252" s="26"/>
      <c r="BEC252" s="26"/>
      <c r="BED252" s="26"/>
      <c r="BEE252" s="26"/>
      <c r="BEF252" s="26"/>
      <c r="BEG252" s="26"/>
      <c r="BEH252" s="26"/>
      <c r="BEI252" s="26"/>
      <c r="BEJ252" s="26"/>
      <c r="BEK252" s="26"/>
      <c r="BEL252" s="26"/>
      <c r="BEM252" s="26"/>
      <c r="BEN252" s="26"/>
      <c r="BEO252" s="26"/>
      <c r="BEP252" s="26"/>
      <c r="BEQ252" s="26"/>
      <c r="BER252" s="26"/>
      <c r="BES252" s="26"/>
      <c r="BET252" s="26"/>
      <c r="BEU252" s="26"/>
      <c r="BEV252" s="26"/>
      <c r="BEW252" s="26"/>
      <c r="BEX252" s="26"/>
      <c r="BEY252" s="26"/>
      <c r="BEZ252" s="26"/>
      <c r="BFA252" s="26"/>
      <c r="BFB252" s="26"/>
      <c r="BFC252" s="26"/>
      <c r="BFD252" s="26"/>
      <c r="BFE252" s="26"/>
      <c r="BFF252" s="26"/>
      <c r="BFG252" s="26"/>
      <c r="BFH252" s="26"/>
      <c r="BFI252" s="26"/>
      <c r="BFJ252" s="26"/>
      <c r="BFK252" s="26"/>
      <c r="BFL252" s="26"/>
      <c r="BFM252" s="26"/>
      <c r="BFN252" s="26"/>
      <c r="BFO252" s="26"/>
      <c r="BFP252" s="26"/>
      <c r="BFQ252" s="26"/>
      <c r="BFR252" s="26"/>
      <c r="BFS252" s="26"/>
      <c r="BFT252" s="26"/>
      <c r="BFU252" s="26"/>
      <c r="BFV252" s="26"/>
      <c r="BFW252" s="26"/>
      <c r="BFX252" s="26"/>
      <c r="BFY252" s="26"/>
      <c r="BFZ252" s="26"/>
      <c r="BGA252" s="26"/>
      <c r="BGB252" s="26"/>
      <c r="BGC252" s="26"/>
      <c r="BGD252" s="26"/>
      <c r="BGE252" s="26"/>
      <c r="BGF252" s="26"/>
      <c r="BGG252" s="26"/>
      <c r="BGH252" s="26"/>
      <c r="BGI252" s="26"/>
      <c r="BGJ252" s="26"/>
      <c r="BGK252" s="26"/>
      <c r="BGL252" s="26"/>
      <c r="BGM252" s="26"/>
      <c r="BGN252" s="26"/>
      <c r="BGO252" s="26"/>
      <c r="BGP252" s="26"/>
      <c r="BGQ252" s="26"/>
      <c r="BGR252" s="26"/>
      <c r="BGS252" s="26"/>
      <c r="BGT252" s="26"/>
      <c r="BGU252" s="26"/>
      <c r="BGV252" s="26"/>
      <c r="BGW252" s="26"/>
      <c r="BGX252" s="26"/>
      <c r="BGY252" s="26"/>
      <c r="BGZ252" s="26"/>
      <c r="BHA252" s="26"/>
      <c r="BHB252" s="26"/>
      <c r="BHC252" s="26"/>
      <c r="BHD252" s="26"/>
      <c r="BHE252" s="26"/>
      <c r="BHF252" s="26"/>
      <c r="BHG252" s="26"/>
      <c r="BHH252" s="26"/>
      <c r="BHI252" s="26"/>
      <c r="BHJ252" s="26"/>
      <c r="BHK252" s="26"/>
      <c r="BHL252" s="26"/>
      <c r="BHM252" s="26"/>
      <c r="BHN252" s="26"/>
      <c r="BHO252" s="26"/>
      <c r="BHP252" s="26"/>
      <c r="BHQ252" s="26"/>
      <c r="BHR252" s="26"/>
      <c r="BHS252" s="26"/>
      <c r="BHT252" s="26"/>
      <c r="BHU252" s="26"/>
      <c r="BHV252" s="26"/>
      <c r="BHW252" s="26"/>
      <c r="BHX252" s="26"/>
      <c r="BHY252" s="26"/>
      <c r="BHZ252" s="26"/>
      <c r="BIA252" s="26"/>
      <c r="BIB252" s="26"/>
      <c r="BIC252" s="26"/>
      <c r="BID252" s="26"/>
      <c r="BIE252" s="26"/>
      <c r="BIF252" s="26"/>
      <c r="BIG252" s="26"/>
      <c r="BIH252" s="26"/>
      <c r="BII252" s="26"/>
      <c r="BIJ252" s="26"/>
      <c r="BIK252" s="26"/>
      <c r="BIL252" s="26"/>
      <c r="BIM252" s="26"/>
      <c r="BIN252" s="26"/>
      <c r="BIO252" s="26"/>
      <c r="BIP252" s="26"/>
      <c r="BIQ252" s="26"/>
      <c r="BIR252" s="26"/>
      <c r="BIS252" s="26"/>
      <c r="BIT252" s="26"/>
      <c r="BIU252" s="26"/>
      <c r="BIV252" s="26"/>
      <c r="BIW252" s="26"/>
      <c r="BIX252" s="26"/>
      <c r="BIY252" s="26"/>
      <c r="BIZ252" s="26"/>
      <c r="BJA252" s="26"/>
      <c r="BJB252" s="26"/>
      <c r="BJC252" s="26"/>
      <c r="BJD252" s="26"/>
      <c r="BJE252" s="26"/>
      <c r="BJF252" s="26"/>
      <c r="BJG252" s="26"/>
      <c r="BJH252" s="26"/>
      <c r="BJI252" s="26"/>
      <c r="BJJ252" s="26"/>
      <c r="BJK252" s="26"/>
      <c r="BJL252" s="26"/>
      <c r="BJM252" s="26"/>
      <c r="BJN252" s="26"/>
      <c r="BJO252" s="26"/>
      <c r="BJP252" s="26"/>
      <c r="BJQ252" s="26"/>
      <c r="BJR252" s="26"/>
      <c r="BJS252" s="26"/>
      <c r="BJT252" s="26"/>
      <c r="BJU252" s="26"/>
      <c r="BJV252" s="26"/>
      <c r="BJW252" s="26"/>
      <c r="BJX252" s="26"/>
      <c r="BJY252" s="26"/>
      <c r="BJZ252" s="26"/>
      <c r="BKA252" s="26"/>
      <c r="BKB252" s="26"/>
      <c r="BKC252" s="26"/>
      <c r="BKD252" s="26"/>
      <c r="BKE252" s="26"/>
      <c r="BKF252" s="26"/>
      <c r="BKG252" s="26"/>
      <c r="BKH252" s="26"/>
      <c r="BKI252" s="26"/>
      <c r="BKJ252" s="26"/>
      <c r="BKK252" s="26"/>
      <c r="BKL252" s="26"/>
      <c r="BKM252" s="26"/>
      <c r="BKN252" s="26"/>
      <c r="BKO252" s="26"/>
      <c r="BKP252" s="26"/>
      <c r="BKQ252" s="26"/>
      <c r="BKR252" s="26"/>
      <c r="BKS252" s="26"/>
      <c r="BKT252" s="26"/>
      <c r="BKU252" s="26"/>
      <c r="BKV252" s="26"/>
      <c r="BKW252" s="26"/>
      <c r="BKX252" s="26"/>
      <c r="BKY252" s="26"/>
      <c r="BKZ252" s="26"/>
      <c r="BLA252" s="26"/>
      <c r="BLB252" s="26"/>
      <c r="BLC252" s="26"/>
      <c r="BLD252" s="26"/>
      <c r="BLE252" s="26"/>
      <c r="BLF252" s="26"/>
      <c r="BLG252" s="26"/>
      <c r="BLH252" s="26"/>
      <c r="BLI252" s="26"/>
      <c r="BLJ252" s="26"/>
      <c r="BLK252" s="26"/>
      <c r="BLL252" s="26"/>
      <c r="BLM252" s="26"/>
      <c r="BLN252" s="26"/>
      <c r="BLO252" s="26"/>
      <c r="BLP252" s="26"/>
      <c r="BLQ252" s="26"/>
      <c r="BLR252" s="26"/>
      <c r="BLS252" s="26"/>
      <c r="BLT252" s="26"/>
      <c r="BLU252" s="26"/>
      <c r="BLV252" s="26"/>
      <c r="BLW252" s="26"/>
      <c r="BLX252" s="26"/>
      <c r="BLY252" s="26"/>
      <c r="BLZ252" s="26"/>
      <c r="BMA252" s="26"/>
      <c r="BMB252" s="26"/>
      <c r="BMC252" s="26"/>
      <c r="BMD252" s="26"/>
      <c r="BME252" s="26"/>
      <c r="BMF252" s="26"/>
      <c r="BMG252" s="26"/>
      <c r="BMH252" s="26"/>
      <c r="BMI252" s="26"/>
      <c r="BMJ252" s="26"/>
      <c r="BMK252" s="26"/>
      <c r="BML252" s="26"/>
      <c r="BMM252" s="26"/>
      <c r="BMN252" s="26"/>
      <c r="BMO252" s="26"/>
      <c r="BMP252" s="26"/>
      <c r="BMQ252" s="26"/>
      <c r="BMR252" s="26"/>
      <c r="BMS252" s="26"/>
      <c r="BMT252" s="26"/>
      <c r="BMU252" s="26"/>
      <c r="BMV252" s="26"/>
      <c r="BMW252" s="26"/>
      <c r="BMX252" s="26"/>
      <c r="BMY252" s="26"/>
      <c r="BMZ252" s="26"/>
      <c r="BNA252" s="26"/>
      <c r="BNB252" s="26"/>
      <c r="BNC252" s="26"/>
      <c r="BND252" s="26"/>
      <c r="BNE252" s="26"/>
      <c r="BNF252" s="26"/>
      <c r="BNG252" s="26"/>
      <c r="BNH252" s="26"/>
      <c r="BNI252" s="26"/>
      <c r="BNJ252" s="26"/>
      <c r="BNK252" s="26"/>
      <c r="BNL252" s="26"/>
      <c r="BNM252" s="26"/>
      <c r="BNN252" s="26"/>
      <c r="BNO252" s="26"/>
      <c r="BNP252" s="26"/>
      <c r="BNQ252" s="26"/>
      <c r="BNR252" s="26"/>
      <c r="BNS252" s="26"/>
      <c r="BNT252" s="26"/>
      <c r="BNU252" s="26"/>
      <c r="BNV252" s="26"/>
      <c r="BNW252" s="26"/>
      <c r="BNX252" s="26"/>
      <c r="BNY252" s="26"/>
      <c r="BNZ252" s="26"/>
      <c r="BOA252" s="26"/>
      <c r="BOB252" s="26"/>
      <c r="BOC252" s="26"/>
      <c r="BOD252" s="26"/>
      <c r="BOE252" s="26"/>
      <c r="BOF252" s="26"/>
      <c r="BOG252" s="26"/>
      <c r="BOH252" s="26"/>
      <c r="BOI252" s="26"/>
      <c r="BOJ252" s="26"/>
      <c r="BOK252" s="26"/>
      <c r="BOL252" s="26"/>
      <c r="BOM252" s="26"/>
      <c r="BON252" s="26"/>
      <c r="BOO252" s="26"/>
      <c r="BOP252" s="26"/>
      <c r="BOQ252" s="26"/>
      <c r="BOR252" s="26"/>
      <c r="BOS252" s="26"/>
      <c r="BOT252" s="26"/>
      <c r="BOU252" s="26"/>
      <c r="BOV252" s="26"/>
      <c r="BOW252" s="26"/>
      <c r="BOX252" s="26"/>
      <c r="BOY252" s="26"/>
      <c r="BOZ252" s="26"/>
      <c r="BPA252" s="26"/>
      <c r="BPB252" s="26"/>
      <c r="BPC252" s="26"/>
      <c r="BPD252" s="26"/>
      <c r="BPE252" s="26"/>
      <c r="BPF252" s="26"/>
      <c r="BPG252" s="26"/>
      <c r="BPH252" s="26"/>
      <c r="BPI252" s="26"/>
      <c r="BPJ252" s="26"/>
      <c r="BPK252" s="26"/>
      <c r="BPL252" s="26"/>
      <c r="BPM252" s="26"/>
      <c r="BPN252" s="26"/>
      <c r="BPO252" s="26"/>
      <c r="BPP252" s="26"/>
      <c r="BPQ252" s="26"/>
      <c r="BPR252" s="26"/>
      <c r="BPS252" s="26"/>
      <c r="BPT252" s="26"/>
      <c r="BPU252" s="26"/>
      <c r="BPV252" s="26"/>
      <c r="BPW252" s="26"/>
      <c r="BPX252" s="26"/>
      <c r="BPY252" s="26"/>
      <c r="BPZ252" s="26"/>
      <c r="BQA252" s="26"/>
      <c r="BQB252" s="26"/>
      <c r="BQC252" s="26"/>
      <c r="BQD252" s="26"/>
      <c r="BQE252" s="26"/>
      <c r="BQF252" s="26"/>
      <c r="BQG252" s="26"/>
      <c r="BQH252" s="26"/>
      <c r="BQI252" s="26"/>
      <c r="BQJ252" s="26"/>
      <c r="BQK252" s="26"/>
      <c r="BQL252" s="26"/>
      <c r="BQM252" s="26"/>
      <c r="BQN252" s="26"/>
      <c r="BQO252" s="26"/>
      <c r="BQP252" s="26"/>
      <c r="BQQ252" s="26"/>
      <c r="BQR252" s="26"/>
      <c r="BQS252" s="26"/>
      <c r="BQT252" s="26"/>
      <c r="BQU252" s="26"/>
      <c r="BQV252" s="26"/>
      <c r="BQW252" s="26"/>
      <c r="BQX252" s="26"/>
      <c r="BQY252" s="26"/>
      <c r="BQZ252" s="26"/>
      <c r="BRA252" s="26"/>
      <c r="BRB252" s="26"/>
      <c r="BRC252" s="26"/>
      <c r="BRD252" s="26"/>
      <c r="BRE252" s="26"/>
      <c r="BRF252" s="26"/>
      <c r="BRG252" s="26"/>
      <c r="BRH252" s="26"/>
      <c r="BRI252" s="26"/>
      <c r="BRJ252" s="26"/>
      <c r="BRK252" s="26"/>
      <c r="BRL252" s="26"/>
      <c r="BRM252" s="26"/>
      <c r="BRN252" s="26"/>
      <c r="BRO252" s="26"/>
      <c r="BRP252" s="26"/>
      <c r="BRQ252" s="26"/>
      <c r="BRR252" s="26"/>
      <c r="BRS252" s="26"/>
      <c r="BRT252" s="26"/>
      <c r="BRU252" s="26"/>
      <c r="BRV252" s="26"/>
      <c r="BRW252" s="26"/>
      <c r="BRX252" s="26"/>
      <c r="BRY252" s="26"/>
      <c r="BRZ252" s="26"/>
      <c r="BSA252" s="26"/>
      <c r="BSB252" s="26"/>
      <c r="BSC252" s="26"/>
      <c r="BSD252" s="26"/>
      <c r="BSE252" s="26"/>
      <c r="BSF252" s="26"/>
      <c r="BSG252" s="26"/>
      <c r="BSH252" s="26"/>
      <c r="BSI252" s="26"/>
      <c r="BSJ252" s="26"/>
      <c r="BSK252" s="26"/>
      <c r="BSL252" s="26"/>
      <c r="BSM252" s="26"/>
      <c r="BSN252" s="26"/>
      <c r="BSO252" s="26"/>
      <c r="BSP252" s="26"/>
      <c r="BSQ252" s="26"/>
      <c r="BSR252" s="26"/>
      <c r="BSS252" s="26"/>
      <c r="BST252" s="26"/>
      <c r="BSU252" s="26"/>
      <c r="BSV252" s="26"/>
      <c r="BSW252" s="26"/>
      <c r="BSX252" s="26"/>
      <c r="BSY252" s="26"/>
      <c r="BSZ252" s="26"/>
      <c r="BTA252" s="26"/>
      <c r="BTB252" s="26"/>
      <c r="BTC252" s="26"/>
      <c r="BTD252" s="26"/>
      <c r="BTE252" s="26"/>
      <c r="BTF252" s="26"/>
      <c r="BTG252" s="26"/>
      <c r="BTH252" s="26"/>
      <c r="BTI252" s="26"/>
      <c r="BTJ252" s="26"/>
      <c r="BTK252" s="26"/>
      <c r="BTL252" s="26"/>
      <c r="BTM252" s="26"/>
      <c r="BTN252" s="26"/>
      <c r="BTO252" s="26"/>
      <c r="BTP252" s="26"/>
      <c r="BTQ252" s="26"/>
      <c r="BTR252" s="26"/>
      <c r="BTS252" s="26"/>
      <c r="BTT252" s="26"/>
      <c r="BTU252" s="26"/>
      <c r="BTV252" s="26"/>
      <c r="BTW252" s="26"/>
      <c r="BTX252" s="26"/>
      <c r="BTY252" s="26"/>
      <c r="BTZ252" s="26"/>
      <c r="BUA252" s="26"/>
      <c r="BUB252" s="26"/>
      <c r="BUC252" s="26"/>
      <c r="BUD252" s="26"/>
      <c r="BUE252" s="26"/>
      <c r="BUF252" s="26"/>
      <c r="BUG252" s="26"/>
      <c r="BUH252" s="26"/>
      <c r="BUI252" s="26"/>
      <c r="BUJ252" s="26"/>
      <c r="BUK252" s="26"/>
      <c r="BUL252" s="26"/>
      <c r="BUM252" s="26"/>
      <c r="BUN252" s="26"/>
      <c r="BUO252" s="26"/>
      <c r="BUP252" s="26"/>
      <c r="BUQ252" s="26"/>
      <c r="BUR252" s="26"/>
      <c r="BUS252" s="26"/>
      <c r="BUT252" s="26"/>
      <c r="BUU252" s="26"/>
      <c r="BUV252" s="26"/>
      <c r="BUW252" s="26"/>
      <c r="BUX252" s="26"/>
      <c r="BUY252" s="26"/>
      <c r="BUZ252" s="26"/>
      <c r="BVA252" s="26"/>
      <c r="BVB252" s="26"/>
      <c r="BVC252" s="26"/>
      <c r="BVD252" s="26"/>
      <c r="BVE252" s="26"/>
      <c r="BVF252" s="26"/>
      <c r="BVG252" s="26"/>
      <c r="BVH252" s="26"/>
      <c r="BVI252" s="26"/>
      <c r="BVJ252" s="26"/>
      <c r="BVK252" s="26"/>
      <c r="BVL252" s="26"/>
      <c r="BVM252" s="26"/>
      <c r="BVN252" s="26"/>
      <c r="BVO252" s="26"/>
      <c r="BVP252" s="26"/>
      <c r="BVQ252" s="26"/>
      <c r="BVR252" s="26"/>
      <c r="BVS252" s="26"/>
      <c r="BVT252" s="26"/>
      <c r="BVU252" s="26"/>
      <c r="BVV252" s="26"/>
      <c r="BVW252" s="26"/>
      <c r="BVX252" s="26"/>
      <c r="BVY252" s="26"/>
      <c r="BVZ252" s="26"/>
      <c r="BWA252" s="26"/>
      <c r="BWB252" s="26"/>
      <c r="BWC252" s="26"/>
      <c r="BWD252" s="26"/>
      <c r="BWE252" s="26"/>
      <c r="BWF252" s="26"/>
      <c r="BWG252" s="26"/>
      <c r="BWH252" s="26"/>
      <c r="BWI252" s="26"/>
      <c r="BWJ252" s="26"/>
      <c r="BWK252" s="26"/>
      <c r="BWL252" s="26"/>
      <c r="BWM252" s="26"/>
      <c r="BWN252" s="26"/>
      <c r="BWO252" s="26"/>
      <c r="BWP252" s="26"/>
      <c r="BWQ252" s="26"/>
      <c r="BWR252" s="26"/>
      <c r="BWS252" s="26"/>
      <c r="BWT252" s="26"/>
      <c r="BWU252" s="26"/>
      <c r="BWV252" s="26"/>
      <c r="BWW252" s="26"/>
      <c r="BWX252" s="26"/>
      <c r="BWY252" s="26"/>
      <c r="BWZ252" s="26"/>
      <c r="BXA252" s="26"/>
      <c r="BXB252" s="26"/>
      <c r="BXC252" s="26"/>
      <c r="BXD252" s="26"/>
      <c r="BXE252" s="26"/>
      <c r="BXF252" s="26"/>
      <c r="BXG252" s="26"/>
      <c r="BXH252" s="26"/>
      <c r="BXI252" s="26"/>
      <c r="BXJ252" s="26"/>
      <c r="BXK252" s="26"/>
      <c r="BXL252" s="26"/>
      <c r="BXM252" s="26"/>
      <c r="BXN252" s="26"/>
      <c r="BXO252" s="26"/>
      <c r="BXP252" s="26"/>
      <c r="BXQ252" s="26"/>
      <c r="BXR252" s="26"/>
      <c r="BXS252" s="26"/>
      <c r="BXT252" s="26"/>
      <c r="BXU252" s="26"/>
      <c r="BXV252" s="26"/>
      <c r="BXW252" s="26"/>
      <c r="BXX252" s="26"/>
      <c r="BXY252" s="26"/>
      <c r="BXZ252" s="26"/>
      <c r="BYA252" s="26"/>
      <c r="BYB252" s="26"/>
      <c r="BYC252" s="26"/>
      <c r="BYD252" s="26"/>
      <c r="BYE252" s="26"/>
      <c r="BYF252" s="26"/>
      <c r="BYG252" s="26"/>
      <c r="BYH252" s="26"/>
      <c r="BYI252" s="26"/>
      <c r="BYJ252" s="26"/>
      <c r="BYK252" s="26"/>
      <c r="BYL252" s="26"/>
      <c r="BYM252" s="26"/>
      <c r="BYN252" s="26"/>
      <c r="BYO252" s="26"/>
      <c r="BYP252" s="26"/>
      <c r="BYQ252" s="26"/>
      <c r="BYR252" s="26"/>
      <c r="BYS252" s="26"/>
      <c r="BYT252" s="26"/>
      <c r="BYU252" s="26"/>
      <c r="BYV252" s="26"/>
      <c r="BYW252" s="26"/>
      <c r="BYX252" s="26"/>
      <c r="BYY252" s="26"/>
      <c r="BYZ252" s="26"/>
      <c r="BZA252" s="26"/>
      <c r="BZB252" s="26"/>
      <c r="BZC252" s="26"/>
      <c r="BZD252" s="26"/>
      <c r="BZE252" s="26"/>
      <c r="BZF252" s="26"/>
      <c r="BZG252" s="26"/>
      <c r="BZH252" s="26"/>
      <c r="BZI252" s="26"/>
      <c r="BZJ252" s="26"/>
      <c r="BZK252" s="26"/>
      <c r="BZL252" s="26"/>
      <c r="BZM252" s="26"/>
      <c r="BZN252" s="26"/>
      <c r="BZO252" s="26"/>
      <c r="BZP252" s="26"/>
      <c r="BZQ252" s="26"/>
      <c r="BZR252" s="26"/>
      <c r="BZS252" s="26"/>
      <c r="BZT252" s="26"/>
      <c r="BZU252" s="26"/>
      <c r="BZV252" s="26"/>
      <c r="BZW252" s="26"/>
      <c r="BZX252" s="26"/>
      <c r="BZY252" s="26"/>
      <c r="BZZ252" s="26"/>
      <c r="CAA252" s="26"/>
      <c r="CAB252" s="26"/>
      <c r="CAC252" s="26"/>
      <c r="CAD252" s="26"/>
      <c r="CAE252" s="26"/>
      <c r="CAF252" s="26"/>
      <c r="CAG252" s="26"/>
      <c r="CAH252" s="26"/>
      <c r="CAI252" s="26"/>
      <c r="CAJ252" s="26"/>
      <c r="CAK252" s="26"/>
      <c r="CAL252" s="26"/>
      <c r="CAM252" s="26"/>
      <c r="CAN252" s="26"/>
      <c r="CAO252" s="26"/>
      <c r="CAP252" s="26"/>
      <c r="CAQ252" s="26"/>
      <c r="CAR252" s="26"/>
      <c r="CAS252" s="26"/>
      <c r="CAT252" s="26"/>
      <c r="CAU252" s="26"/>
      <c r="CAV252" s="26"/>
      <c r="CAW252" s="26"/>
      <c r="CAX252" s="26"/>
      <c r="CAY252" s="26"/>
      <c r="CAZ252" s="26"/>
      <c r="CBA252" s="26"/>
      <c r="CBB252" s="26"/>
      <c r="CBC252" s="26"/>
      <c r="CBD252" s="26"/>
      <c r="CBE252" s="26"/>
      <c r="CBF252" s="26"/>
      <c r="CBG252" s="26"/>
      <c r="CBH252" s="26"/>
      <c r="CBI252" s="26"/>
    </row>
    <row r="253" spans="1:2089" ht="14" customHeight="1">
      <c r="A253" s="27">
        <v>252</v>
      </c>
      <c r="B253" s="27" t="s">
        <v>399</v>
      </c>
      <c r="C253" s="27">
        <v>2011</v>
      </c>
      <c r="D253" s="26" t="s">
        <v>31</v>
      </c>
      <c r="E253" s="26" t="s">
        <v>566</v>
      </c>
      <c r="F253" s="77" t="s">
        <v>175</v>
      </c>
      <c r="G253" s="2" t="s">
        <v>108</v>
      </c>
      <c r="H253" s="2" t="s">
        <v>30</v>
      </c>
      <c r="I253" s="2" t="s">
        <v>548</v>
      </c>
      <c r="J253" s="2" t="s">
        <v>189</v>
      </c>
      <c r="K253" s="2" t="s">
        <v>548</v>
      </c>
      <c r="L253" s="2" t="s">
        <v>548</v>
      </c>
      <c r="M253" s="2" t="s">
        <v>175</v>
      </c>
      <c r="N253" s="2" t="s">
        <v>62</v>
      </c>
      <c r="O253" s="2" t="s">
        <v>43</v>
      </c>
      <c r="P253" s="2" t="s">
        <v>621</v>
      </c>
      <c r="Q253" s="26" t="s">
        <v>247</v>
      </c>
      <c r="R253" s="79" t="s">
        <v>613</v>
      </c>
      <c r="S253" s="88">
        <v>1</v>
      </c>
      <c r="T253" s="61">
        <v>18</v>
      </c>
      <c r="U253" s="77">
        <v>1</v>
      </c>
      <c r="V253" s="26">
        <v>1</v>
      </c>
      <c r="W253" s="26">
        <v>1</v>
      </c>
      <c r="X253" s="26">
        <v>1</v>
      </c>
      <c r="Y253" s="26">
        <v>1</v>
      </c>
      <c r="Z253" s="26">
        <v>0</v>
      </c>
      <c r="AA253" s="26">
        <v>0</v>
      </c>
      <c r="AB253" s="26">
        <v>1</v>
      </c>
      <c r="AC253" s="26">
        <v>0</v>
      </c>
      <c r="AD253" s="26">
        <v>0</v>
      </c>
      <c r="AE253" s="26">
        <f>4/18</f>
        <v>0.22222222222222221</v>
      </c>
      <c r="AF253" s="26">
        <f>14/18</f>
        <v>0.77777777777777779</v>
      </c>
      <c r="AG253" s="26" t="s">
        <v>70</v>
      </c>
      <c r="AH253" s="26" t="s">
        <v>70</v>
      </c>
      <c r="AI253" s="26" t="s">
        <v>70</v>
      </c>
      <c r="AJ253" s="26" t="s">
        <v>70</v>
      </c>
      <c r="AK253" s="26" t="s">
        <v>70</v>
      </c>
      <c r="AL253" s="26" t="s">
        <v>70</v>
      </c>
      <c r="AM253" s="61" t="s">
        <v>175</v>
      </c>
      <c r="AN253" s="26" t="s">
        <v>274</v>
      </c>
      <c r="AO253" s="35" t="s">
        <v>548</v>
      </c>
      <c r="AP253" s="35" t="s">
        <v>548</v>
      </c>
      <c r="AQ253" s="35" t="s">
        <v>175</v>
      </c>
      <c r="AR253" s="35" t="s">
        <v>548</v>
      </c>
      <c r="AS253" s="26" t="s">
        <v>548</v>
      </c>
      <c r="AT253" s="26" t="s">
        <v>70</v>
      </c>
      <c r="AU253" s="26" t="s">
        <v>70</v>
      </c>
      <c r="AV253" s="26">
        <v>8</v>
      </c>
    </row>
    <row r="254" spans="1:2089" ht="14" customHeight="1">
      <c r="A254" s="27">
        <v>253</v>
      </c>
      <c r="B254" s="27" t="s">
        <v>399</v>
      </c>
      <c r="C254" s="27">
        <v>2011</v>
      </c>
      <c r="D254" s="26" t="s">
        <v>134</v>
      </c>
      <c r="E254" s="26" t="s">
        <v>563</v>
      </c>
      <c r="F254" s="77" t="s">
        <v>175</v>
      </c>
      <c r="G254" s="2" t="s">
        <v>105</v>
      </c>
      <c r="H254" s="2" t="s">
        <v>24</v>
      </c>
      <c r="I254" s="2" t="s">
        <v>548</v>
      </c>
      <c r="J254" s="2" t="s">
        <v>189</v>
      </c>
      <c r="K254" s="2" t="s">
        <v>548</v>
      </c>
      <c r="L254" s="2" t="s">
        <v>548</v>
      </c>
      <c r="M254" s="2" t="s">
        <v>175</v>
      </c>
      <c r="N254" s="2" t="s">
        <v>62</v>
      </c>
      <c r="O254" s="2" t="s">
        <v>43</v>
      </c>
      <c r="P254" s="2" t="s">
        <v>621</v>
      </c>
      <c r="Q254" s="26" t="s">
        <v>247</v>
      </c>
      <c r="R254" s="102" t="s">
        <v>614</v>
      </c>
      <c r="S254" s="88">
        <f>1-AC254</f>
        <v>0.9</v>
      </c>
      <c r="T254" s="61">
        <v>10</v>
      </c>
      <c r="U254" s="77">
        <v>1</v>
      </c>
      <c r="V254" s="26">
        <v>1</v>
      </c>
      <c r="W254" s="26">
        <v>1</v>
      </c>
      <c r="X254" s="26">
        <v>1</v>
      </c>
      <c r="Y254" s="26">
        <v>1</v>
      </c>
      <c r="Z254" s="26">
        <v>0</v>
      </c>
      <c r="AA254" s="26">
        <v>0</v>
      </c>
      <c r="AB254" s="26">
        <v>1</v>
      </c>
      <c r="AC254" s="26">
        <v>0.1</v>
      </c>
      <c r="AD254" s="26">
        <v>0</v>
      </c>
      <c r="AE254" s="26">
        <v>0.5</v>
      </c>
      <c r="AF254" s="26">
        <v>0.4</v>
      </c>
      <c r="AG254" s="26" t="s">
        <v>70</v>
      </c>
      <c r="AH254" s="26" t="s">
        <v>70</v>
      </c>
      <c r="AI254" s="26" t="s">
        <v>70</v>
      </c>
      <c r="AJ254" s="26" t="s">
        <v>70</v>
      </c>
      <c r="AK254" s="26" t="s">
        <v>70</v>
      </c>
      <c r="AL254" s="26" t="s">
        <v>70</v>
      </c>
      <c r="AM254" s="61" t="s">
        <v>175</v>
      </c>
      <c r="AN254" s="26" t="s">
        <v>274</v>
      </c>
      <c r="AO254" s="35" t="s">
        <v>548</v>
      </c>
      <c r="AP254" s="35" t="s">
        <v>548</v>
      </c>
      <c r="AQ254" s="35" t="s">
        <v>175</v>
      </c>
      <c r="AR254" s="35" t="s">
        <v>548</v>
      </c>
      <c r="AS254" s="26" t="s">
        <v>548</v>
      </c>
      <c r="AT254" s="26" t="s">
        <v>70</v>
      </c>
      <c r="AU254" s="26" t="s">
        <v>70</v>
      </c>
      <c r="AV254" s="26">
        <v>8</v>
      </c>
    </row>
    <row r="255" spans="1:2089" s="65" customFormat="1" ht="14" customHeight="1">
      <c r="A255" s="27">
        <v>254</v>
      </c>
      <c r="B255" s="27" t="s">
        <v>399</v>
      </c>
      <c r="C255" s="27">
        <v>2011</v>
      </c>
      <c r="D255" s="26" t="s">
        <v>269</v>
      </c>
      <c r="E255" s="26" t="s">
        <v>563</v>
      </c>
      <c r="F255" s="77" t="s">
        <v>175</v>
      </c>
      <c r="G255" s="2" t="s">
        <v>106</v>
      </c>
      <c r="H255" s="2" t="s">
        <v>275</v>
      </c>
      <c r="I255" s="2" t="s">
        <v>548</v>
      </c>
      <c r="J255" s="2" t="s">
        <v>189</v>
      </c>
      <c r="K255" s="2" t="s">
        <v>548</v>
      </c>
      <c r="L255" s="2" t="s">
        <v>548</v>
      </c>
      <c r="M255" s="2" t="s">
        <v>175</v>
      </c>
      <c r="N255" s="2" t="s">
        <v>50</v>
      </c>
      <c r="O255" s="2" t="s">
        <v>43</v>
      </c>
      <c r="P255" s="2" t="s">
        <v>627</v>
      </c>
      <c r="Q255" s="2" t="s">
        <v>42</v>
      </c>
      <c r="R255" s="102" t="s">
        <v>614</v>
      </c>
      <c r="S255" s="88">
        <f>1-AC255</f>
        <v>0.53846153846153844</v>
      </c>
      <c r="T255" s="61">
        <v>13</v>
      </c>
      <c r="U255" s="77">
        <v>1</v>
      </c>
      <c r="V255" s="26">
        <v>1</v>
      </c>
      <c r="W255" s="26">
        <v>1</v>
      </c>
      <c r="X255" s="26">
        <v>1</v>
      </c>
      <c r="Y255" s="26">
        <v>1</v>
      </c>
      <c r="Z255" s="26">
        <v>0</v>
      </c>
      <c r="AA255" s="26">
        <v>0</v>
      </c>
      <c r="AB255" s="26">
        <v>1</v>
      </c>
      <c r="AC255" s="26">
        <f>6/13</f>
        <v>0.46153846153846156</v>
      </c>
      <c r="AD255" s="26">
        <f>4/13</f>
        <v>0.30769230769230771</v>
      </c>
      <c r="AE255" s="26">
        <f>2/13</f>
        <v>0.15384615384615385</v>
      </c>
      <c r="AF255" s="26">
        <f>1/13</f>
        <v>7.6923076923076927E-2</v>
      </c>
      <c r="AG255" s="26" t="s">
        <v>70</v>
      </c>
      <c r="AH255" s="26" t="s">
        <v>70</v>
      </c>
      <c r="AI255" s="26" t="s">
        <v>70</v>
      </c>
      <c r="AJ255" s="26" t="s">
        <v>70</v>
      </c>
      <c r="AK255" s="26" t="s">
        <v>70</v>
      </c>
      <c r="AL255" s="26" t="s">
        <v>70</v>
      </c>
      <c r="AM255" s="61" t="s">
        <v>175</v>
      </c>
      <c r="AN255" s="26" t="s">
        <v>274</v>
      </c>
      <c r="AO255" s="35" t="s">
        <v>548</v>
      </c>
      <c r="AP255" s="35" t="s">
        <v>548</v>
      </c>
      <c r="AQ255" s="35" t="s">
        <v>175</v>
      </c>
      <c r="AR255" s="35" t="s">
        <v>548</v>
      </c>
      <c r="AS255" s="26" t="s">
        <v>548</v>
      </c>
      <c r="AT255" s="26" t="s">
        <v>70</v>
      </c>
      <c r="AU255" s="26" t="s">
        <v>70</v>
      </c>
      <c r="AV255" s="26">
        <v>8</v>
      </c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  <c r="GR255" s="26"/>
      <c r="GS255" s="26"/>
      <c r="GT255" s="26"/>
      <c r="GU255" s="26"/>
      <c r="GV255" s="26"/>
      <c r="GW255" s="26"/>
      <c r="GX255" s="26"/>
      <c r="GY255" s="26"/>
      <c r="GZ255" s="26"/>
      <c r="HA255" s="26"/>
      <c r="HB255" s="26"/>
      <c r="HC255" s="26"/>
      <c r="HD255" s="26"/>
      <c r="HE255" s="26"/>
      <c r="HF255" s="26"/>
      <c r="HG255" s="26"/>
      <c r="HH255" s="26"/>
      <c r="HI255" s="26"/>
      <c r="HJ255" s="26"/>
      <c r="HK255" s="26"/>
      <c r="HL255" s="26"/>
      <c r="HM255" s="26"/>
      <c r="HN255" s="26"/>
      <c r="HO255" s="26"/>
      <c r="HP255" s="26"/>
      <c r="HQ255" s="26"/>
      <c r="HR255" s="26"/>
      <c r="HS255" s="26"/>
      <c r="HT255" s="26"/>
      <c r="HU255" s="26"/>
      <c r="HV255" s="26"/>
      <c r="HW255" s="26"/>
      <c r="HX255" s="26"/>
      <c r="HY255" s="26"/>
      <c r="HZ255" s="26"/>
      <c r="IA255" s="26"/>
      <c r="IB255" s="26"/>
      <c r="IC255" s="26"/>
      <c r="ID255" s="26"/>
      <c r="IE255" s="26"/>
      <c r="IF255" s="26"/>
      <c r="IG255" s="26"/>
      <c r="IH255" s="26"/>
      <c r="II255" s="26"/>
      <c r="IJ255" s="26"/>
      <c r="IK255" s="26"/>
      <c r="IL255" s="26"/>
      <c r="IM255" s="26"/>
      <c r="IN255" s="26"/>
      <c r="IO255" s="26"/>
      <c r="IP255" s="26"/>
      <c r="IQ255" s="26"/>
      <c r="IR255" s="26"/>
      <c r="IS255" s="26"/>
      <c r="IT255" s="26"/>
      <c r="IU255" s="26"/>
      <c r="IV255" s="26"/>
      <c r="IW255" s="26"/>
      <c r="IX255" s="26"/>
      <c r="IY255" s="26"/>
      <c r="IZ255" s="26"/>
      <c r="JA255" s="26"/>
      <c r="JB255" s="26"/>
      <c r="JC255" s="26"/>
      <c r="JD255" s="26"/>
      <c r="JE255" s="26"/>
      <c r="JF255" s="26"/>
      <c r="JG255" s="26"/>
      <c r="JH255" s="26"/>
      <c r="JI255" s="26"/>
      <c r="JJ255" s="26"/>
      <c r="JK255" s="26"/>
      <c r="JL255" s="26"/>
      <c r="JM255" s="26"/>
      <c r="JN255" s="26"/>
      <c r="JO255" s="26"/>
      <c r="JP255" s="26"/>
      <c r="JQ255" s="26"/>
      <c r="JR255" s="26"/>
      <c r="JS255" s="26"/>
      <c r="JT255" s="26"/>
      <c r="JU255" s="26"/>
      <c r="JV255" s="26"/>
      <c r="JW255" s="26"/>
      <c r="JX255" s="26"/>
      <c r="JY255" s="26"/>
      <c r="JZ255" s="26"/>
      <c r="KA255" s="26"/>
      <c r="KB255" s="26"/>
      <c r="KC255" s="26"/>
      <c r="KD255" s="26"/>
      <c r="KE255" s="26"/>
      <c r="KF255" s="26"/>
      <c r="KG255" s="26"/>
      <c r="KH255" s="26"/>
      <c r="KI255" s="26"/>
      <c r="KJ255" s="26"/>
      <c r="KK255" s="26"/>
      <c r="KL255" s="26"/>
      <c r="KM255" s="26"/>
      <c r="KN255" s="26"/>
      <c r="KO255" s="26"/>
      <c r="KP255" s="26"/>
      <c r="KQ255" s="26"/>
      <c r="KR255" s="26"/>
      <c r="KS255" s="26"/>
      <c r="KT255" s="26"/>
      <c r="KU255" s="26"/>
      <c r="KV255" s="26"/>
      <c r="KW255" s="26"/>
      <c r="KX255" s="26"/>
      <c r="KY255" s="26"/>
      <c r="KZ255" s="26"/>
      <c r="LA255" s="26"/>
      <c r="LB255" s="26"/>
      <c r="LC255" s="26"/>
      <c r="LD255" s="26"/>
      <c r="LE255" s="26"/>
      <c r="LF255" s="26"/>
      <c r="LG255" s="26"/>
      <c r="LH255" s="26"/>
      <c r="LI255" s="26"/>
      <c r="LJ255" s="26"/>
      <c r="LK255" s="26"/>
      <c r="LL255" s="26"/>
      <c r="LM255" s="26"/>
      <c r="LN255" s="26"/>
      <c r="LO255" s="26"/>
      <c r="LP255" s="26"/>
      <c r="LQ255" s="26"/>
      <c r="LR255" s="26"/>
      <c r="LS255" s="26"/>
      <c r="LT255" s="26"/>
      <c r="LU255" s="26"/>
      <c r="LV255" s="26"/>
      <c r="LW255" s="26"/>
      <c r="LX255" s="26"/>
      <c r="LY255" s="26"/>
      <c r="LZ255" s="26"/>
      <c r="MA255" s="26"/>
      <c r="MB255" s="26"/>
      <c r="MC255" s="26"/>
      <c r="MD255" s="26"/>
      <c r="ME255" s="26"/>
      <c r="MF255" s="26"/>
      <c r="MG255" s="26"/>
      <c r="MH255" s="26"/>
      <c r="MI255" s="26"/>
      <c r="MJ255" s="26"/>
      <c r="MK255" s="26"/>
      <c r="ML255" s="26"/>
      <c r="MM255" s="26"/>
      <c r="MN255" s="26"/>
      <c r="MO255" s="26"/>
      <c r="MP255" s="26"/>
      <c r="MQ255" s="26"/>
      <c r="MR255" s="26"/>
      <c r="MS255" s="26"/>
      <c r="MT255" s="26"/>
      <c r="MU255" s="26"/>
      <c r="MV255" s="26"/>
      <c r="MW255" s="26"/>
      <c r="MX255" s="26"/>
      <c r="MY255" s="26"/>
      <c r="MZ255" s="26"/>
      <c r="NA255" s="26"/>
      <c r="NB255" s="26"/>
      <c r="NC255" s="26"/>
      <c r="ND255" s="26"/>
      <c r="NE255" s="26"/>
      <c r="NF255" s="26"/>
      <c r="NG255" s="26"/>
      <c r="NH255" s="26"/>
      <c r="NI255" s="26"/>
      <c r="NJ255" s="26"/>
      <c r="NK255" s="26"/>
      <c r="NL255" s="26"/>
      <c r="NM255" s="26"/>
      <c r="NN255" s="26"/>
      <c r="NO255" s="26"/>
      <c r="NP255" s="26"/>
      <c r="NQ255" s="26"/>
      <c r="NR255" s="26"/>
      <c r="NS255" s="26"/>
      <c r="NT255" s="26"/>
      <c r="NU255" s="26"/>
      <c r="NV255" s="26"/>
      <c r="NW255" s="26"/>
      <c r="NX255" s="26"/>
      <c r="NY255" s="26"/>
      <c r="NZ255" s="26"/>
      <c r="OA255" s="26"/>
      <c r="OB255" s="26"/>
      <c r="OC255" s="26"/>
      <c r="OD255" s="26"/>
      <c r="OE255" s="26"/>
      <c r="OF255" s="26"/>
      <c r="OG255" s="26"/>
      <c r="OH255" s="26"/>
      <c r="OI255" s="26"/>
      <c r="OJ255" s="26"/>
      <c r="OK255" s="26"/>
      <c r="OL255" s="26"/>
      <c r="OM255" s="26"/>
      <c r="ON255" s="26"/>
      <c r="OO255" s="26"/>
      <c r="OP255" s="26"/>
      <c r="OQ255" s="26"/>
      <c r="OR255" s="26"/>
      <c r="OS255" s="26"/>
      <c r="OT255" s="26"/>
      <c r="OU255" s="26"/>
      <c r="OV255" s="26"/>
      <c r="OW255" s="26"/>
      <c r="OX255" s="26"/>
      <c r="OY255" s="26"/>
      <c r="OZ255" s="26"/>
      <c r="PA255" s="26"/>
      <c r="PB255" s="26"/>
      <c r="PC255" s="26"/>
      <c r="PD255" s="26"/>
      <c r="PE255" s="26"/>
      <c r="PF255" s="26"/>
      <c r="PG255" s="26"/>
      <c r="PH255" s="26"/>
      <c r="PI255" s="26"/>
      <c r="PJ255" s="26"/>
      <c r="PK255" s="26"/>
      <c r="PL255" s="26"/>
      <c r="PM255" s="26"/>
      <c r="PN255" s="26"/>
      <c r="PO255" s="26"/>
      <c r="PP255" s="26"/>
      <c r="PQ255" s="26"/>
      <c r="PR255" s="26"/>
      <c r="PS255" s="26"/>
      <c r="PT255" s="26"/>
      <c r="PU255" s="26"/>
      <c r="PV255" s="26"/>
      <c r="PW255" s="26"/>
      <c r="PX255" s="26"/>
      <c r="PY255" s="26"/>
      <c r="PZ255" s="26"/>
      <c r="QA255" s="26"/>
      <c r="QB255" s="26"/>
      <c r="QC255" s="26"/>
      <c r="QD255" s="26"/>
      <c r="QE255" s="26"/>
      <c r="QF255" s="26"/>
      <c r="QG255" s="26"/>
      <c r="QH255" s="26"/>
      <c r="QI255" s="26"/>
      <c r="QJ255" s="26"/>
      <c r="QK255" s="26"/>
      <c r="QL255" s="26"/>
      <c r="QM255" s="26"/>
      <c r="QN255" s="26"/>
      <c r="QO255" s="26"/>
      <c r="QP255" s="26"/>
      <c r="QQ255" s="26"/>
      <c r="QR255" s="26"/>
      <c r="QS255" s="26"/>
      <c r="QT255" s="26"/>
      <c r="QU255" s="26"/>
      <c r="QV255" s="26"/>
      <c r="QW255" s="26"/>
      <c r="QX255" s="26"/>
      <c r="QY255" s="26"/>
      <c r="QZ255" s="26"/>
      <c r="RA255" s="26"/>
      <c r="RB255" s="26"/>
      <c r="RC255" s="26"/>
      <c r="RD255" s="26"/>
      <c r="RE255" s="26"/>
      <c r="RF255" s="26"/>
      <c r="RG255" s="26"/>
      <c r="RH255" s="26"/>
      <c r="RI255" s="26"/>
      <c r="RJ255" s="26"/>
      <c r="RK255" s="26"/>
      <c r="RL255" s="26"/>
      <c r="RM255" s="26"/>
      <c r="RN255" s="26"/>
      <c r="RO255" s="26"/>
      <c r="RP255" s="26"/>
      <c r="RQ255" s="26"/>
      <c r="RR255" s="26"/>
      <c r="RS255" s="26"/>
      <c r="RT255" s="26"/>
      <c r="RU255" s="26"/>
      <c r="RV255" s="26"/>
      <c r="RW255" s="26"/>
      <c r="RX255" s="26"/>
      <c r="RY255" s="26"/>
      <c r="RZ255" s="26"/>
      <c r="SA255" s="26"/>
      <c r="SB255" s="26"/>
      <c r="SC255" s="26"/>
      <c r="SD255" s="26"/>
      <c r="SE255" s="26"/>
      <c r="SF255" s="26"/>
      <c r="SG255" s="26"/>
      <c r="SH255" s="26"/>
      <c r="SI255" s="26"/>
      <c r="SJ255" s="26"/>
      <c r="SK255" s="26"/>
      <c r="SL255" s="26"/>
      <c r="SM255" s="26"/>
      <c r="SN255" s="26"/>
      <c r="SO255" s="26"/>
      <c r="SP255" s="26"/>
      <c r="SQ255" s="26"/>
      <c r="SR255" s="26"/>
      <c r="SS255" s="26"/>
      <c r="ST255" s="26"/>
      <c r="SU255" s="26"/>
      <c r="SV255" s="26"/>
      <c r="SW255" s="26"/>
      <c r="SX255" s="26"/>
      <c r="SY255" s="26"/>
      <c r="SZ255" s="26"/>
      <c r="TA255" s="26"/>
      <c r="TB255" s="26"/>
      <c r="TC255" s="26"/>
      <c r="TD255" s="26"/>
      <c r="TE255" s="26"/>
      <c r="TF255" s="26"/>
      <c r="TG255" s="26"/>
      <c r="TH255" s="26"/>
      <c r="TI255" s="26"/>
      <c r="TJ255" s="26"/>
      <c r="TK255" s="26"/>
      <c r="TL255" s="26"/>
      <c r="TM255" s="26"/>
      <c r="TN255" s="26"/>
      <c r="TO255" s="26"/>
      <c r="TP255" s="26"/>
      <c r="TQ255" s="26"/>
      <c r="TR255" s="26"/>
      <c r="TS255" s="26"/>
      <c r="TT255" s="26"/>
      <c r="TU255" s="26"/>
      <c r="TV255" s="26"/>
      <c r="TW255" s="26"/>
      <c r="TX255" s="26"/>
      <c r="TY255" s="26"/>
      <c r="TZ255" s="26"/>
      <c r="UA255" s="26"/>
      <c r="UB255" s="26"/>
      <c r="UC255" s="26"/>
      <c r="UD255" s="26"/>
      <c r="UE255" s="26"/>
      <c r="UF255" s="26"/>
      <c r="UG255" s="26"/>
      <c r="UH255" s="26"/>
      <c r="UI255" s="26"/>
      <c r="UJ255" s="26"/>
      <c r="UK255" s="26"/>
      <c r="UL255" s="26"/>
      <c r="UM255" s="26"/>
      <c r="UN255" s="26"/>
      <c r="UO255" s="26"/>
      <c r="UP255" s="26"/>
      <c r="UQ255" s="26"/>
      <c r="UR255" s="26"/>
      <c r="US255" s="26"/>
      <c r="UT255" s="26"/>
      <c r="UU255" s="26"/>
      <c r="UV255" s="26"/>
      <c r="UW255" s="26"/>
      <c r="UX255" s="26"/>
      <c r="UY255" s="26"/>
      <c r="UZ255" s="26"/>
      <c r="VA255" s="26"/>
      <c r="VB255" s="26"/>
      <c r="VC255" s="26"/>
      <c r="VD255" s="26"/>
      <c r="VE255" s="26"/>
      <c r="VF255" s="26"/>
      <c r="VG255" s="26"/>
      <c r="VH255" s="26"/>
      <c r="VI255" s="26"/>
      <c r="VJ255" s="26"/>
      <c r="VK255" s="26"/>
      <c r="VL255" s="26"/>
      <c r="VM255" s="26"/>
      <c r="VN255" s="26"/>
      <c r="VO255" s="26"/>
      <c r="VP255" s="26"/>
      <c r="VQ255" s="26"/>
      <c r="VR255" s="26"/>
      <c r="VS255" s="26"/>
      <c r="VT255" s="26"/>
      <c r="VU255" s="26"/>
      <c r="VV255" s="26"/>
      <c r="VW255" s="26"/>
      <c r="VX255" s="26"/>
      <c r="VY255" s="26"/>
      <c r="VZ255" s="26"/>
      <c r="WA255" s="26"/>
      <c r="WB255" s="26"/>
      <c r="WC255" s="26"/>
      <c r="WD255" s="26"/>
      <c r="WE255" s="26"/>
      <c r="WF255" s="26"/>
      <c r="WG255" s="26"/>
      <c r="WH255" s="26"/>
      <c r="WI255" s="26"/>
      <c r="WJ255" s="26"/>
      <c r="WK255" s="26"/>
      <c r="WL255" s="26"/>
      <c r="WM255" s="26"/>
      <c r="WN255" s="26"/>
      <c r="WO255" s="26"/>
      <c r="WP255" s="26"/>
      <c r="WQ255" s="26"/>
      <c r="WR255" s="26"/>
      <c r="WS255" s="26"/>
      <c r="WT255" s="26"/>
      <c r="WU255" s="26"/>
      <c r="WV255" s="26"/>
      <c r="WW255" s="26"/>
      <c r="WX255" s="26"/>
      <c r="WY255" s="26"/>
      <c r="WZ255" s="26"/>
      <c r="XA255" s="26"/>
      <c r="XB255" s="26"/>
      <c r="XC255" s="26"/>
      <c r="XD255" s="26"/>
      <c r="XE255" s="26"/>
      <c r="XF255" s="26"/>
      <c r="XG255" s="26"/>
      <c r="XH255" s="26"/>
      <c r="XI255" s="26"/>
      <c r="XJ255" s="26"/>
      <c r="XK255" s="26"/>
      <c r="XL255" s="26"/>
      <c r="XM255" s="26"/>
      <c r="XN255" s="26"/>
      <c r="XO255" s="26"/>
      <c r="XP255" s="26"/>
      <c r="XQ255" s="26"/>
      <c r="XR255" s="26"/>
      <c r="XS255" s="26"/>
      <c r="XT255" s="26"/>
      <c r="XU255" s="26"/>
      <c r="XV255" s="26"/>
      <c r="XW255" s="26"/>
      <c r="XX255" s="26"/>
      <c r="XY255" s="26"/>
      <c r="XZ255" s="26"/>
      <c r="YA255" s="26"/>
      <c r="YB255" s="26"/>
      <c r="YC255" s="26"/>
      <c r="YD255" s="26"/>
      <c r="YE255" s="26"/>
      <c r="YF255" s="26"/>
      <c r="YG255" s="26"/>
      <c r="YH255" s="26"/>
      <c r="YI255" s="26"/>
      <c r="YJ255" s="26"/>
      <c r="YK255" s="26"/>
      <c r="YL255" s="26"/>
      <c r="YM255" s="26"/>
      <c r="YN255" s="26"/>
      <c r="YO255" s="26"/>
      <c r="YP255" s="26"/>
      <c r="YQ255" s="26"/>
      <c r="YR255" s="26"/>
      <c r="YS255" s="26"/>
      <c r="YT255" s="26"/>
      <c r="YU255" s="26"/>
      <c r="YV255" s="26"/>
      <c r="YW255" s="26"/>
      <c r="YX255" s="26"/>
      <c r="YY255" s="26"/>
      <c r="YZ255" s="26"/>
      <c r="ZA255" s="26"/>
      <c r="ZB255" s="26"/>
      <c r="ZC255" s="26"/>
      <c r="ZD255" s="26"/>
      <c r="ZE255" s="26"/>
      <c r="ZF255" s="26"/>
      <c r="ZG255" s="26"/>
      <c r="ZH255" s="26"/>
      <c r="ZI255" s="26"/>
      <c r="ZJ255" s="26"/>
      <c r="ZK255" s="26"/>
      <c r="ZL255" s="26"/>
      <c r="ZM255" s="26"/>
      <c r="ZN255" s="26"/>
      <c r="ZO255" s="26"/>
      <c r="ZP255" s="26"/>
      <c r="ZQ255" s="26"/>
      <c r="ZR255" s="26"/>
      <c r="ZS255" s="26"/>
      <c r="ZT255" s="26"/>
      <c r="ZU255" s="26"/>
      <c r="ZV255" s="26"/>
      <c r="ZW255" s="26"/>
      <c r="ZX255" s="26"/>
      <c r="ZY255" s="26"/>
      <c r="ZZ255" s="26"/>
      <c r="AAA255" s="26"/>
      <c r="AAB255" s="26"/>
      <c r="AAC255" s="26"/>
      <c r="AAD255" s="26"/>
      <c r="AAE255" s="26"/>
      <c r="AAF255" s="26"/>
      <c r="AAG255" s="26"/>
      <c r="AAH255" s="26"/>
      <c r="AAI255" s="26"/>
      <c r="AAJ255" s="26"/>
      <c r="AAK255" s="26"/>
      <c r="AAL255" s="26"/>
      <c r="AAM255" s="26"/>
      <c r="AAN255" s="26"/>
      <c r="AAO255" s="26"/>
      <c r="AAP255" s="26"/>
      <c r="AAQ255" s="26"/>
      <c r="AAR255" s="26"/>
      <c r="AAS255" s="26"/>
      <c r="AAT255" s="26"/>
      <c r="AAU255" s="26"/>
      <c r="AAV255" s="26"/>
      <c r="AAW255" s="26"/>
      <c r="AAX255" s="26"/>
      <c r="AAY255" s="26"/>
      <c r="AAZ255" s="26"/>
      <c r="ABA255" s="26"/>
      <c r="ABB255" s="26"/>
      <c r="ABC255" s="26"/>
      <c r="ABD255" s="26"/>
      <c r="ABE255" s="26"/>
      <c r="ABF255" s="26"/>
      <c r="ABG255" s="26"/>
      <c r="ABH255" s="26"/>
      <c r="ABI255" s="26"/>
      <c r="ABJ255" s="26"/>
      <c r="ABK255" s="26"/>
      <c r="ABL255" s="26"/>
      <c r="ABM255" s="26"/>
      <c r="ABN255" s="26"/>
      <c r="ABO255" s="26"/>
      <c r="ABP255" s="26"/>
      <c r="ABQ255" s="26"/>
      <c r="ABR255" s="26"/>
      <c r="ABS255" s="26"/>
      <c r="ABT255" s="26"/>
      <c r="ABU255" s="26"/>
      <c r="ABV255" s="26"/>
      <c r="ABW255" s="26"/>
      <c r="ABX255" s="26"/>
      <c r="ABY255" s="26"/>
      <c r="ABZ255" s="26"/>
      <c r="ACA255" s="26"/>
      <c r="ACB255" s="26"/>
      <c r="ACC255" s="26"/>
      <c r="ACD255" s="26"/>
      <c r="ACE255" s="26"/>
      <c r="ACF255" s="26"/>
      <c r="ACG255" s="26"/>
      <c r="ACH255" s="26"/>
      <c r="ACI255" s="26"/>
      <c r="ACJ255" s="26"/>
      <c r="ACK255" s="26"/>
      <c r="ACL255" s="26"/>
      <c r="ACM255" s="26"/>
      <c r="ACN255" s="26"/>
      <c r="ACO255" s="26"/>
      <c r="ACP255" s="26"/>
      <c r="ACQ255" s="26"/>
      <c r="ACR255" s="26"/>
      <c r="ACS255" s="26"/>
      <c r="ACT255" s="26"/>
      <c r="ACU255" s="26"/>
      <c r="ACV255" s="26"/>
      <c r="ACW255" s="26"/>
      <c r="ACX255" s="26"/>
      <c r="ACY255" s="26"/>
      <c r="ACZ255" s="26"/>
      <c r="ADA255" s="26"/>
      <c r="ADB255" s="26"/>
      <c r="ADC255" s="26"/>
      <c r="ADD255" s="26"/>
      <c r="ADE255" s="26"/>
      <c r="ADF255" s="26"/>
      <c r="ADG255" s="26"/>
      <c r="ADH255" s="26"/>
      <c r="ADI255" s="26"/>
      <c r="ADJ255" s="26"/>
      <c r="ADK255" s="26"/>
      <c r="ADL255" s="26"/>
      <c r="ADM255" s="26"/>
      <c r="ADN255" s="26"/>
      <c r="ADO255" s="26"/>
      <c r="ADP255" s="26"/>
      <c r="ADQ255" s="26"/>
      <c r="ADR255" s="26"/>
      <c r="ADS255" s="26"/>
      <c r="ADT255" s="26"/>
      <c r="ADU255" s="26"/>
      <c r="ADV255" s="26"/>
      <c r="ADW255" s="26"/>
      <c r="ADX255" s="26"/>
      <c r="ADY255" s="26"/>
      <c r="ADZ255" s="26"/>
      <c r="AEA255" s="26"/>
      <c r="AEB255" s="26"/>
      <c r="AEC255" s="26"/>
      <c r="AED255" s="26"/>
      <c r="AEE255" s="26"/>
      <c r="AEF255" s="26"/>
      <c r="AEG255" s="26"/>
      <c r="AEH255" s="26"/>
      <c r="AEI255" s="26"/>
      <c r="AEJ255" s="26"/>
      <c r="AEK255" s="26"/>
      <c r="AEL255" s="26"/>
      <c r="AEM255" s="26"/>
      <c r="AEN255" s="26"/>
      <c r="AEO255" s="26"/>
      <c r="AEP255" s="26"/>
      <c r="AEQ255" s="26"/>
      <c r="AER255" s="26"/>
      <c r="AES255" s="26"/>
      <c r="AET255" s="26"/>
      <c r="AEU255" s="26"/>
      <c r="AEV255" s="26"/>
      <c r="AEW255" s="26"/>
      <c r="AEX255" s="26"/>
      <c r="AEY255" s="26"/>
      <c r="AEZ255" s="26"/>
      <c r="AFA255" s="26"/>
      <c r="AFB255" s="26"/>
      <c r="AFC255" s="26"/>
      <c r="AFD255" s="26"/>
      <c r="AFE255" s="26"/>
      <c r="AFF255" s="26"/>
      <c r="AFG255" s="26"/>
      <c r="AFH255" s="26"/>
      <c r="AFI255" s="26"/>
      <c r="AFJ255" s="26"/>
      <c r="AFK255" s="26"/>
      <c r="AFL255" s="26"/>
      <c r="AFM255" s="26"/>
      <c r="AFN255" s="26"/>
      <c r="AFO255" s="26"/>
      <c r="AFP255" s="26"/>
      <c r="AFQ255" s="26"/>
      <c r="AFR255" s="26"/>
      <c r="AFS255" s="26"/>
      <c r="AFT255" s="26"/>
      <c r="AFU255" s="26"/>
      <c r="AFV255" s="26"/>
      <c r="AFW255" s="26"/>
      <c r="AFX255" s="26"/>
      <c r="AFY255" s="26"/>
      <c r="AFZ255" s="26"/>
      <c r="AGA255" s="26"/>
      <c r="AGB255" s="26"/>
      <c r="AGC255" s="26"/>
      <c r="AGD255" s="26"/>
      <c r="AGE255" s="26"/>
      <c r="AGF255" s="26"/>
      <c r="AGG255" s="26"/>
      <c r="AGH255" s="26"/>
      <c r="AGI255" s="26"/>
      <c r="AGJ255" s="26"/>
      <c r="AGK255" s="26"/>
      <c r="AGL255" s="26"/>
      <c r="AGM255" s="26"/>
      <c r="AGN255" s="26"/>
      <c r="AGO255" s="26"/>
      <c r="AGP255" s="26"/>
      <c r="AGQ255" s="26"/>
      <c r="AGR255" s="26"/>
      <c r="AGS255" s="26"/>
      <c r="AGT255" s="26"/>
      <c r="AGU255" s="26"/>
      <c r="AGV255" s="26"/>
      <c r="AGW255" s="26"/>
      <c r="AGX255" s="26"/>
      <c r="AGY255" s="26"/>
      <c r="AGZ255" s="26"/>
      <c r="AHA255" s="26"/>
      <c r="AHB255" s="26"/>
      <c r="AHC255" s="26"/>
      <c r="AHD255" s="26"/>
      <c r="AHE255" s="26"/>
      <c r="AHF255" s="26"/>
      <c r="AHG255" s="26"/>
      <c r="AHH255" s="26"/>
      <c r="AHI255" s="26"/>
      <c r="AHJ255" s="26"/>
      <c r="AHK255" s="26"/>
      <c r="AHL255" s="26"/>
      <c r="AHM255" s="26"/>
      <c r="AHN255" s="26"/>
      <c r="AHO255" s="26"/>
      <c r="AHP255" s="26"/>
      <c r="AHQ255" s="26"/>
      <c r="AHR255" s="26"/>
      <c r="AHS255" s="26"/>
      <c r="AHT255" s="26"/>
      <c r="AHU255" s="26"/>
      <c r="AHV255" s="26"/>
      <c r="AHW255" s="26"/>
      <c r="AHX255" s="26"/>
      <c r="AHY255" s="26"/>
      <c r="AHZ255" s="26"/>
      <c r="AIA255" s="26"/>
      <c r="AIB255" s="26"/>
      <c r="AIC255" s="26"/>
      <c r="AID255" s="26"/>
      <c r="AIE255" s="26"/>
      <c r="AIF255" s="26"/>
      <c r="AIG255" s="26"/>
      <c r="AIH255" s="26"/>
      <c r="AII255" s="26"/>
      <c r="AIJ255" s="26"/>
      <c r="AIK255" s="26"/>
      <c r="AIL255" s="26"/>
      <c r="AIM255" s="26"/>
      <c r="AIN255" s="26"/>
      <c r="AIO255" s="26"/>
      <c r="AIP255" s="26"/>
      <c r="AIQ255" s="26"/>
      <c r="AIR255" s="26"/>
      <c r="AIS255" s="26"/>
      <c r="AIT255" s="26"/>
      <c r="AIU255" s="26"/>
      <c r="AIV255" s="26"/>
      <c r="AIW255" s="26"/>
      <c r="AIX255" s="26"/>
      <c r="AIY255" s="26"/>
      <c r="AIZ255" s="26"/>
      <c r="AJA255" s="26"/>
      <c r="AJB255" s="26"/>
      <c r="AJC255" s="26"/>
      <c r="AJD255" s="26"/>
      <c r="AJE255" s="26"/>
      <c r="AJF255" s="26"/>
      <c r="AJG255" s="26"/>
      <c r="AJH255" s="26"/>
      <c r="AJI255" s="26"/>
      <c r="AJJ255" s="26"/>
      <c r="AJK255" s="26"/>
      <c r="AJL255" s="26"/>
      <c r="AJM255" s="26"/>
      <c r="AJN255" s="26"/>
      <c r="AJO255" s="26"/>
      <c r="AJP255" s="26"/>
      <c r="AJQ255" s="26"/>
      <c r="AJR255" s="26"/>
      <c r="AJS255" s="26"/>
      <c r="AJT255" s="26"/>
      <c r="AJU255" s="26"/>
      <c r="AJV255" s="26"/>
      <c r="AJW255" s="26"/>
      <c r="AJX255" s="26"/>
      <c r="AJY255" s="26"/>
      <c r="AJZ255" s="26"/>
      <c r="AKA255" s="26"/>
      <c r="AKB255" s="26"/>
      <c r="AKC255" s="26"/>
      <c r="AKD255" s="26"/>
      <c r="AKE255" s="26"/>
      <c r="AKF255" s="26"/>
      <c r="AKG255" s="26"/>
      <c r="AKH255" s="26"/>
      <c r="AKI255" s="26"/>
      <c r="AKJ255" s="26"/>
      <c r="AKK255" s="26"/>
      <c r="AKL255" s="26"/>
      <c r="AKM255" s="26"/>
      <c r="AKN255" s="26"/>
      <c r="AKO255" s="26"/>
      <c r="AKP255" s="26"/>
      <c r="AKQ255" s="26"/>
      <c r="AKR255" s="26"/>
      <c r="AKS255" s="26"/>
      <c r="AKT255" s="26"/>
      <c r="AKU255" s="26"/>
      <c r="AKV255" s="26"/>
      <c r="AKW255" s="26"/>
      <c r="AKX255" s="26"/>
      <c r="AKY255" s="26"/>
      <c r="AKZ255" s="26"/>
      <c r="ALA255" s="26"/>
      <c r="ALB255" s="26"/>
      <c r="ALC255" s="26"/>
      <c r="ALD255" s="26"/>
      <c r="ALE255" s="26"/>
      <c r="ALF255" s="26"/>
      <c r="ALG255" s="26"/>
      <c r="ALH255" s="26"/>
      <c r="ALI255" s="26"/>
      <c r="ALJ255" s="26"/>
      <c r="ALK255" s="26"/>
      <c r="ALL255" s="26"/>
      <c r="ALM255" s="26"/>
      <c r="ALN255" s="26"/>
      <c r="ALO255" s="26"/>
      <c r="ALP255" s="26"/>
      <c r="ALQ255" s="26"/>
      <c r="ALR255" s="26"/>
      <c r="ALS255" s="26"/>
      <c r="ALT255" s="26"/>
      <c r="ALU255" s="26"/>
      <c r="ALV255" s="26"/>
      <c r="ALW255" s="26"/>
      <c r="ALX255" s="26"/>
      <c r="ALY255" s="26"/>
      <c r="ALZ255" s="26"/>
      <c r="AMA255" s="26"/>
      <c r="AMB255" s="26"/>
      <c r="AMC255" s="26"/>
      <c r="AMD255" s="26"/>
      <c r="AME255" s="26"/>
      <c r="AMF255" s="26"/>
      <c r="AMG255" s="26"/>
      <c r="AMH255" s="26"/>
      <c r="AMI255" s="26"/>
      <c r="AMJ255" s="26"/>
      <c r="AMK255" s="26"/>
      <c r="AML255" s="26"/>
      <c r="AMM255" s="26"/>
      <c r="AMN255" s="26"/>
      <c r="AMO255" s="26"/>
      <c r="AMP255" s="26"/>
      <c r="AMQ255" s="26"/>
      <c r="AMR255" s="26"/>
      <c r="AMS255" s="26"/>
      <c r="AMT255" s="26"/>
      <c r="AMU255" s="26"/>
      <c r="AMV255" s="26"/>
      <c r="AMW255" s="26"/>
      <c r="AMX255" s="26"/>
      <c r="AMY255" s="26"/>
      <c r="AMZ255" s="26"/>
      <c r="ANA255" s="26"/>
      <c r="ANB255" s="26"/>
      <c r="ANC255" s="26"/>
      <c r="AND255" s="26"/>
      <c r="ANE255" s="26"/>
      <c r="ANF255" s="26"/>
      <c r="ANG255" s="26"/>
      <c r="ANH255" s="26"/>
      <c r="ANI255" s="26"/>
      <c r="ANJ255" s="26"/>
      <c r="ANK255" s="26"/>
      <c r="ANL255" s="26"/>
      <c r="ANM255" s="26"/>
      <c r="ANN255" s="26"/>
      <c r="ANO255" s="26"/>
      <c r="ANP255" s="26"/>
      <c r="ANQ255" s="26"/>
      <c r="ANR255" s="26"/>
      <c r="ANS255" s="26"/>
      <c r="ANT255" s="26"/>
      <c r="ANU255" s="26"/>
      <c r="ANV255" s="26"/>
      <c r="ANW255" s="26"/>
      <c r="ANX255" s="26"/>
      <c r="ANY255" s="26"/>
      <c r="ANZ255" s="26"/>
      <c r="AOA255" s="26"/>
      <c r="AOB255" s="26"/>
      <c r="AOC255" s="26"/>
      <c r="AOD255" s="26"/>
      <c r="AOE255" s="26"/>
      <c r="AOF255" s="26"/>
      <c r="AOG255" s="26"/>
      <c r="AOH255" s="26"/>
      <c r="AOI255" s="26"/>
      <c r="AOJ255" s="26"/>
      <c r="AOK255" s="26"/>
      <c r="AOL255" s="26"/>
      <c r="AOM255" s="26"/>
      <c r="AON255" s="26"/>
      <c r="AOO255" s="26"/>
      <c r="AOP255" s="26"/>
      <c r="AOQ255" s="26"/>
      <c r="AOR255" s="26"/>
      <c r="AOS255" s="26"/>
      <c r="AOT255" s="26"/>
      <c r="AOU255" s="26"/>
      <c r="AOV255" s="26"/>
      <c r="AOW255" s="26"/>
      <c r="AOX255" s="26"/>
      <c r="AOY255" s="26"/>
      <c r="AOZ255" s="26"/>
      <c r="APA255" s="26"/>
      <c r="APB255" s="26"/>
      <c r="APC255" s="26"/>
      <c r="APD255" s="26"/>
      <c r="APE255" s="26"/>
      <c r="APF255" s="26"/>
      <c r="APG255" s="26"/>
      <c r="APH255" s="26"/>
      <c r="API255" s="26"/>
      <c r="APJ255" s="26"/>
      <c r="APK255" s="26"/>
      <c r="APL255" s="26"/>
      <c r="APM255" s="26"/>
      <c r="APN255" s="26"/>
      <c r="APO255" s="26"/>
      <c r="APP255" s="26"/>
      <c r="APQ255" s="26"/>
      <c r="APR255" s="26"/>
      <c r="APS255" s="26"/>
      <c r="APT255" s="26"/>
      <c r="APU255" s="26"/>
      <c r="APV255" s="26"/>
      <c r="APW255" s="26"/>
      <c r="APX255" s="26"/>
      <c r="APY255" s="26"/>
      <c r="APZ255" s="26"/>
      <c r="AQA255" s="26"/>
      <c r="AQB255" s="26"/>
      <c r="AQC255" s="26"/>
      <c r="AQD255" s="26"/>
      <c r="AQE255" s="26"/>
      <c r="AQF255" s="26"/>
      <c r="AQG255" s="26"/>
      <c r="AQH255" s="26"/>
      <c r="AQI255" s="26"/>
      <c r="AQJ255" s="26"/>
      <c r="AQK255" s="26"/>
      <c r="AQL255" s="26"/>
      <c r="AQM255" s="26"/>
      <c r="AQN255" s="26"/>
      <c r="AQO255" s="26"/>
      <c r="AQP255" s="26"/>
      <c r="AQQ255" s="26"/>
      <c r="AQR255" s="26"/>
      <c r="AQS255" s="26"/>
      <c r="AQT255" s="26"/>
      <c r="AQU255" s="26"/>
      <c r="AQV255" s="26"/>
      <c r="AQW255" s="26"/>
      <c r="AQX255" s="26"/>
      <c r="AQY255" s="26"/>
      <c r="AQZ255" s="26"/>
      <c r="ARA255" s="26"/>
      <c r="ARB255" s="26"/>
      <c r="ARC255" s="26"/>
      <c r="ARD255" s="26"/>
      <c r="ARE255" s="26"/>
      <c r="ARF255" s="26"/>
      <c r="ARG255" s="26"/>
      <c r="ARH255" s="26"/>
      <c r="ARI255" s="26"/>
      <c r="ARJ255" s="26"/>
      <c r="ARK255" s="26"/>
      <c r="ARL255" s="26"/>
      <c r="ARM255" s="26"/>
      <c r="ARN255" s="26"/>
      <c r="ARO255" s="26"/>
      <c r="ARP255" s="26"/>
      <c r="ARQ255" s="26"/>
      <c r="ARR255" s="26"/>
      <c r="ARS255" s="26"/>
      <c r="ART255" s="26"/>
      <c r="ARU255" s="26"/>
      <c r="ARV255" s="26"/>
      <c r="ARW255" s="26"/>
      <c r="ARX255" s="26"/>
      <c r="ARY255" s="26"/>
      <c r="ARZ255" s="26"/>
      <c r="ASA255" s="26"/>
      <c r="ASB255" s="26"/>
      <c r="ASC255" s="26"/>
      <c r="ASD255" s="26"/>
      <c r="ASE255" s="26"/>
      <c r="ASF255" s="26"/>
      <c r="ASG255" s="26"/>
      <c r="ASH255" s="26"/>
      <c r="ASI255" s="26"/>
      <c r="ASJ255" s="26"/>
      <c r="ASK255" s="26"/>
      <c r="ASL255" s="26"/>
      <c r="ASM255" s="26"/>
      <c r="ASN255" s="26"/>
      <c r="ASO255" s="26"/>
      <c r="ASP255" s="26"/>
      <c r="ASQ255" s="26"/>
      <c r="ASR255" s="26"/>
      <c r="ASS255" s="26"/>
      <c r="AST255" s="26"/>
      <c r="ASU255" s="26"/>
      <c r="ASV255" s="26"/>
      <c r="ASW255" s="26"/>
      <c r="ASX255" s="26"/>
      <c r="ASY255" s="26"/>
      <c r="ASZ255" s="26"/>
      <c r="ATA255" s="26"/>
      <c r="ATB255" s="26"/>
      <c r="ATC255" s="26"/>
      <c r="ATD255" s="26"/>
      <c r="ATE255" s="26"/>
      <c r="ATF255" s="26"/>
      <c r="ATG255" s="26"/>
      <c r="ATH255" s="26"/>
      <c r="ATI255" s="26"/>
      <c r="ATJ255" s="26"/>
      <c r="ATK255" s="26"/>
      <c r="ATL255" s="26"/>
      <c r="ATM255" s="26"/>
      <c r="ATN255" s="26"/>
      <c r="ATO255" s="26"/>
      <c r="ATP255" s="26"/>
      <c r="ATQ255" s="26"/>
      <c r="ATR255" s="26"/>
      <c r="ATS255" s="26"/>
      <c r="ATT255" s="26"/>
      <c r="ATU255" s="26"/>
      <c r="ATV255" s="26"/>
      <c r="ATW255" s="26"/>
      <c r="ATX255" s="26"/>
      <c r="ATY255" s="26"/>
      <c r="ATZ255" s="26"/>
      <c r="AUA255" s="26"/>
      <c r="AUB255" s="26"/>
      <c r="AUC255" s="26"/>
      <c r="AUD255" s="26"/>
      <c r="AUE255" s="26"/>
      <c r="AUF255" s="26"/>
      <c r="AUG255" s="26"/>
      <c r="AUH255" s="26"/>
      <c r="AUI255" s="26"/>
      <c r="AUJ255" s="26"/>
      <c r="AUK255" s="26"/>
      <c r="AUL255" s="26"/>
      <c r="AUM255" s="26"/>
      <c r="AUN255" s="26"/>
      <c r="AUO255" s="26"/>
      <c r="AUP255" s="26"/>
      <c r="AUQ255" s="26"/>
      <c r="AUR255" s="26"/>
      <c r="AUS255" s="26"/>
      <c r="AUT255" s="26"/>
      <c r="AUU255" s="26"/>
      <c r="AUV255" s="26"/>
      <c r="AUW255" s="26"/>
      <c r="AUX255" s="26"/>
      <c r="AUY255" s="26"/>
      <c r="AUZ255" s="26"/>
      <c r="AVA255" s="26"/>
      <c r="AVB255" s="26"/>
      <c r="AVC255" s="26"/>
      <c r="AVD255" s="26"/>
      <c r="AVE255" s="26"/>
      <c r="AVF255" s="26"/>
      <c r="AVG255" s="26"/>
      <c r="AVH255" s="26"/>
      <c r="AVI255" s="26"/>
      <c r="AVJ255" s="26"/>
      <c r="AVK255" s="26"/>
      <c r="AVL255" s="26"/>
      <c r="AVM255" s="26"/>
      <c r="AVN255" s="26"/>
      <c r="AVO255" s="26"/>
      <c r="AVP255" s="26"/>
      <c r="AVQ255" s="26"/>
      <c r="AVR255" s="26"/>
      <c r="AVS255" s="26"/>
      <c r="AVT255" s="26"/>
      <c r="AVU255" s="26"/>
      <c r="AVV255" s="26"/>
      <c r="AVW255" s="26"/>
      <c r="AVX255" s="26"/>
      <c r="AVY255" s="26"/>
      <c r="AVZ255" s="26"/>
      <c r="AWA255" s="26"/>
      <c r="AWB255" s="26"/>
      <c r="AWC255" s="26"/>
      <c r="AWD255" s="26"/>
      <c r="AWE255" s="26"/>
      <c r="AWF255" s="26"/>
      <c r="AWG255" s="26"/>
      <c r="AWH255" s="26"/>
      <c r="AWI255" s="26"/>
      <c r="AWJ255" s="26"/>
      <c r="AWK255" s="26"/>
      <c r="AWL255" s="26"/>
      <c r="AWM255" s="26"/>
      <c r="AWN255" s="26"/>
      <c r="AWO255" s="26"/>
      <c r="AWP255" s="26"/>
      <c r="AWQ255" s="26"/>
      <c r="AWR255" s="26"/>
      <c r="AWS255" s="26"/>
      <c r="AWT255" s="26"/>
      <c r="AWU255" s="26"/>
      <c r="AWV255" s="26"/>
      <c r="AWW255" s="26"/>
      <c r="AWX255" s="26"/>
      <c r="AWY255" s="26"/>
      <c r="AWZ255" s="26"/>
      <c r="AXA255" s="26"/>
      <c r="AXB255" s="26"/>
      <c r="AXC255" s="26"/>
      <c r="AXD255" s="26"/>
      <c r="AXE255" s="26"/>
      <c r="AXF255" s="26"/>
      <c r="AXG255" s="26"/>
      <c r="AXH255" s="26"/>
      <c r="AXI255" s="26"/>
      <c r="AXJ255" s="26"/>
      <c r="AXK255" s="26"/>
      <c r="AXL255" s="26"/>
      <c r="AXM255" s="26"/>
      <c r="AXN255" s="26"/>
      <c r="AXO255" s="26"/>
      <c r="AXP255" s="26"/>
      <c r="AXQ255" s="26"/>
      <c r="AXR255" s="26"/>
      <c r="AXS255" s="26"/>
      <c r="AXT255" s="26"/>
      <c r="AXU255" s="26"/>
      <c r="AXV255" s="26"/>
      <c r="AXW255" s="26"/>
      <c r="AXX255" s="26"/>
      <c r="AXY255" s="26"/>
      <c r="AXZ255" s="26"/>
      <c r="AYA255" s="26"/>
      <c r="AYB255" s="26"/>
      <c r="AYC255" s="26"/>
      <c r="AYD255" s="26"/>
      <c r="AYE255" s="26"/>
      <c r="AYF255" s="26"/>
      <c r="AYG255" s="26"/>
      <c r="AYH255" s="26"/>
      <c r="AYI255" s="26"/>
      <c r="AYJ255" s="26"/>
      <c r="AYK255" s="26"/>
      <c r="AYL255" s="26"/>
      <c r="AYM255" s="26"/>
      <c r="AYN255" s="26"/>
      <c r="AYO255" s="26"/>
      <c r="AYP255" s="26"/>
      <c r="AYQ255" s="26"/>
      <c r="AYR255" s="26"/>
      <c r="AYS255" s="26"/>
      <c r="AYT255" s="26"/>
      <c r="AYU255" s="26"/>
      <c r="AYV255" s="26"/>
      <c r="AYW255" s="26"/>
      <c r="AYX255" s="26"/>
      <c r="AYY255" s="26"/>
      <c r="AYZ255" s="26"/>
      <c r="AZA255" s="26"/>
      <c r="AZB255" s="26"/>
      <c r="AZC255" s="26"/>
      <c r="AZD255" s="26"/>
      <c r="AZE255" s="26"/>
      <c r="AZF255" s="26"/>
      <c r="AZG255" s="26"/>
      <c r="AZH255" s="26"/>
      <c r="AZI255" s="26"/>
      <c r="AZJ255" s="26"/>
      <c r="AZK255" s="26"/>
      <c r="AZL255" s="26"/>
      <c r="AZM255" s="26"/>
      <c r="AZN255" s="26"/>
      <c r="AZO255" s="26"/>
      <c r="AZP255" s="26"/>
      <c r="AZQ255" s="26"/>
      <c r="AZR255" s="26"/>
      <c r="AZS255" s="26"/>
      <c r="AZT255" s="26"/>
      <c r="AZU255" s="26"/>
      <c r="AZV255" s="26"/>
      <c r="AZW255" s="26"/>
      <c r="AZX255" s="26"/>
      <c r="AZY255" s="26"/>
      <c r="AZZ255" s="26"/>
      <c r="BAA255" s="26"/>
      <c r="BAB255" s="26"/>
      <c r="BAC255" s="26"/>
      <c r="BAD255" s="26"/>
      <c r="BAE255" s="26"/>
      <c r="BAF255" s="26"/>
      <c r="BAG255" s="26"/>
      <c r="BAH255" s="26"/>
      <c r="BAI255" s="26"/>
      <c r="BAJ255" s="26"/>
      <c r="BAK255" s="26"/>
      <c r="BAL255" s="26"/>
      <c r="BAM255" s="26"/>
      <c r="BAN255" s="26"/>
      <c r="BAO255" s="26"/>
      <c r="BAP255" s="26"/>
      <c r="BAQ255" s="26"/>
      <c r="BAR255" s="26"/>
      <c r="BAS255" s="26"/>
      <c r="BAT255" s="26"/>
      <c r="BAU255" s="26"/>
      <c r="BAV255" s="26"/>
      <c r="BAW255" s="26"/>
      <c r="BAX255" s="26"/>
      <c r="BAY255" s="26"/>
      <c r="BAZ255" s="26"/>
      <c r="BBA255" s="26"/>
      <c r="BBB255" s="26"/>
      <c r="BBC255" s="26"/>
      <c r="BBD255" s="26"/>
      <c r="BBE255" s="26"/>
      <c r="BBF255" s="26"/>
      <c r="BBG255" s="26"/>
      <c r="BBH255" s="26"/>
      <c r="BBI255" s="26"/>
      <c r="BBJ255" s="26"/>
      <c r="BBK255" s="26"/>
      <c r="BBL255" s="26"/>
      <c r="BBM255" s="26"/>
      <c r="BBN255" s="26"/>
      <c r="BBO255" s="26"/>
      <c r="BBP255" s="26"/>
      <c r="BBQ255" s="26"/>
      <c r="BBR255" s="26"/>
      <c r="BBS255" s="26"/>
      <c r="BBT255" s="26"/>
      <c r="BBU255" s="26"/>
      <c r="BBV255" s="26"/>
      <c r="BBW255" s="26"/>
      <c r="BBX255" s="26"/>
      <c r="BBY255" s="26"/>
      <c r="BBZ255" s="26"/>
      <c r="BCA255" s="26"/>
      <c r="BCB255" s="26"/>
      <c r="BCC255" s="26"/>
      <c r="BCD255" s="26"/>
      <c r="BCE255" s="26"/>
      <c r="BCF255" s="26"/>
      <c r="BCG255" s="26"/>
      <c r="BCH255" s="26"/>
      <c r="BCI255" s="26"/>
      <c r="BCJ255" s="26"/>
      <c r="BCK255" s="26"/>
      <c r="BCL255" s="26"/>
      <c r="BCM255" s="26"/>
      <c r="BCN255" s="26"/>
      <c r="BCO255" s="26"/>
      <c r="BCP255" s="26"/>
      <c r="BCQ255" s="26"/>
      <c r="BCR255" s="26"/>
      <c r="BCS255" s="26"/>
      <c r="BCT255" s="26"/>
      <c r="BCU255" s="26"/>
      <c r="BCV255" s="26"/>
      <c r="BCW255" s="26"/>
      <c r="BCX255" s="26"/>
      <c r="BCY255" s="26"/>
      <c r="BCZ255" s="26"/>
      <c r="BDA255" s="26"/>
      <c r="BDB255" s="26"/>
      <c r="BDC255" s="26"/>
      <c r="BDD255" s="26"/>
      <c r="BDE255" s="26"/>
      <c r="BDF255" s="26"/>
      <c r="BDG255" s="26"/>
      <c r="BDH255" s="26"/>
      <c r="BDI255" s="26"/>
      <c r="BDJ255" s="26"/>
      <c r="BDK255" s="26"/>
      <c r="BDL255" s="26"/>
      <c r="BDM255" s="26"/>
      <c r="BDN255" s="26"/>
      <c r="BDO255" s="26"/>
      <c r="BDP255" s="26"/>
      <c r="BDQ255" s="26"/>
      <c r="BDR255" s="26"/>
      <c r="BDS255" s="26"/>
      <c r="BDT255" s="26"/>
      <c r="BDU255" s="26"/>
      <c r="BDV255" s="26"/>
      <c r="BDW255" s="26"/>
      <c r="BDX255" s="26"/>
      <c r="BDY255" s="26"/>
      <c r="BDZ255" s="26"/>
      <c r="BEA255" s="26"/>
      <c r="BEB255" s="26"/>
      <c r="BEC255" s="26"/>
      <c r="BED255" s="26"/>
      <c r="BEE255" s="26"/>
      <c r="BEF255" s="26"/>
      <c r="BEG255" s="26"/>
      <c r="BEH255" s="26"/>
      <c r="BEI255" s="26"/>
      <c r="BEJ255" s="26"/>
      <c r="BEK255" s="26"/>
      <c r="BEL255" s="26"/>
      <c r="BEM255" s="26"/>
      <c r="BEN255" s="26"/>
      <c r="BEO255" s="26"/>
      <c r="BEP255" s="26"/>
      <c r="BEQ255" s="26"/>
      <c r="BER255" s="26"/>
      <c r="BES255" s="26"/>
      <c r="BET255" s="26"/>
      <c r="BEU255" s="26"/>
      <c r="BEV255" s="26"/>
      <c r="BEW255" s="26"/>
      <c r="BEX255" s="26"/>
      <c r="BEY255" s="26"/>
      <c r="BEZ255" s="26"/>
      <c r="BFA255" s="26"/>
      <c r="BFB255" s="26"/>
      <c r="BFC255" s="26"/>
      <c r="BFD255" s="26"/>
      <c r="BFE255" s="26"/>
      <c r="BFF255" s="26"/>
      <c r="BFG255" s="26"/>
      <c r="BFH255" s="26"/>
      <c r="BFI255" s="26"/>
      <c r="BFJ255" s="26"/>
      <c r="BFK255" s="26"/>
      <c r="BFL255" s="26"/>
      <c r="BFM255" s="26"/>
      <c r="BFN255" s="26"/>
      <c r="BFO255" s="26"/>
      <c r="BFP255" s="26"/>
      <c r="BFQ255" s="26"/>
      <c r="BFR255" s="26"/>
      <c r="BFS255" s="26"/>
      <c r="BFT255" s="26"/>
      <c r="BFU255" s="26"/>
      <c r="BFV255" s="26"/>
      <c r="BFW255" s="26"/>
      <c r="BFX255" s="26"/>
      <c r="BFY255" s="26"/>
      <c r="BFZ255" s="26"/>
      <c r="BGA255" s="26"/>
      <c r="BGB255" s="26"/>
      <c r="BGC255" s="26"/>
      <c r="BGD255" s="26"/>
      <c r="BGE255" s="26"/>
      <c r="BGF255" s="26"/>
      <c r="BGG255" s="26"/>
      <c r="BGH255" s="26"/>
      <c r="BGI255" s="26"/>
      <c r="BGJ255" s="26"/>
      <c r="BGK255" s="26"/>
      <c r="BGL255" s="26"/>
      <c r="BGM255" s="26"/>
      <c r="BGN255" s="26"/>
      <c r="BGO255" s="26"/>
      <c r="BGP255" s="26"/>
      <c r="BGQ255" s="26"/>
      <c r="BGR255" s="26"/>
      <c r="BGS255" s="26"/>
      <c r="BGT255" s="26"/>
      <c r="BGU255" s="26"/>
      <c r="BGV255" s="26"/>
      <c r="BGW255" s="26"/>
      <c r="BGX255" s="26"/>
      <c r="BGY255" s="26"/>
      <c r="BGZ255" s="26"/>
      <c r="BHA255" s="26"/>
      <c r="BHB255" s="26"/>
      <c r="BHC255" s="26"/>
      <c r="BHD255" s="26"/>
      <c r="BHE255" s="26"/>
      <c r="BHF255" s="26"/>
      <c r="BHG255" s="26"/>
      <c r="BHH255" s="26"/>
      <c r="BHI255" s="26"/>
      <c r="BHJ255" s="26"/>
      <c r="BHK255" s="26"/>
      <c r="BHL255" s="26"/>
      <c r="BHM255" s="26"/>
      <c r="BHN255" s="26"/>
      <c r="BHO255" s="26"/>
      <c r="BHP255" s="26"/>
      <c r="BHQ255" s="26"/>
      <c r="BHR255" s="26"/>
      <c r="BHS255" s="26"/>
      <c r="BHT255" s="26"/>
      <c r="BHU255" s="26"/>
      <c r="BHV255" s="26"/>
      <c r="BHW255" s="26"/>
      <c r="BHX255" s="26"/>
      <c r="BHY255" s="26"/>
      <c r="BHZ255" s="26"/>
      <c r="BIA255" s="26"/>
      <c r="BIB255" s="26"/>
      <c r="BIC255" s="26"/>
      <c r="BID255" s="26"/>
      <c r="BIE255" s="26"/>
      <c r="BIF255" s="26"/>
      <c r="BIG255" s="26"/>
      <c r="BIH255" s="26"/>
      <c r="BII255" s="26"/>
      <c r="BIJ255" s="26"/>
      <c r="BIK255" s="26"/>
      <c r="BIL255" s="26"/>
      <c r="BIM255" s="26"/>
      <c r="BIN255" s="26"/>
      <c r="BIO255" s="26"/>
      <c r="BIP255" s="26"/>
      <c r="BIQ255" s="26"/>
      <c r="BIR255" s="26"/>
      <c r="BIS255" s="26"/>
      <c r="BIT255" s="26"/>
      <c r="BIU255" s="26"/>
      <c r="BIV255" s="26"/>
      <c r="BIW255" s="26"/>
      <c r="BIX255" s="26"/>
      <c r="BIY255" s="26"/>
      <c r="BIZ255" s="26"/>
      <c r="BJA255" s="26"/>
      <c r="BJB255" s="26"/>
      <c r="BJC255" s="26"/>
      <c r="BJD255" s="26"/>
      <c r="BJE255" s="26"/>
      <c r="BJF255" s="26"/>
      <c r="BJG255" s="26"/>
      <c r="BJH255" s="26"/>
      <c r="BJI255" s="26"/>
      <c r="BJJ255" s="26"/>
      <c r="BJK255" s="26"/>
      <c r="BJL255" s="26"/>
      <c r="BJM255" s="26"/>
      <c r="BJN255" s="26"/>
      <c r="BJO255" s="26"/>
      <c r="BJP255" s="26"/>
      <c r="BJQ255" s="26"/>
      <c r="BJR255" s="26"/>
      <c r="BJS255" s="26"/>
      <c r="BJT255" s="26"/>
      <c r="BJU255" s="26"/>
      <c r="BJV255" s="26"/>
      <c r="BJW255" s="26"/>
      <c r="BJX255" s="26"/>
      <c r="BJY255" s="26"/>
      <c r="BJZ255" s="26"/>
      <c r="BKA255" s="26"/>
      <c r="BKB255" s="26"/>
      <c r="BKC255" s="26"/>
      <c r="BKD255" s="26"/>
      <c r="BKE255" s="26"/>
      <c r="BKF255" s="26"/>
      <c r="BKG255" s="26"/>
      <c r="BKH255" s="26"/>
      <c r="BKI255" s="26"/>
      <c r="BKJ255" s="26"/>
      <c r="BKK255" s="26"/>
      <c r="BKL255" s="26"/>
      <c r="BKM255" s="26"/>
      <c r="BKN255" s="26"/>
      <c r="BKO255" s="26"/>
      <c r="BKP255" s="26"/>
      <c r="BKQ255" s="26"/>
      <c r="BKR255" s="26"/>
      <c r="BKS255" s="26"/>
      <c r="BKT255" s="26"/>
      <c r="BKU255" s="26"/>
      <c r="BKV255" s="26"/>
      <c r="BKW255" s="26"/>
      <c r="BKX255" s="26"/>
      <c r="BKY255" s="26"/>
      <c r="BKZ255" s="26"/>
      <c r="BLA255" s="26"/>
      <c r="BLB255" s="26"/>
      <c r="BLC255" s="26"/>
      <c r="BLD255" s="26"/>
      <c r="BLE255" s="26"/>
      <c r="BLF255" s="26"/>
      <c r="BLG255" s="26"/>
      <c r="BLH255" s="26"/>
      <c r="BLI255" s="26"/>
      <c r="BLJ255" s="26"/>
      <c r="BLK255" s="26"/>
      <c r="BLL255" s="26"/>
      <c r="BLM255" s="26"/>
      <c r="BLN255" s="26"/>
      <c r="BLO255" s="26"/>
      <c r="BLP255" s="26"/>
      <c r="BLQ255" s="26"/>
      <c r="BLR255" s="26"/>
      <c r="BLS255" s="26"/>
      <c r="BLT255" s="26"/>
      <c r="BLU255" s="26"/>
      <c r="BLV255" s="26"/>
      <c r="BLW255" s="26"/>
      <c r="BLX255" s="26"/>
      <c r="BLY255" s="26"/>
      <c r="BLZ255" s="26"/>
      <c r="BMA255" s="26"/>
      <c r="BMB255" s="26"/>
      <c r="BMC255" s="26"/>
      <c r="BMD255" s="26"/>
      <c r="BME255" s="26"/>
      <c r="BMF255" s="26"/>
      <c r="BMG255" s="26"/>
      <c r="BMH255" s="26"/>
      <c r="BMI255" s="26"/>
      <c r="BMJ255" s="26"/>
      <c r="BMK255" s="26"/>
      <c r="BML255" s="26"/>
      <c r="BMM255" s="26"/>
      <c r="BMN255" s="26"/>
      <c r="BMO255" s="26"/>
      <c r="BMP255" s="26"/>
      <c r="BMQ255" s="26"/>
      <c r="BMR255" s="26"/>
      <c r="BMS255" s="26"/>
      <c r="BMT255" s="26"/>
      <c r="BMU255" s="26"/>
      <c r="BMV255" s="26"/>
      <c r="BMW255" s="26"/>
      <c r="BMX255" s="26"/>
      <c r="BMY255" s="26"/>
      <c r="BMZ255" s="26"/>
      <c r="BNA255" s="26"/>
      <c r="BNB255" s="26"/>
      <c r="BNC255" s="26"/>
      <c r="BND255" s="26"/>
      <c r="BNE255" s="26"/>
      <c r="BNF255" s="26"/>
      <c r="BNG255" s="26"/>
      <c r="BNH255" s="26"/>
      <c r="BNI255" s="26"/>
      <c r="BNJ255" s="26"/>
      <c r="BNK255" s="26"/>
      <c r="BNL255" s="26"/>
      <c r="BNM255" s="26"/>
      <c r="BNN255" s="26"/>
      <c r="BNO255" s="26"/>
      <c r="BNP255" s="26"/>
      <c r="BNQ255" s="26"/>
      <c r="BNR255" s="26"/>
      <c r="BNS255" s="26"/>
      <c r="BNT255" s="26"/>
      <c r="BNU255" s="26"/>
      <c r="BNV255" s="26"/>
      <c r="BNW255" s="26"/>
      <c r="BNX255" s="26"/>
      <c r="BNY255" s="26"/>
      <c r="BNZ255" s="26"/>
      <c r="BOA255" s="26"/>
      <c r="BOB255" s="26"/>
      <c r="BOC255" s="26"/>
      <c r="BOD255" s="26"/>
      <c r="BOE255" s="26"/>
      <c r="BOF255" s="26"/>
      <c r="BOG255" s="26"/>
      <c r="BOH255" s="26"/>
      <c r="BOI255" s="26"/>
      <c r="BOJ255" s="26"/>
      <c r="BOK255" s="26"/>
      <c r="BOL255" s="26"/>
      <c r="BOM255" s="26"/>
      <c r="BON255" s="26"/>
      <c r="BOO255" s="26"/>
      <c r="BOP255" s="26"/>
      <c r="BOQ255" s="26"/>
      <c r="BOR255" s="26"/>
      <c r="BOS255" s="26"/>
      <c r="BOT255" s="26"/>
      <c r="BOU255" s="26"/>
      <c r="BOV255" s="26"/>
      <c r="BOW255" s="26"/>
      <c r="BOX255" s="26"/>
      <c r="BOY255" s="26"/>
      <c r="BOZ255" s="26"/>
      <c r="BPA255" s="26"/>
      <c r="BPB255" s="26"/>
      <c r="BPC255" s="26"/>
      <c r="BPD255" s="26"/>
      <c r="BPE255" s="26"/>
      <c r="BPF255" s="26"/>
      <c r="BPG255" s="26"/>
      <c r="BPH255" s="26"/>
      <c r="BPI255" s="26"/>
      <c r="BPJ255" s="26"/>
      <c r="BPK255" s="26"/>
      <c r="BPL255" s="26"/>
      <c r="BPM255" s="26"/>
      <c r="BPN255" s="26"/>
      <c r="BPO255" s="26"/>
      <c r="BPP255" s="26"/>
      <c r="BPQ255" s="26"/>
      <c r="BPR255" s="26"/>
      <c r="BPS255" s="26"/>
      <c r="BPT255" s="26"/>
      <c r="BPU255" s="26"/>
      <c r="BPV255" s="26"/>
      <c r="BPW255" s="26"/>
      <c r="BPX255" s="26"/>
      <c r="BPY255" s="26"/>
      <c r="BPZ255" s="26"/>
      <c r="BQA255" s="26"/>
      <c r="BQB255" s="26"/>
      <c r="BQC255" s="26"/>
      <c r="BQD255" s="26"/>
      <c r="BQE255" s="26"/>
      <c r="BQF255" s="26"/>
      <c r="BQG255" s="26"/>
      <c r="BQH255" s="26"/>
      <c r="BQI255" s="26"/>
      <c r="BQJ255" s="26"/>
      <c r="BQK255" s="26"/>
      <c r="BQL255" s="26"/>
      <c r="BQM255" s="26"/>
      <c r="BQN255" s="26"/>
      <c r="BQO255" s="26"/>
      <c r="BQP255" s="26"/>
      <c r="BQQ255" s="26"/>
      <c r="BQR255" s="26"/>
      <c r="BQS255" s="26"/>
      <c r="BQT255" s="26"/>
      <c r="BQU255" s="26"/>
      <c r="BQV255" s="26"/>
      <c r="BQW255" s="26"/>
      <c r="BQX255" s="26"/>
      <c r="BQY255" s="26"/>
      <c r="BQZ255" s="26"/>
      <c r="BRA255" s="26"/>
      <c r="BRB255" s="26"/>
      <c r="BRC255" s="26"/>
      <c r="BRD255" s="26"/>
      <c r="BRE255" s="26"/>
      <c r="BRF255" s="26"/>
      <c r="BRG255" s="26"/>
      <c r="BRH255" s="26"/>
      <c r="BRI255" s="26"/>
      <c r="BRJ255" s="26"/>
      <c r="BRK255" s="26"/>
      <c r="BRL255" s="26"/>
      <c r="BRM255" s="26"/>
      <c r="BRN255" s="26"/>
      <c r="BRO255" s="26"/>
      <c r="BRP255" s="26"/>
      <c r="BRQ255" s="26"/>
      <c r="BRR255" s="26"/>
      <c r="BRS255" s="26"/>
      <c r="BRT255" s="26"/>
      <c r="BRU255" s="26"/>
      <c r="BRV255" s="26"/>
      <c r="BRW255" s="26"/>
      <c r="BRX255" s="26"/>
      <c r="BRY255" s="26"/>
      <c r="BRZ255" s="26"/>
      <c r="BSA255" s="26"/>
      <c r="BSB255" s="26"/>
      <c r="BSC255" s="26"/>
      <c r="BSD255" s="26"/>
      <c r="BSE255" s="26"/>
      <c r="BSF255" s="26"/>
      <c r="BSG255" s="26"/>
      <c r="BSH255" s="26"/>
      <c r="BSI255" s="26"/>
      <c r="BSJ255" s="26"/>
      <c r="BSK255" s="26"/>
      <c r="BSL255" s="26"/>
      <c r="BSM255" s="26"/>
      <c r="BSN255" s="26"/>
      <c r="BSO255" s="26"/>
      <c r="BSP255" s="26"/>
      <c r="BSQ255" s="26"/>
      <c r="BSR255" s="26"/>
      <c r="BSS255" s="26"/>
      <c r="BST255" s="26"/>
      <c r="BSU255" s="26"/>
      <c r="BSV255" s="26"/>
      <c r="BSW255" s="26"/>
      <c r="BSX255" s="26"/>
      <c r="BSY255" s="26"/>
      <c r="BSZ255" s="26"/>
      <c r="BTA255" s="26"/>
      <c r="BTB255" s="26"/>
      <c r="BTC255" s="26"/>
      <c r="BTD255" s="26"/>
      <c r="BTE255" s="26"/>
      <c r="BTF255" s="26"/>
      <c r="BTG255" s="26"/>
      <c r="BTH255" s="26"/>
      <c r="BTI255" s="26"/>
      <c r="BTJ255" s="26"/>
      <c r="BTK255" s="26"/>
      <c r="BTL255" s="26"/>
      <c r="BTM255" s="26"/>
      <c r="BTN255" s="26"/>
      <c r="BTO255" s="26"/>
      <c r="BTP255" s="26"/>
      <c r="BTQ255" s="26"/>
      <c r="BTR255" s="26"/>
      <c r="BTS255" s="26"/>
      <c r="BTT255" s="26"/>
      <c r="BTU255" s="26"/>
      <c r="BTV255" s="26"/>
      <c r="BTW255" s="26"/>
      <c r="BTX255" s="26"/>
      <c r="BTY255" s="26"/>
      <c r="BTZ255" s="26"/>
      <c r="BUA255" s="26"/>
      <c r="BUB255" s="26"/>
      <c r="BUC255" s="26"/>
      <c r="BUD255" s="26"/>
      <c r="BUE255" s="26"/>
      <c r="BUF255" s="26"/>
      <c r="BUG255" s="26"/>
      <c r="BUH255" s="26"/>
      <c r="BUI255" s="26"/>
      <c r="BUJ255" s="26"/>
      <c r="BUK255" s="26"/>
      <c r="BUL255" s="26"/>
      <c r="BUM255" s="26"/>
      <c r="BUN255" s="26"/>
      <c r="BUO255" s="26"/>
      <c r="BUP255" s="26"/>
      <c r="BUQ255" s="26"/>
      <c r="BUR255" s="26"/>
      <c r="BUS255" s="26"/>
      <c r="BUT255" s="26"/>
      <c r="BUU255" s="26"/>
      <c r="BUV255" s="26"/>
      <c r="BUW255" s="26"/>
      <c r="BUX255" s="26"/>
      <c r="BUY255" s="26"/>
      <c r="BUZ255" s="26"/>
      <c r="BVA255" s="26"/>
      <c r="BVB255" s="26"/>
      <c r="BVC255" s="26"/>
      <c r="BVD255" s="26"/>
      <c r="BVE255" s="26"/>
      <c r="BVF255" s="26"/>
      <c r="BVG255" s="26"/>
      <c r="BVH255" s="26"/>
      <c r="BVI255" s="26"/>
      <c r="BVJ255" s="26"/>
      <c r="BVK255" s="26"/>
      <c r="BVL255" s="26"/>
      <c r="BVM255" s="26"/>
      <c r="BVN255" s="26"/>
      <c r="BVO255" s="26"/>
      <c r="BVP255" s="26"/>
      <c r="BVQ255" s="26"/>
      <c r="BVR255" s="26"/>
      <c r="BVS255" s="26"/>
      <c r="BVT255" s="26"/>
      <c r="BVU255" s="26"/>
      <c r="BVV255" s="26"/>
      <c r="BVW255" s="26"/>
      <c r="BVX255" s="26"/>
      <c r="BVY255" s="26"/>
      <c r="BVZ255" s="26"/>
      <c r="BWA255" s="26"/>
      <c r="BWB255" s="26"/>
      <c r="BWC255" s="26"/>
      <c r="BWD255" s="26"/>
      <c r="BWE255" s="26"/>
      <c r="BWF255" s="26"/>
      <c r="BWG255" s="26"/>
      <c r="BWH255" s="26"/>
      <c r="BWI255" s="26"/>
      <c r="BWJ255" s="26"/>
      <c r="BWK255" s="26"/>
      <c r="BWL255" s="26"/>
      <c r="BWM255" s="26"/>
      <c r="BWN255" s="26"/>
      <c r="BWO255" s="26"/>
      <c r="BWP255" s="26"/>
      <c r="BWQ255" s="26"/>
      <c r="BWR255" s="26"/>
      <c r="BWS255" s="26"/>
      <c r="BWT255" s="26"/>
      <c r="BWU255" s="26"/>
      <c r="BWV255" s="26"/>
      <c r="BWW255" s="26"/>
      <c r="BWX255" s="26"/>
      <c r="BWY255" s="26"/>
      <c r="BWZ255" s="26"/>
      <c r="BXA255" s="26"/>
      <c r="BXB255" s="26"/>
      <c r="BXC255" s="26"/>
      <c r="BXD255" s="26"/>
      <c r="BXE255" s="26"/>
      <c r="BXF255" s="26"/>
      <c r="BXG255" s="26"/>
      <c r="BXH255" s="26"/>
      <c r="BXI255" s="26"/>
      <c r="BXJ255" s="26"/>
      <c r="BXK255" s="26"/>
      <c r="BXL255" s="26"/>
      <c r="BXM255" s="26"/>
      <c r="BXN255" s="26"/>
      <c r="BXO255" s="26"/>
      <c r="BXP255" s="26"/>
      <c r="BXQ255" s="26"/>
      <c r="BXR255" s="26"/>
      <c r="BXS255" s="26"/>
      <c r="BXT255" s="26"/>
      <c r="BXU255" s="26"/>
      <c r="BXV255" s="26"/>
      <c r="BXW255" s="26"/>
      <c r="BXX255" s="26"/>
      <c r="BXY255" s="26"/>
      <c r="BXZ255" s="26"/>
      <c r="BYA255" s="26"/>
      <c r="BYB255" s="26"/>
      <c r="BYC255" s="26"/>
      <c r="BYD255" s="26"/>
      <c r="BYE255" s="26"/>
      <c r="BYF255" s="26"/>
      <c r="BYG255" s="26"/>
      <c r="BYH255" s="26"/>
      <c r="BYI255" s="26"/>
      <c r="BYJ255" s="26"/>
      <c r="BYK255" s="26"/>
      <c r="BYL255" s="26"/>
      <c r="BYM255" s="26"/>
      <c r="BYN255" s="26"/>
      <c r="BYO255" s="26"/>
      <c r="BYP255" s="26"/>
      <c r="BYQ255" s="26"/>
      <c r="BYR255" s="26"/>
      <c r="BYS255" s="26"/>
      <c r="BYT255" s="26"/>
      <c r="BYU255" s="26"/>
      <c r="BYV255" s="26"/>
      <c r="BYW255" s="26"/>
      <c r="BYX255" s="26"/>
      <c r="BYY255" s="26"/>
      <c r="BYZ255" s="26"/>
      <c r="BZA255" s="26"/>
      <c r="BZB255" s="26"/>
      <c r="BZC255" s="26"/>
      <c r="BZD255" s="26"/>
      <c r="BZE255" s="26"/>
      <c r="BZF255" s="26"/>
      <c r="BZG255" s="26"/>
      <c r="BZH255" s="26"/>
      <c r="BZI255" s="26"/>
      <c r="BZJ255" s="26"/>
      <c r="BZK255" s="26"/>
      <c r="BZL255" s="26"/>
      <c r="BZM255" s="26"/>
      <c r="BZN255" s="26"/>
      <c r="BZO255" s="26"/>
      <c r="BZP255" s="26"/>
      <c r="BZQ255" s="26"/>
      <c r="BZR255" s="26"/>
      <c r="BZS255" s="26"/>
      <c r="BZT255" s="26"/>
      <c r="BZU255" s="26"/>
      <c r="BZV255" s="26"/>
      <c r="BZW255" s="26"/>
      <c r="BZX255" s="26"/>
      <c r="BZY255" s="26"/>
      <c r="BZZ255" s="26"/>
      <c r="CAA255" s="26"/>
      <c r="CAB255" s="26"/>
      <c r="CAC255" s="26"/>
      <c r="CAD255" s="26"/>
      <c r="CAE255" s="26"/>
      <c r="CAF255" s="26"/>
      <c r="CAG255" s="26"/>
      <c r="CAH255" s="26"/>
      <c r="CAI255" s="26"/>
      <c r="CAJ255" s="26"/>
      <c r="CAK255" s="26"/>
      <c r="CAL255" s="26"/>
      <c r="CAM255" s="26"/>
      <c r="CAN255" s="26"/>
      <c r="CAO255" s="26"/>
      <c r="CAP255" s="26"/>
      <c r="CAQ255" s="26"/>
      <c r="CAR255" s="26"/>
      <c r="CAS255" s="26"/>
      <c r="CAT255" s="26"/>
      <c r="CAU255" s="26"/>
      <c r="CAV255" s="26"/>
      <c r="CAW255" s="26"/>
      <c r="CAX255" s="26"/>
      <c r="CAY255" s="26"/>
      <c r="CAZ255" s="26"/>
      <c r="CBA255" s="26"/>
      <c r="CBB255" s="26"/>
      <c r="CBC255" s="26"/>
      <c r="CBD255" s="26"/>
      <c r="CBE255" s="26"/>
      <c r="CBF255" s="26"/>
      <c r="CBG255" s="26"/>
      <c r="CBH255" s="26"/>
      <c r="CBI255" s="26"/>
    </row>
    <row r="256" spans="1:2089" ht="14" customHeight="1">
      <c r="A256" s="27">
        <v>255</v>
      </c>
      <c r="B256" s="27" t="s">
        <v>399</v>
      </c>
      <c r="C256" s="27">
        <v>2011</v>
      </c>
      <c r="D256" s="26" t="s">
        <v>31</v>
      </c>
      <c r="E256" s="26" t="s">
        <v>566</v>
      </c>
      <c r="F256" s="77" t="s">
        <v>175</v>
      </c>
      <c r="G256" s="2" t="s">
        <v>108</v>
      </c>
      <c r="H256" s="2" t="s">
        <v>30</v>
      </c>
      <c r="I256" s="2" t="s">
        <v>548</v>
      </c>
      <c r="J256" s="2" t="s">
        <v>189</v>
      </c>
      <c r="K256" s="2" t="s">
        <v>548</v>
      </c>
      <c r="L256" s="2" t="s">
        <v>548</v>
      </c>
      <c r="M256" s="2" t="s">
        <v>175</v>
      </c>
      <c r="N256" s="2" t="s">
        <v>608</v>
      </c>
      <c r="O256" s="2" t="s">
        <v>43</v>
      </c>
      <c r="P256" s="2" t="s">
        <v>623</v>
      </c>
      <c r="Q256" s="2" t="s">
        <v>42</v>
      </c>
      <c r="R256" s="2" t="s">
        <v>613</v>
      </c>
      <c r="S256" s="88">
        <v>1</v>
      </c>
      <c r="T256" s="61">
        <v>66</v>
      </c>
      <c r="U256" s="77">
        <v>1</v>
      </c>
      <c r="V256" s="26">
        <v>1</v>
      </c>
      <c r="W256" s="26">
        <v>1</v>
      </c>
      <c r="X256" s="26">
        <v>1</v>
      </c>
      <c r="Y256" s="26">
        <v>1</v>
      </c>
      <c r="Z256" s="26">
        <v>0</v>
      </c>
      <c r="AA256" s="26">
        <v>0</v>
      </c>
      <c r="AB256" s="26">
        <v>1</v>
      </c>
      <c r="AC256" s="26">
        <v>0</v>
      </c>
      <c r="AD256" s="26">
        <v>0</v>
      </c>
      <c r="AE256" s="26">
        <v>0</v>
      </c>
      <c r="AF256" s="26">
        <v>1</v>
      </c>
      <c r="AG256" s="26" t="s">
        <v>70</v>
      </c>
      <c r="AH256" s="26" t="s">
        <v>70</v>
      </c>
      <c r="AI256" s="26" t="s">
        <v>70</v>
      </c>
      <c r="AJ256" s="26" t="s">
        <v>70</v>
      </c>
      <c r="AK256" s="26" t="s">
        <v>70</v>
      </c>
      <c r="AL256" s="26" t="s">
        <v>70</v>
      </c>
      <c r="AM256" s="61" t="s">
        <v>175</v>
      </c>
      <c r="AN256" s="26" t="s">
        <v>274</v>
      </c>
      <c r="AO256" s="35" t="s">
        <v>548</v>
      </c>
      <c r="AP256" s="35" t="s">
        <v>548</v>
      </c>
      <c r="AQ256" s="35" t="s">
        <v>175</v>
      </c>
      <c r="AR256" s="35" t="s">
        <v>548</v>
      </c>
      <c r="AS256" s="26" t="s">
        <v>548</v>
      </c>
      <c r="AT256" s="26" t="s">
        <v>70</v>
      </c>
      <c r="AU256" s="26" t="s">
        <v>70</v>
      </c>
      <c r="AV256" s="26">
        <v>8</v>
      </c>
    </row>
    <row r="257" spans="1:2089" ht="14" customHeight="1">
      <c r="A257" s="27">
        <v>256</v>
      </c>
      <c r="B257" s="27" t="s">
        <v>399</v>
      </c>
      <c r="C257" s="27">
        <v>2011</v>
      </c>
      <c r="D257" s="26" t="s">
        <v>31</v>
      </c>
      <c r="E257" s="26" t="s">
        <v>566</v>
      </c>
      <c r="F257" s="77" t="s">
        <v>175</v>
      </c>
      <c r="G257" s="2" t="s">
        <v>108</v>
      </c>
      <c r="H257" s="2" t="s">
        <v>30</v>
      </c>
      <c r="I257" s="2" t="s">
        <v>548</v>
      </c>
      <c r="J257" s="2" t="s">
        <v>189</v>
      </c>
      <c r="K257" s="2" t="s">
        <v>548</v>
      </c>
      <c r="L257" s="2" t="s">
        <v>548</v>
      </c>
      <c r="M257" s="2" t="s">
        <v>175</v>
      </c>
      <c r="N257" s="2" t="s">
        <v>167</v>
      </c>
      <c r="O257" s="2" t="s">
        <v>60</v>
      </c>
      <c r="P257" s="2" t="s">
        <v>624</v>
      </c>
      <c r="Q257" s="2" t="s">
        <v>42</v>
      </c>
      <c r="R257" s="79" t="s">
        <v>613</v>
      </c>
      <c r="S257" s="88">
        <f>1-AC257</f>
        <v>0.47826086956521741</v>
      </c>
      <c r="T257" s="61">
        <v>23</v>
      </c>
      <c r="U257" s="77">
        <v>1</v>
      </c>
      <c r="V257" s="26">
        <v>1</v>
      </c>
      <c r="W257" s="26">
        <v>1</v>
      </c>
      <c r="X257" s="26">
        <v>1</v>
      </c>
      <c r="Y257" s="26">
        <v>1</v>
      </c>
      <c r="Z257" s="26">
        <v>0</v>
      </c>
      <c r="AA257" s="26">
        <v>0</v>
      </c>
      <c r="AB257" s="26">
        <v>1</v>
      </c>
      <c r="AC257" s="26">
        <f>12/23</f>
        <v>0.52173913043478259</v>
      </c>
      <c r="AD257" s="26">
        <f>1/23</f>
        <v>4.3478260869565216E-2</v>
      </c>
      <c r="AE257" s="26">
        <f>6/23</f>
        <v>0.2608695652173913</v>
      </c>
      <c r="AF257" s="26">
        <f>5/23</f>
        <v>0.21739130434782608</v>
      </c>
      <c r="AG257" s="26" t="s">
        <v>70</v>
      </c>
      <c r="AH257" s="26" t="s">
        <v>70</v>
      </c>
      <c r="AI257" s="26" t="s">
        <v>70</v>
      </c>
      <c r="AJ257" s="26" t="s">
        <v>70</v>
      </c>
      <c r="AK257" s="26" t="s">
        <v>70</v>
      </c>
      <c r="AL257" s="26" t="s">
        <v>70</v>
      </c>
      <c r="AM257" s="61" t="s">
        <v>175</v>
      </c>
      <c r="AN257" s="26" t="s">
        <v>274</v>
      </c>
      <c r="AO257" s="35" t="s">
        <v>548</v>
      </c>
      <c r="AP257" s="35" t="s">
        <v>548</v>
      </c>
      <c r="AQ257" s="35" t="s">
        <v>175</v>
      </c>
      <c r="AR257" s="35" t="s">
        <v>548</v>
      </c>
      <c r="AS257" s="26" t="s">
        <v>548</v>
      </c>
      <c r="AT257" s="26" t="s">
        <v>70</v>
      </c>
      <c r="AU257" s="26" t="s">
        <v>70</v>
      </c>
      <c r="AV257" s="26">
        <v>8</v>
      </c>
    </row>
    <row r="258" spans="1:2089" ht="14" customHeight="1">
      <c r="A258" s="27">
        <v>257</v>
      </c>
      <c r="B258" s="27" t="s">
        <v>399</v>
      </c>
      <c r="C258" s="27">
        <v>2011</v>
      </c>
      <c r="D258" s="26" t="s">
        <v>269</v>
      </c>
      <c r="E258" s="26" t="s">
        <v>563</v>
      </c>
      <c r="F258" s="77" t="s">
        <v>175</v>
      </c>
      <c r="G258" s="2" t="s">
        <v>106</v>
      </c>
      <c r="H258" s="2" t="s">
        <v>275</v>
      </c>
      <c r="I258" s="2" t="s">
        <v>548</v>
      </c>
      <c r="J258" s="2" t="s">
        <v>189</v>
      </c>
      <c r="K258" s="2" t="s">
        <v>548</v>
      </c>
      <c r="L258" s="2" t="s">
        <v>548</v>
      </c>
      <c r="M258" s="2" t="s">
        <v>175</v>
      </c>
      <c r="N258" s="2" t="s">
        <v>167</v>
      </c>
      <c r="O258" s="2" t="s">
        <v>60</v>
      </c>
      <c r="P258" s="2" t="s">
        <v>624</v>
      </c>
      <c r="Q258" s="2" t="s">
        <v>42</v>
      </c>
      <c r="R258" s="102" t="s">
        <v>614</v>
      </c>
      <c r="S258" s="88">
        <f>1-AC258</f>
        <v>0.64705882352941169</v>
      </c>
      <c r="T258" s="61">
        <v>17</v>
      </c>
      <c r="U258" s="77">
        <v>1</v>
      </c>
      <c r="V258" s="26">
        <v>1</v>
      </c>
      <c r="W258" s="26">
        <v>1</v>
      </c>
      <c r="X258" s="26">
        <v>1</v>
      </c>
      <c r="Y258" s="26">
        <v>1</v>
      </c>
      <c r="Z258" s="26">
        <v>0</v>
      </c>
      <c r="AA258" s="26">
        <v>0</v>
      </c>
      <c r="AB258" s="26">
        <v>1</v>
      </c>
      <c r="AC258" s="26">
        <f>6/17</f>
        <v>0.35294117647058826</v>
      </c>
      <c r="AD258" s="26">
        <f>1/17</f>
        <v>5.8823529411764705E-2</v>
      </c>
      <c r="AE258" s="26">
        <f>5/17</f>
        <v>0.29411764705882354</v>
      </c>
      <c r="AF258" s="26">
        <f>5/17</f>
        <v>0.29411764705882354</v>
      </c>
      <c r="AG258" s="26" t="s">
        <v>70</v>
      </c>
      <c r="AH258" s="26" t="s">
        <v>70</v>
      </c>
      <c r="AI258" s="26" t="s">
        <v>70</v>
      </c>
      <c r="AJ258" s="26" t="s">
        <v>270</v>
      </c>
      <c r="AK258" s="26" t="s">
        <v>70</v>
      </c>
      <c r="AL258" s="26" t="s">
        <v>70</v>
      </c>
      <c r="AM258" s="61" t="s">
        <v>175</v>
      </c>
      <c r="AN258" s="26" t="s">
        <v>274</v>
      </c>
      <c r="AO258" s="35" t="s">
        <v>548</v>
      </c>
      <c r="AP258" s="35" t="s">
        <v>548</v>
      </c>
      <c r="AQ258" s="35" t="s">
        <v>175</v>
      </c>
      <c r="AR258" s="35" t="s">
        <v>548</v>
      </c>
      <c r="AS258" s="26" t="s">
        <v>548</v>
      </c>
      <c r="AT258" s="26" t="s">
        <v>70</v>
      </c>
      <c r="AU258" s="26" t="s">
        <v>70</v>
      </c>
      <c r="AV258" s="26">
        <v>8</v>
      </c>
    </row>
    <row r="259" spans="1:2089" ht="14" customHeight="1">
      <c r="A259" s="27">
        <v>258</v>
      </c>
      <c r="B259" s="27" t="s">
        <v>399</v>
      </c>
      <c r="C259" s="27">
        <v>2011</v>
      </c>
      <c r="D259" s="26" t="s">
        <v>269</v>
      </c>
      <c r="E259" s="26" t="s">
        <v>563</v>
      </c>
      <c r="F259" s="77" t="s">
        <v>175</v>
      </c>
      <c r="G259" s="2" t="s">
        <v>106</v>
      </c>
      <c r="H259" s="2" t="s">
        <v>275</v>
      </c>
      <c r="I259" s="2" t="s">
        <v>548</v>
      </c>
      <c r="J259" s="2" t="s">
        <v>189</v>
      </c>
      <c r="K259" s="2" t="s">
        <v>548</v>
      </c>
      <c r="L259" s="2" t="s">
        <v>548</v>
      </c>
      <c r="M259" s="2" t="s">
        <v>175</v>
      </c>
      <c r="N259" s="2" t="s">
        <v>139</v>
      </c>
      <c r="O259" s="2" t="s">
        <v>60</v>
      </c>
      <c r="P259" s="2" t="s">
        <v>628</v>
      </c>
      <c r="Q259" s="2" t="s">
        <v>42</v>
      </c>
      <c r="R259" s="102" t="s">
        <v>614</v>
      </c>
      <c r="S259" s="88">
        <f>1-AC259</f>
        <v>0.81818181818181812</v>
      </c>
      <c r="T259" s="61">
        <v>33</v>
      </c>
      <c r="U259" s="77">
        <v>1</v>
      </c>
      <c r="V259" s="26">
        <v>1</v>
      </c>
      <c r="W259" s="26">
        <v>1</v>
      </c>
      <c r="X259" s="26">
        <v>1</v>
      </c>
      <c r="Y259" s="26">
        <v>1</v>
      </c>
      <c r="Z259" s="26">
        <v>0</v>
      </c>
      <c r="AA259" s="26">
        <v>0</v>
      </c>
      <c r="AB259" s="26">
        <v>1</v>
      </c>
      <c r="AC259" s="26">
        <f>6/33</f>
        <v>0.18181818181818182</v>
      </c>
      <c r="AD259" s="26">
        <f>5/33</f>
        <v>0.15151515151515152</v>
      </c>
      <c r="AE259" s="26">
        <f>10/33</f>
        <v>0.30303030303030304</v>
      </c>
      <c r="AF259" s="26">
        <f>12/33</f>
        <v>0.36363636363636365</v>
      </c>
      <c r="AG259" s="26" t="s">
        <v>70</v>
      </c>
      <c r="AH259" s="26" t="s">
        <v>70</v>
      </c>
      <c r="AI259" s="26" t="s">
        <v>70</v>
      </c>
      <c r="AJ259" s="26" t="s">
        <v>70</v>
      </c>
      <c r="AK259" s="26" t="s">
        <v>70</v>
      </c>
      <c r="AL259" s="26" t="s">
        <v>70</v>
      </c>
      <c r="AM259" s="61" t="s">
        <v>175</v>
      </c>
      <c r="AN259" s="26" t="s">
        <v>274</v>
      </c>
      <c r="AO259" s="35" t="s">
        <v>548</v>
      </c>
      <c r="AP259" s="35" t="s">
        <v>548</v>
      </c>
      <c r="AQ259" s="35" t="s">
        <v>175</v>
      </c>
      <c r="AR259" s="35" t="s">
        <v>548</v>
      </c>
      <c r="AS259" s="26" t="s">
        <v>548</v>
      </c>
      <c r="AT259" s="26" t="s">
        <v>70</v>
      </c>
      <c r="AU259" s="26" t="s">
        <v>70</v>
      </c>
      <c r="AV259" s="26">
        <v>8</v>
      </c>
    </row>
    <row r="260" spans="1:2089" ht="14" customHeight="1">
      <c r="A260" s="27">
        <v>259</v>
      </c>
      <c r="B260" s="27" t="s">
        <v>400</v>
      </c>
      <c r="C260" s="27">
        <v>2011</v>
      </c>
      <c r="D260" s="26" t="s">
        <v>27</v>
      </c>
      <c r="E260" s="26" t="s">
        <v>563</v>
      </c>
      <c r="F260" s="77" t="s">
        <v>175</v>
      </c>
      <c r="G260" s="2" t="s">
        <v>84</v>
      </c>
      <c r="H260" s="2" t="s">
        <v>24</v>
      </c>
      <c r="I260" s="2" t="s">
        <v>548</v>
      </c>
      <c r="J260" s="2" t="s">
        <v>604</v>
      </c>
      <c r="K260" s="2" t="s">
        <v>548</v>
      </c>
      <c r="L260" s="2" t="s">
        <v>548</v>
      </c>
      <c r="M260" s="2" t="s">
        <v>175</v>
      </c>
      <c r="N260" s="2" t="s">
        <v>70</v>
      </c>
      <c r="O260" s="2" t="s">
        <v>209</v>
      </c>
      <c r="P260" s="2" t="s">
        <v>612</v>
      </c>
      <c r="Q260" s="2" t="s">
        <v>42</v>
      </c>
      <c r="R260" s="102" t="s">
        <v>614</v>
      </c>
      <c r="S260" s="2">
        <f>41/T260</f>
        <v>0.42708333333333331</v>
      </c>
      <c r="T260" s="26">
        <v>96</v>
      </c>
      <c r="U260" s="77">
        <v>1</v>
      </c>
      <c r="V260" s="26">
        <v>1</v>
      </c>
      <c r="W260" s="26">
        <v>1</v>
      </c>
      <c r="X260" s="26">
        <v>1</v>
      </c>
      <c r="Y260" s="26">
        <v>1</v>
      </c>
      <c r="Z260" s="26">
        <v>0</v>
      </c>
      <c r="AA260" s="26">
        <v>0</v>
      </c>
      <c r="AB260" s="26">
        <v>0</v>
      </c>
      <c r="AC260" s="26">
        <f>1-S260</f>
        <v>0.57291666666666674</v>
      </c>
      <c r="AD260" s="26">
        <f>36/T260</f>
        <v>0.375</v>
      </c>
      <c r="AE260" s="26">
        <f>3/T260</f>
        <v>3.125E-2</v>
      </c>
      <c r="AF260" s="26">
        <f>2/T260</f>
        <v>2.0833333333333332E-2</v>
      </c>
      <c r="AG260" s="33" t="s">
        <v>70</v>
      </c>
      <c r="AH260" s="33" t="s">
        <v>70</v>
      </c>
      <c r="AI260" s="33" t="s">
        <v>70</v>
      </c>
      <c r="AJ260" s="26" t="s">
        <v>70</v>
      </c>
      <c r="AK260" s="33" t="s">
        <v>70</v>
      </c>
      <c r="AL260" s="33" t="s">
        <v>70</v>
      </c>
      <c r="AM260" s="35" t="s">
        <v>175</v>
      </c>
      <c r="AN260" s="32" t="s">
        <v>9</v>
      </c>
      <c r="AO260" s="35" t="s">
        <v>548</v>
      </c>
      <c r="AP260" s="35" t="s">
        <v>548</v>
      </c>
      <c r="AQ260" s="35" t="s">
        <v>548</v>
      </c>
      <c r="AR260" s="35" t="s">
        <v>548</v>
      </c>
      <c r="AS260" s="26" t="s">
        <v>175</v>
      </c>
      <c r="AT260" s="26" t="s">
        <v>70</v>
      </c>
      <c r="AU260" s="26" t="s">
        <v>70</v>
      </c>
      <c r="AV260" s="26">
        <v>8</v>
      </c>
    </row>
    <row r="261" spans="1:2089" ht="14" customHeight="1">
      <c r="A261" s="27">
        <v>260</v>
      </c>
      <c r="B261" s="27" t="s">
        <v>401</v>
      </c>
      <c r="C261" s="27">
        <v>2013</v>
      </c>
      <c r="D261" s="26" t="s">
        <v>134</v>
      </c>
      <c r="E261" s="26" t="s">
        <v>563</v>
      </c>
      <c r="F261" s="77" t="s">
        <v>175</v>
      </c>
      <c r="G261" s="2" t="s">
        <v>105</v>
      </c>
      <c r="H261" s="2" t="s">
        <v>24</v>
      </c>
      <c r="I261" s="2" t="s">
        <v>548</v>
      </c>
      <c r="J261" s="2" t="s">
        <v>604</v>
      </c>
      <c r="K261" s="2" t="s">
        <v>548</v>
      </c>
      <c r="L261" s="2" t="s">
        <v>548</v>
      </c>
      <c r="M261" s="2" t="s">
        <v>175</v>
      </c>
      <c r="N261" s="2" t="s">
        <v>62</v>
      </c>
      <c r="O261" s="2" t="s">
        <v>43</v>
      </c>
      <c r="P261" s="2" t="s">
        <v>62</v>
      </c>
      <c r="Q261" s="26" t="s">
        <v>607</v>
      </c>
      <c r="R261" s="102" t="s">
        <v>614</v>
      </c>
      <c r="S261" s="88">
        <v>1</v>
      </c>
      <c r="T261" s="26">
        <v>12</v>
      </c>
      <c r="U261" s="77">
        <v>1</v>
      </c>
      <c r="V261" s="26">
        <v>0</v>
      </c>
      <c r="W261" s="26">
        <v>1</v>
      </c>
      <c r="X261" s="26">
        <v>1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f>1/12</f>
        <v>8.3333333333333329E-2</v>
      </c>
      <c r="AE261" s="26">
        <f>7/12</f>
        <v>0.58333333333333337</v>
      </c>
      <c r="AF261" s="26">
        <f>4/12</f>
        <v>0.33333333333333331</v>
      </c>
      <c r="AG261" s="33" t="s">
        <v>70</v>
      </c>
      <c r="AH261" s="33" t="s">
        <v>70</v>
      </c>
      <c r="AI261" s="33" t="s">
        <v>70</v>
      </c>
      <c r="AJ261" s="47" t="str">
        <f>"4-75"</f>
        <v>4-75</v>
      </c>
      <c r="AK261" s="33" t="s">
        <v>70</v>
      </c>
      <c r="AL261" s="33" t="s">
        <v>70</v>
      </c>
      <c r="AM261" s="35" t="s">
        <v>175</v>
      </c>
      <c r="AN261" s="26" t="s">
        <v>274</v>
      </c>
      <c r="AO261" s="35" t="s">
        <v>548</v>
      </c>
      <c r="AP261" s="35" t="s">
        <v>548</v>
      </c>
      <c r="AQ261" s="35" t="s">
        <v>548</v>
      </c>
      <c r="AR261" s="35" t="s">
        <v>548</v>
      </c>
      <c r="AS261" s="26" t="s">
        <v>175</v>
      </c>
      <c r="AT261" s="26" t="s">
        <v>70</v>
      </c>
      <c r="AU261" s="26" t="s">
        <v>70</v>
      </c>
      <c r="AV261" s="26">
        <v>6</v>
      </c>
    </row>
    <row r="262" spans="1:2089" ht="14" customHeight="1">
      <c r="A262" s="27">
        <v>261</v>
      </c>
      <c r="B262" s="27" t="s">
        <v>401</v>
      </c>
      <c r="C262" s="27">
        <v>2013</v>
      </c>
      <c r="D262" s="26" t="s">
        <v>134</v>
      </c>
      <c r="E262" s="26" t="s">
        <v>563</v>
      </c>
      <c r="F262" s="77" t="s">
        <v>175</v>
      </c>
      <c r="G262" s="2" t="s">
        <v>105</v>
      </c>
      <c r="H262" s="2" t="s">
        <v>24</v>
      </c>
      <c r="I262" s="2" t="s">
        <v>548</v>
      </c>
      <c r="J262" s="2" t="s">
        <v>604</v>
      </c>
      <c r="K262" s="2" t="s">
        <v>548</v>
      </c>
      <c r="L262" s="2" t="s">
        <v>548</v>
      </c>
      <c r="M262" s="2" t="s">
        <v>175</v>
      </c>
      <c r="N262" s="2" t="s">
        <v>62</v>
      </c>
      <c r="O262" s="2" t="s">
        <v>43</v>
      </c>
      <c r="P262" s="2" t="s">
        <v>621</v>
      </c>
      <c r="Q262" s="2" t="s">
        <v>42</v>
      </c>
      <c r="R262" s="102" t="s">
        <v>614</v>
      </c>
      <c r="S262" s="2">
        <f>25/T262</f>
        <v>0.92592592592592593</v>
      </c>
      <c r="T262" s="26">
        <v>27</v>
      </c>
      <c r="U262" s="77">
        <v>1</v>
      </c>
      <c r="V262" s="26">
        <v>0</v>
      </c>
      <c r="W262" s="26">
        <v>1</v>
      </c>
      <c r="X262" s="26">
        <v>1</v>
      </c>
      <c r="Y262" s="26">
        <v>0</v>
      </c>
      <c r="Z262" s="26">
        <v>0</v>
      </c>
      <c r="AA262" s="26">
        <v>0</v>
      </c>
      <c r="AB262" s="26">
        <v>0</v>
      </c>
      <c r="AC262" s="26" t="s">
        <v>70</v>
      </c>
      <c r="AD262" s="26" t="s">
        <v>70</v>
      </c>
      <c r="AE262" s="26" t="s">
        <v>70</v>
      </c>
      <c r="AF262" s="26" t="s">
        <v>70</v>
      </c>
      <c r="AG262" s="33">
        <f>(175*6+161*4+141*7+54*10)/27</f>
        <v>119.29629629629629</v>
      </c>
      <c r="AH262" s="33" t="s">
        <v>70</v>
      </c>
      <c r="AI262" s="33" t="s">
        <v>70</v>
      </c>
      <c r="AJ262" s="26" t="s">
        <v>263</v>
      </c>
      <c r="AK262" s="33" t="s">
        <v>70</v>
      </c>
      <c r="AL262" s="33" t="s">
        <v>70</v>
      </c>
      <c r="AM262" s="35" t="s">
        <v>175</v>
      </c>
      <c r="AN262" s="26" t="s">
        <v>274</v>
      </c>
      <c r="AO262" s="35" t="s">
        <v>548</v>
      </c>
      <c r="AP262" s="35" t="s">
        <v>548</v>
      </c>
      <c r="AQ262" s="35" t="s">
        <v>548</v>
      </c>
      <c r="AR262" s="35" t="s">
        <v>548</v>
      </c>
      <c r="AS262" s="26" t="s">
        <v>175</v>
      </c>
      <c r="AT262" s="26" t="s">
        <v>70</v>
      </c>
      <c r="AU262" s="26" t="s">
        <v>70</v>
      </c>
      <c r="AV262" s="26">
        <v>6</v>
      </c>
    </row>
    <row r="263" spans="1:2089" ht="14" customHeight="1">
      <c r="A263" s="27">
        <v>262</v>
      </c>
      <c r="B263" s="27" t="s">
        <v>402</v>
      </c>
      <c r="C263" s="27">
        <v>2008</v>
      </c>
      <c r="D263" s="26" t="s">
        <v>65</v>
      </c>
      <c r="E263" s="26" t="s">
        <v>565</v>
      </c>
      <c r="F263" s="77" t="s">
        <v>175</v>
      </c>
      <c r="G263" s="2" t="s">
        <v>106</v>
      </c>
      <c r="H263" s="2" t="s">
        <v>24</v>
      </c>
      <c r="I263" s="2" t="s">
        <v>548</v>
      </c>
      <c r="J263" s="2" t="s">
        <v>605</v>
      </c>
      <c r="K263" s="2" t="s">
        <v>548</v>
      </c>
      <c r="L263" s="2" t="s">
        <v>548</v>
      </c>
      <c r="M263" s="2" t="s">
        <v>175</v>
      </c>
      <c r="N263" s="2" t="s">
        <v>209</v>
      </c>
      <c r="O263" s="2" t="s">
        <v>209</v>
      </c>
      <c r="P263" s="2" t="s">
        <v>620</v>
      </c>
      <c r="Q263" s="2" t="s">
        <v>42</v>
      </c>
      <c r="R263" s="102" t="s">
        <v>614</v>
      </c>
      <c r="S263" s="88" t="s">
        <v>70</v>
      </c>
      <c r="T263" s="26">
        <v>25</v>
      </c>
      <c r="U263" s="77">
        <v>1</v>
      </c>
      <c r="V263" s="26">
        <v>0</v>
      </c>
      <c r="W263" s="26">
        <v>1</v>
      </c>
      <c r="X263" s="26">
        <v>1</v>
      </c>
      <c r="Y263" s="26">
        <v>1</v>
      </c>
      <c r="Z263" s="26">
        <v>0</v>
      </c>
      <c r="AA263" s="26">
        <v>0</v>
      </c>
      <c r="AB263" s="26">
        <v>0</v>
      </c>
      <c r="AC263" s="33" t="s">
        <v>70</v>
      </c>
      <c r="AD263" s="33" t="s">
        <v>70</v>
      </c>
      <c r="AE263" s="33" t="s">
        <v>70</v>
      </c>
      <c r="AF263" s="33" t="s">
        <v>70</v>
      </c>
      <c r="AG263" s="33" t="s">
        <v>70</v>
      </c>
      <c r="AH263" s="33">
        <v>45</v>
      </c>
      <c r="AI263" s="33" t="s">
        <v>70</v>
      </c>
      <c r="AJ263" s="33" t="s">
        <v>70</v>
      </c>
      <c r="AK263" s="33" t="s">
        <v>70</v>
      </c>
      <c r="AL263" s="33" t="s">
        <v>70</v>
      </c>
      <c r="AM263" s="35" t="s">
        <v>175</v>
      </c>
      <c r="AN263" s="26" t="s">
        <v>274</v>
      </c>
      <c r="AO263" s="35" t="s">
        <v>175</v>
      </c>
      <c r="AP263" s="35" t="s">
        <v>548</v>
      </c>
      <c r="AQ263" s="35" t="s">
        <v>548</v>
      </c>
      <c r="AR263" s="35" t="s">
        <v>548</v>
      </c>
      <c r="AS263" s="26" t="s">
        <v>175</v>
      </c>
      <c r="AT263" s="26" t="s">
        <v>70</v>
      </c>
      <c r="AU263" s="26" t="s">
        <v>70</v>
      </c>
      <c r="AV263" s="26">
        <v>7</v>
      </c>
    </row>
    <row r="264" spans="1:2089" ht="14" customHeight="1">
      <c r="A264" s="27">
        <v>263</v>
      </c>
      <c r="B264" s="27" t="s">
        <v>402</v>
      </c>
      <c r="C264" s="27">
        <v>2008</v>
      </c>
      <c r="D264" s="26" t="s">
        <v>65</v>
      </c>
      <c r="E264" s="26" t="s">
        <v>565</v>
      </c>
      <c r="F264" s="77" t="s">
        <v>175</v>
      </c>
      <c r="G264" s="2" t="s">
        <v>106</v>
      </c>
      <c r="H264" s="2" t="s">
        <v>24</v>
      </c>
      <c r="I264" s="2" t="s">
        <v>548</v>
      </c>
      <c r="J264" s="2" t="s">
        <v>605</v>
      </c>
      <c r="K264" s="2" t="s">
        <v>548</v>
      </c>
      <c r="L264" s="2" t="s">
        <v>548</v>
      </c>
      <c r="M264" s="2" t="s">
        <v>175</v>
      </c>
      <c r="N264" s="2" t="s">
        <v>62</v>
      </c>
      <c r="O264" s="2" t="s">
        <v>43</v>
      </c>
      <c r="P264" s="2" t="s">
        <v>621</v>
      </c>
      <c r="Q264" s="2" t="s">
        <v>42</v>
      </c>
      <c r="R264" s="102" t="s">
        <v>614</v>
      </c>
      <c r="S264" s="88" t="s">
        <v>70</v>
      </c>
      <c r="T264" s="26">
        <v>259</v>
      </c>
      <c r="U264" s="77">
        <v>1</v>
      </c>
      <c r="V264" s="26">
        <v>0</v>
      </c>
      <c r="W264" s="26">
        <v>1</v>
      </c>
      <c r="X264" s="26">
        <v>1</v>
      </c>
      <c r="Y264" s="26">
        <v>1</v>
      </c>
      <c r="Z264" s="26">
        <v>0</v>
      </c>
      <c r="AA264" s="26">
        <v>0</v>
      </c>
      <c r="AB264" s="26">
        <v>0</v>
      </c>
      <c r="AC264" s="33" t="s">
        <v>70</v>
      </c>
      <c r="AD264" s="33" t="s">
        <v>70</v>
      </c>
      <c r="AE264" s="33" t="s">
        <v>70</v>
      </c>
      <c r="AF264" s="33" t="s">
        <v>70</v>
      </c>
      <c r="AG264" s="33" t="s">
        <v>70</v>
      </c>
      <c r="AH264" s="33">
        <v>51</v>
      </c>
      <c r="AI264" s="33" t="s">
        <v>70</v>
      </c>
      <c r="AJ264" s="33" t="s">
        <v>70</v>
      </c>
      <c r="AK264" s="33" t="s">
        <v>70</v>
      </c>
      <c r="AL264" s="33" t="s">
        <v>70</v>
      </c>
      <c r="AM264" s="35" t="s">
        <v>175</v>
      </c>
      <c r="AN264" s="26" t="s">
        <v>274</v>
      </c>
      <c r="AO264" s="35" t="s">
        <v>175</v>
      </c>
      <c r="AP264" s="35" t="s">
        <v>548</v>
      </c>
      <c r="AQ264" s="35" t="s">
        <v>548</v>
      </c>
      <c r="AR264" s="35" t="s">
        <v>548</v>
      </c>
      <c r="AS264" s="26" t="s">
        <v>175</v>
      </c>
      <c r="AT264" s="26" t="s">
        <v>70</v>
      </c>
      <c r="AU264" s="26" t="s">
        <v>70</v>
      </c>
      <c r="AV264" s="26">
        <v>7</v>
      </c>
    </row>
    <row r="265" spans="1:2089" ht="14" customHeight="1">
      <c r="A265" s="27">
        <v>264</v>
      </c>
      <c r="B265" s="27" t="s">
        <v>402</v>
      </c>
      <c r="C265" s="27">
        <v>2008</v>
      </c>
      <c r="D265" s="26" t="s">
        <v>65</v>
      </c>
      <c r="E265" s="26" t="s">
        <v>565</v>
      </c>
      <c r="F265" s="77" t="s">
        <v>175</v>
      </c>
      <c r="G265" s="2" t="s">
        <v>106</v>
      </c>
      <c r="H265" s="2" t="s">
        <v>24</v>
      </c>
      <c r="I265" s="2" t="s">
        <v>548</v>
      </c>
      <c r="J265" s="2" t="s">
        <v>605</v>
      </c>
      <c r="K265" s="2" t="s">
        <v>548</v>
      </c>
      <c r="L265" s="2" t="s">
        <v>548</v>
      </c>
      <c r="M265" s="2" t="s">
        <v>175</v>
      </c>
      <c r="N265" s="2" t="s">
        <v>608</v>
      </c>
      <c r="O265" s="2" t="s">
        <v>43</v>
      </c>
      <c r="P265" s="2" t="s">
        <v>623</v>
      </c>
      <c r="Q265" s="2" t="s">
        <v>42</v>
      </c>
      <c r="R265" s="102" t="s">
        <v>614</v>
      </c>
      <c r="S265" s="88" t="s">
        <v>70</v>
      </c>
      <c r="T265" s="26">
        <v>104</v>
      </c>
      <c r="U265" s="77">
        <v>1</v>
      </c>
      <c r="V265" s="26">
        <v>0</v>
      </c>
      <c r="W265" s="26">
        <v>1</v>
      </c>
      <c r="X265" s="26">
        <v>1</v>
      </c>
      <c r="Y265" s="26">
        <v>1</v>
      </c>
      <c r="Z265" s="26">
        <v>0</v>
      </c>
      <c r="AA265" s="26">
        <v>0</v>
      </c>
      <c r="AB265" s="26">
        <v>0</v>
      </c>
      <c r="AC265" s="33" t="s">
        <v>70</v>
      </c>
      <c r="AD265" s="33" t="s">
        <v>70</v>
      </c>
      <c r="AE265" s="33" t="s">
        <v>70</v>
      </c>
      <c r="AF265" s="33" t="s">
        <v>70</v>
      </c>
      <c r="AG265" s="33" t="s">
        <v>70</v>
      </c>
      <c r="AH265" s="33">
        <v>9</v>
      </c>
      <c r="AI265" s="33" t="s">
        <v>70</v>
      </c>
      <c r="AJ265" s="33" t="s">
        <v>70</v>
      </c>
      <c r="AK265" s="33" t="s">
        <v>70</v>
      </c>
      <c r="AL265" s="33" t="s">
        <v>70</v>
      </c>
      <c r="AM265" s="35" t="s">
        <v>175</v>
      </c>
      <c r="AN265" s="26" t="s">
        <v>274</v>
      </c>
      <c r="AO265" s="35" t="s">
        <v>175</v>
      </c>
      <c r="AP265" s="35" t="s">
        <v>548</v>
      </c>
      <c r="AQ265" s="35" t="s">
        <v>548</v>
      </c>
      <c r="AR265" s="35" t="s">
        <v>548</v>
      </c>
      <c r="AS265" s="26" t="s">
        <v>175</v>
      </c>
      <c r="AT265" s="26" t="s">
        <v>70</v>
      </c>
      <c r="AU265" s="26" t="s">
        <v>70</v>
      </c>
      <c r="AV265" s="26">
        <v>7</v>
      </c>
    </row>
    <row r="266" spans="1:2089" ht="14" customHeight="1">
      <c r="A266" s="27">
        <v>265</v>
      </c>
      <c r="B266" s="97" t="s">
        <v>259</v>
      </c>
      <c r="C266" s="64">
        <v>2009</v>
      </c>
      <c r="D266" s="40" t="s">
        <v>252</v>
      </c>
      <c r="E266" s="26" t="s">
        <v>565</v>
      </c>
      <c r="F266" s="77" t="s">
        <v>175</v>
      </c>
      <c r="G266" s="74" t="s">
        <v>149</v>
      </c>
      <c r="H266" s="2" t="s">
        <v>30</v>
      </c>
      <c r="I266" s="2" t="s">
        <v>548</v>
      </c>
      <c r="J266" s="2" t="s">
        <v>604</v>
      </c>
      <c r="K266" s="2" t="s">
        <v>548</v>
      </c>
      <c r="L266" s="74" t="s">
        <v>548</v>
      </c>
      <c r="M266" s="2" t="s">
        <v>175</v>
      </c>
      <c r="N266" s="2" t="s">
        <v>48</v>
      </c>
      <c r="O266" s="2" t="s">
        <v>209</v>
      </c>
      <c r="P266" s="2" t="s">
        <v>48</v>
      </c>
      <c r="Q266" s="2" t="s">
        <v>42</v>
      </c>
      <c r="R266" s="79" t="s">
        <v>613</v>
      </c>
      <c r="S266" s="2">
        <f>1-0.9286</f>
        <v>7.1400000000000019E-2</v>
      </c>
      <c r="T266" s="26">
        <v>42</v>
      </c>
      <c r="U266" s="77">
        <v>1</v>
      </c>
      <c r="V266" s="26">
        <v>1</v>
      </c>
      <c r="W266" s="26">
        <v>1</v>
      </c>
      <c r="X266" s="26">
        <v>1</v>
      </c>
      <c r="Y266" s="26">
        <v>1</v>
      </c>
      <c r="Z266" s="26">
        <v>0</v>
      </c>
      <c r="AA266" s="26">
        <v>1</v>
      </c>
      <c r="AB266" s="26">
        <v>1</v>
      </c>
      <c r="AC266" s="26" t="s">
        <v>70</v>
      </c>
      <c r="AD266" s="26" t="s">
        <v>70</v>
      </c>
      <c r="AE266" s="26" t="s">
        <v>70</v>
      </c>
      <c r="AF266" s="26" t="s">
        <v>70</v>
      </c>
      <c r="AG266" s="26" t="s">
        <v>70</v>
      </c>
      <c r="AH266" s="26" t="s">
        <v>70</v>
      </c>
      <c r="AI266" s="26" t="s">
        <v>70</v>
      </c>
      <c r="AJ266" s="26" t="s">
        <v>70</v>
      </c>
      <c r="AK266" s="26" t="s">
        <v>70</v>
      </c>
      <c r="AL266" s="26" t="s">
        <v>70</v>
      </c>
      <c r="AM266" s="35" t="s">
        <v>548</v>
      </c>
      <c r="AN266" s="26" t="s">
        <v>274</v>
      </c>
      <c r="AO266" s="35" t="s">
        <v>548</v>
      </c>
      <c r="AP266" s="35" t="s">
        <v>548</v>
      </c>
      <c r="AQ266" s="35" t="s">
        <v>548</v>
      </c>
      <c r="AR266" s="35" t="s">
        <v>548</v>
      </c>
      <c r="AS266" s="26" t="s">
        <v>175</v>
      </c>
      <c r="AT266" s="26" t="s">
        <v>70</v>
      </c>
      <c r="AU266" s="26" t="s">
        <v>70</v>
      </c>
      <c r="AV266" s="26">
        <v>9</v>
      </c>
    </row>
    <row r="267" spans="1:2089" s="65" customFormat="1" ht="14" customHeight="1">
      <c r="A267" s="27">
        <v>266</v>
      </c>
      <c r="B267" s="27" t="s">
        <v>403</v>
      </c>
      <c r="C267" s="27" t="s">
        <v>42</v>
      </c>
      <c r="D267" s="26" t="s">
        <v>12</v>
      </c>
      <c r="E267" s="26" t="s">
        <v>566</v>
      </c>
      <c r="F267" s="77" t="s">
        <v>175</v>
      </c>
      <c r="G267" s="2" t="s">
        <v>106</v>
      </c>
      <c r="H267" s="2" t="s">
        <v>24</v>
      </c>
      <c r="I267" s="2" t="s">
        <v>175</v>
      </c>
      <c r="J267" s="2" t="s">
        <v>183</v>
      </c>
      <c r="K267" s="2" t="s">
        <v>548</v>
      </c>
      <c r="L267" s="2" t="s">
        <v>548</v>
      </c>
      <c r="M267" s="2" t="s">
        <v>175</v>
      </c>
      <c r="N267" s="2" t="s">
        <v>210</v>
      </c>
      <c r="O267" s="2" t="s">
        <v>43</v>
      </c>
      <c r="P267" s="2" t="s">
        <v>210</v>
      </c>
      <c r="Q267" s="2" t="s">
        <v>42</v>
      </c>
      <c r="R267" s="79" t="s">
        <v>613</v>
      </c>
      <c r="S267" s="2">
        <f>4/T267</f>
        <v>5.3333333333333337E-2</v>
      </c>
      <c r="T267" s="26">
        <v>75</v>
      </c>
      <c r="U267" s="77">
        <v>1</v>
      </c>
      <c r="V267" s="26">
        <v>0</v>
      </c>
      <c r="W267" s="26">
        <v>1</v>
      </c>
      <c r="X267" s="26">
        <v>0</v>
      </c>
      <c r="Y267" s="26">
        <v>1</v>
      </c>
      <c r="Z267" s="26">
        <v>0</v>
      </c>
      <c r="AA267" s="26">
        <v>0</v>
      </c>
      <c r="AB267" s="26">
        <v>0</v>
      </c>
      <c r="AC267" s="26" t="s">
        <v>70</v>
      </c>
      <c r="AD267" s="26" t="s">
        <v>70</v>
      </c>
      <c r="AE267" s="26" t="s">
        <v>70</v>
      </c>
      <c r="AF267" s="26" t="s">
        <v>70</v>
      </c>
      <c r="AG267" s="33">
        <v>34</v>
      </c>
      <c r="AH267" s="26" t="s">
        <v>70</v>
      </c>
      <c r="AI267" s="26" t="s">
        <v>70</v>
      </c>
      <c r="AJ267" s="26" t="s">
        <v>70</v>
      </c>
      <c r="AK267" s="26" t="s">
        <v>70</v>
      </c>
      <c r="AL267" s="26" t="s">
        <v>70</v>
      </c>
      <c r="AM267" s="35" t="s">
        <v>548</v>
      </c>
      <c r="AN267" s="26" t="s">
        <v>274</v>
      </c>
      <c r="AO267" s="35" t="s">
        <v>548</v>
      </c>
      <c r="AP267" s="35" t="s">
        <v>548</v>
      </c>
      <c r="AQ267" s="35" t="s">
        <v>548</v>
      </c>
      <c r="AR267" s="35" t="s">
        <v>548</v>
      </c>
      <c r="AS267" s="26" t="s">
        <v>175</v>
      </c>
      <c r="AT267" s="26" t="s">
        <v>70</v>
      </c>
      <c r="AU267" s="26" t="s">
        <v>70</v>
      </c>
      <c r="AV267" s="26">
        <v>6</v>
      </c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  <c r="GR267" s="26"/>
      <c r="GS267" s="26"/>
      <c r="GT267" s="26"/>
      <c r="GU267" s="26"/>
      <c r="GV267" s="26"/>
      <c r="GW267" s="26"/>
      <c r="GX267" s="26"/>
      <c r="GY267" s="26"/>
      <c r="GZ267" s="26"/>
      <c r="HA267" s="26"/>
      <c r="HB267" s="26"/>
      <c r="HC267" s="26"/>
      <c r="HD267" s="26"/>
      <c r="HE267" s="26"/>
      <c r="HF267" s="26"/>
      <c r="HG267" s="26"/>
      <c r="HH267" s="26"/>
      <c r="HI267" s="26"/>
      <c r="HJ267" s="26"/>
      <c r="HK267" s="26"/>
      <c r="HL267" s="26"/>
      <c r="HM267" s="26"/>
      <c r="HN267" s="26"/>
      <c r="HO267" s="26"/>
      <c r="HP267" s="26"/>
      <c r="HQ267" s="26"/>
      <c r="HR267" s="26"/>
      <c r="HS267" s="26"/>
      <c r="HT267" s="26"/>
      <c r="HU267" s="26"/>
      <c r="HV267" s="26"/>
      <c r="HW267" s="26"/>
      <c r="HX267" s="26"/>
      <c r="HY267" s="26"/>
      <c r="HZ267" s="26"/>
      <c r="IA267" s="26"/>
      <c r="IB267" s="26"/>
      <c r="IC267" s="26"/>
      <c r="ID267" s="26"/>
      <c r="IE267" s="26"/>
      <c r="IF267" s="26"/>
      <c r="IG267" s="26"/>
      <c r="IH267" s="26"/>
      <c r="II267" s="26"/>
      <c r="IJ267" s="26"/>
      <c r="IK267" s="26"/>
      <c r="IL267" s="26"/>
      <c r="IM267" s="26"/>
      <c r="IN267" s="26"/>
      <c r="IO267" s="26"/>
      <c r="IP267" s="26"/>
      <c r="IQ267" s="26"/>
      <c r="IR267" s="26"/>
      <c r="IS267" s="26"/>
      <c r="IT267" s="26"/>
      <c r="IU267" s="26"/>
      <c r="IV267" s="26"/>
      <c r="IW267" s="26"/>
      <c r="IX267" s="26"/>
      <c r="IY267" s="26"/>
      <c r="IZ267" s="26"/>
      <c r="JA267" s="26"/>
      <c r="JB267" s="26"/>
      <c r="JC267" s="26"/>
      <c r="JD267" s="26"/>
      <c r="JE267" s="26"/>
      <c r="JF267" s="26"/>
      <c r="JG267" s="26"/>
      <c r="JH267" s="26"/>
      <c r="JI267" s="26"/>
      <c r="JJ267" s="26"/>
      <c r="JK267" s="26"/>
      <c r="JL267" s="26"/>
      <c r="JM267" s="26"/>
      <c r="JN267" s="26"/>
      <c r="JO267" s="26"/>
      <c r="JP267" s="26"/>
      <c r="JQ267" s="26"/>
      <c r="JR267" s="26"/>
      <c r="JS267" s="26"/>
      <c r="JT267" s="26"/>
      <c r="JU267" s="26"/>
      <c r="JV267" s="26"/>
      <c r="JW267" s="26"/>
      <c r="JX267" s="26"/>
      <c r="JY267" s="26"/>
      <c r="JZ267" s="26"/>
      <c r="KA267" s="26"/>
      <c r="KB267" s="26"/>
      <c r="KC267" s="26"/>
      <c r="KD267" s="26"/>
      <c r="KE267" s="26"/>
      <c r="KF267" s="26"/>
      <c r="KG267" s="26"/>
      <c r="KH267" s="26"/>
      <c r="KI267" s="26"/>
      <c r="KJ267" s="26"/>
      <c r="KK267" s="26"/>
      <c r="KL267" s="26"/>
      <c r="KM267" s="26"/>
      <c r="KN267" s="26"/>
      <c r="KO267" s="26"/>
      <c r="KP267" s="26"/>
      <c r="KQ267" s="26"/>
      <c r="KR267" s="26"/>
      <c r="KS267" s="26"/>
      <c r="KT267" s="26"/>
      <c r="KU267" s="26"/>
      <c r="KV267" s="26"/>
      <c r="KW267" s="26"/>
      <c r="KX267" s="26"/>
      <c r="KY267" s="26"/>
      <c r="KZ267" s="26"/>
      <c r="LA267" s="26"/>
      <c r="LB267" s="26"/>
      <c r="LC267" s="26"/>
      <c r="LD267" s="26"/>
      <c r="LE267" s="26"/>
      <c r="LF267" s="26"/>
      <c r="LG267" s="26"/>
      <c r="LH267" s="26"/>
      <c r="LI267" s="26"/>
      <c r="LJ267" s="26"/>
      <c r="LK267" s="26"/>
      <c r="LL267" s="26"/>
      <c r="LM267" s="26"/>
      <c r="LN267" s="26"/>
      <c r="LO267" s="26"/>
      <c r="LP267" s="26"/>
      <c r="LQ267" s="26"/>
      <c r="LR267" s="26"/>
      <c r="LS267" s="26"/>
      <c r="LT267" s="26"/>
      <c r="LU267" s="26"/>
      <c r="LV267" s="26"/>
      <c r="LW267" s="26"/>
      <c r="LX267" s="26"/>
      <c r="LY267" s="26"/>
      <c r="LZ267" s="26"/>
      <c r="MA267" s="26"/>
      <c r="MB267" s="26"/>
      <c r="MC267" s="26"/>
      <c r="MD267" s="26"/>
      <c r="ME267" s="26"/>
      <c r="MF267" s="26"/>
      <c r="MG267" s="26"/>
      <c r="MH267" s="26"/>
      <c r="MI267" s="26"/>
      <c r="MJ267" s="26"/>
      <c r="MK267" s="26"/>
      <c r="ML267" s="26"/>
      <c r="MM267" s="26"/>
      <c r="MN267" s="26"/>
      <c r="MO267" s="26"/>
      <c r="MP267" s="26"/>
      <c r="MQ267" s="26"/>
      <c r="MR267" s="26"/>
      <c r="MS267" s="26"/>
      <c r="MT267" s="26"/>
      <c r="MU267" s="26"/>
      <c r="MV267" s="26"/>
      <c r="MW267" s="26"/>
      <c r="MX267" s="26"/>
      <c r="MY267" s="26"/>
      <c r="MZ267" s="26"/>
      <c r="NA267" s="26"/>
      <c r="NB267" s="26"/>
      <c r="NC267" s="26"/>
      <c r="ND267" s="26"/>
      <c r="NE267" s="26"/>
      <c r="NF267" s="26"/>
      <c r="NG267" s="26"/>
      <c r="NH267" s="26"/>
      <c r="NI267" s="26"/>
      <c r="NJ267" s="26"/>
      <c r="NK267" s="26"/>
      <c r="NL267" s="26"/>
      <c r="NM267" s="26"/>
      <c r="NN267" s="26"/>
      <c r="NO267" s="26"/>
      <c r="NP267" s="26"/>
      <c r="NQ267" s="26"/>
      <c r="NR267" s="26"/>
      <c r="NS267" s="26"/>
      <c r="NT267" s="26"/>
      <c r="NU267" s="26"/>
      <c r="NV267" s="26"/>
      <c r="NW267" s="26"/>
      <c r="NX267" s="26"/>
      <c r="NY267" s="26"/>
      <c r="NZ267" s="26"/>
      <c r="OA267" s="26"/>
      <c r="OB267" s="26"/>
      <c r="OC267" s="26"/>
      <c r="OD267" s="26"/>
      <c r="OE267" s="26"/>
      <c r="OF267" s="26"/>
      <c r="OG267" s="26"/>
      <c r="OH267" s="26"/>
      <c r="OI267" s="26"/>
      <c r="OJ267" s="26"/>
      <c r="OK267" s="26"/>
      <c r="OL267" s="26"/>
      <c r="OM267" s="26"/>
      <c r="ON267" s="26"/>
      <c r="OO267" s="26"/>
      <c r="OP267" s="26"/>
      <c r="OQ267" s="26"/>
      <c r="OR267" s="26"/>
      <c r="OS267" s="26"/>
      <c r="OT267" s="26"/>
      <c r="OU267" s="26"/>
      <c r="OV267" s="26"/>
      <c r="OW267" s="26"/>
      <c r="OX267" s="26"/>
      <c r="OY267" s="26"/>
      <c r="OZ267" s="26"/>
      <c r="PA267" s="26"/>
      <c r="PB267" s="26"/>
      <c r="PC267" s="26"/>
      <c r="PD267" s="26"/>
      <c r="PE267" s="26"/>
      <c r="PF267" s="26"/>
      <c r="PG267" s="26"/>
      <c r="PH267" s="26"/>
      <c r="PI267" s="26"/>
      <c r="PJ267" s="26"/>
      <c r="PK267" s="26"/>
      <c r="PL267" s="26"/>
      <c r="PM267" s="26"/>
      <c r="PN267" s="26"/>
      <c r="PO267" s="26"/>
      <c r="PP267" s="26"/>
      <c r="PQ267" s="26"/>
      <c r="PR267" s="26"/>
      <c r="PS267" s="26"/>
      <c r="PT267" s="26"/>
      <c r="PU267" s="26"/>
      <c r="PV267" s="26"/>
      <c r="PW267" s="26"/>
      <c r="PX267" s="26"/>
      <c r="PY267" s="26"/>
      <c r="PZ267" s="26"/>
      <c r="QA267" s="26"/>
      <c r="QB267" s="26"/>
      <c r="QC267" s="26"/>
      <c r="QD267" s="26"/>
      <c r="QE267" s="26"/>
      <c r="QF267" s="26"/>
      <c r="QG267" s="26"/>
      <c r="QH267" s="26"/>
      <c r="QI267" s="26"/>
      <c r="QJ267" s="26"/>
      <c r="QK267" s="26"/>
      <c r="QL267" s="26"/>
      <c r="QM267" s="26"/>
      <c r="QN267" s="26"/>
      <c r="QO267" s="26"/>
      <c r="QP267" s="26"/>
      <c r="QQ267" s="26"/>
      <c r="QR267" s="26"/>
      <c r="QS267" s="26"/>
      <c r="QT267" s="26"/>
      <c r="QU267" s="26"/>
      <c r="QV267" s="26"/>
      <c r="QW267" s="26"/>
      <c r="QX267" s="26"/>
      <c r="QY267" s="26"/>
      <c r="QZ267" s="26"/>
      <c r="RA267" s="26"/>
      <c r="RB267" s="26"/>
      <c r="RC267" s="26"/>
      <c r="RD267" s="26"/>
      <c r="RE267" s="26"/>
      <c r="RF267" s="26"/>
      <c r="RG267" s="26"/>
      <c r="RH267" s="26"/>
      <c r="RI267" s="26"/>
      <c r="RJ267" s="26"/>
      <c r="RK267" s="26"/>
      <c r="RL267" s="26"/>
      <c r="RM267" s="26"/>
      <c r="RN267" s="26"/>
      <c r="RO267" s="26"/>
      <c r="RP267" s="26"/>
      <c r="RQ267" s="26"/>
      <c r="RR267" s="26"/>
      <c r="RS267" s="26"/>
      <c r="RT267" s="26"/>
      <c r="RU267" s="26"/>
      <c r="RV267" s="26"/>
      <c r="RW267" s="26"/>
      <c r="RX267" s="26"/>
      <c r="RY267" s="26"/>
      <c r="RZ267" s="26"/>
      <c r="SA267" s="26"/>
      <c r="SB267" s="26"/>
      <c r="SC267" s="26"/>
      <c r="SD267" s="26"/>
      <c r="SE267" s="26"/>
      <c r="SF267" s="26"/>
      <c r="SG267" s="26"/>
      <c r="SH267" s="26"/>
      <c r="SI267" s="26"/>
      <c r="SJ267" s="26"/>
      <c r="SK267" s="26"/>
      <c r="SL267" s="26"/>
      <c r="SM267" s="26"/>
      <c r="SN267" s="26"/>
      <c r="SO267" s="26"/>
      <c r="SP267" s="26"/>
      <c r="SQ267" s="26"/>
      <c r="SR267" s="26"/>
      <c r="SS267" s="26"/>
      <c r="ST267" s="26"/>
      <c r="SU267" s="26"/>
      <c r="SV267" s="26"/>
      <c r="SW267" s="26"/>
      <c r="SX267" s="26"/>
      <c r="SY267" s="26"/>
      <c r="SZ267" s="26"/>
      <c r="TA267" s="26"/>
      <c r="TB267" s="26"/>
      <c r="TC267" s="26"/>
      <c r="TD267" s="26"/>
      <c r="TE267" s="26"/>
      <c r="TF267" s="26"/>
      <c r="TG267" s="26"/>
      <c r="TH267" s="26"/>
      <c r="TI267" s="26"/>
      <c r="TJ267" s="26"/>
      <c r="TK267" s="26"/>
      <c r="TL267" s="26"/>
      <c r="TM267" s="26"/>
      <c r="TN267" s="26"/>
      <c r="TO267" s="26"/>
      <c r="TP267" s="26"/>
      <c r="TQ267" s="26"/>
      <c r="TR267" s="26"/>
      <c r="TS267" s="26"/>
      <c r="TT267" s="26"/>
      <c r="TU267" s="26"/>
      <c r="TV267" s="26"/>
      <c r="TW267" s="26"/>
      <c r="TX267" s="26"/>
      <c r="TY267" s="26"/>
      <c r="TZ267" s="26"/>
      <c r="UA267" s="26"/>
      <c r="UB267" s="26"/>
      <c r="UC267" s="26"/>
      <c r="UD267" s="26"/>
      <c r="UE267" s="26"/>
      <c r="UF267" s="26"/>
      <c r="UG267" s="26"/>
      <c r="UH267" s="26"/>
      <c r="UI267" s="26"/>
      <c r="UJ267" s="26"/>
      <c r="UK267" s="26"/>
      <c r="UL267" s="26"/>
      <c r="UM267" s="26"/>
      <c r="UN267" s="26"/>
      <c r="UO267" s="26"/>
      <c r="UP267" s="26"/>
      <c r="UQ267" s="26"/>
      <c r="UR267" s="26"/>
      <c r="US267" s="26"/>
      <c r="UT267" s="26"/>
      <c r="UU267" s="26"/>
      <c r="UV267" s="26"/>
      <c r="UW267" s="26"/>
      <c r="UX267" s="26"/>
      <c r="UY267" s="26"/>
      <c r="UZ267" s="26"/>
      <c r="VA267" s="26"/>
      <c r="VB267" s="26"/>
      <c r="VC267" s="26"/>
      <c r="VD267" s="26"/>
      <c r="VE267" s="26"/>
      <c r="VF267" s="26"/>
      <c r="VG267" s="26"/>
      <c r="VH267" s="26"/>
      <c r="VI267" s="26"/>
      <c r="VJ267" s="26"/>
      <c r="VK267" s="26"/>
      <c r="VL267" s="26"/>
      <c r="VM267" s="26"/>
      <c r="VN267" s="26"/>
      <c r="VO267" s="26"/>
      <c r="VP267" s="26"/>
      <c r="VQ267" s="26"/>
      <c r="VR267" s="26"/>
      <c r="VS267" s="26"/>
      <c r="VT267" s="26"/>
      <c r="VU267" s="26"/>
      <c r="VV267" s="26"/>
      <c r="VW267" s="26"/>
      <c r="VX267" s="26"/>
      <c r="VY267" s="26"/>
      <c r="VZ267" s="26"/>
      <c r="WA267" s="26"/>
      <c r="WB267" s="26"/>
      <c r="WC267" s="26"/>
      <c r="WD267" s="26"/>
      <c r="WE267" s="26"/>
      <c r="WF267" s="26"/>
      <c r="WG267" s="26"/>
      <c r="WH267" s="26"/>
      <c r="WI267" s="26"/>
      <c r="WJ267" s="26"/>
      <c r="WK267" s="26"/>
      <c r="WL267" s="26"/>
      <c r="WM267" s="26"/>
      <c r="WN267" s="26"/>
      <c r="WO267" s="26"/>
      <c r="WP267" s="26"/>
      <c r="WQ267" s="26"/>
      <c r="WR267" s="26"/>
      <c r="WS267" s="26"/>
      <c r="WT267" s="26"/>
      <c r="WU267" s="26"/>
      <c r="WV267" s="26"/>
      <c r="WW267" s="26"/>
      <c r="WX267" s="26"/>
      <c r="WY267" s="26"/>
      <c r="WZ267" s="26"/>
      <c r="XA267" s="26"/>
      <c r="XB267" s="26"/>
      <c r="XC267" s="26"/>
      <c r="XD267" s="26"/>
      <c r="XE267" s="26"/>
      <c r="XF267" s="26"/>
      <c r="XG267" s="26"/>
      <c r="XH267" s="26"/>
      <c r="XI267" s="26"/>
      <c r="XJ267" s="26"/>
      <c r="XK267" s="26"/>
      <c r="XL267" s="26"/>
      <c r="XM267" s="26"/>
      <c r="XN267" s="26"/>
      <c r="XO267" s="26"/>
      <c r="XP267" s="26"/>
      <c r="XQ267" s="26"/>
      <c r="XR267" s="26"/>
      <c r="XS267" s="26"/>
      <c r="XT267" s="26"/>
      <c r="XU267" s="26"/>
      <c r="XV267" s="26"/>
      <c r="XW267" s="26"/>
      <c r="XX267" s="26"/>
      <c r="XY267" s="26"/>
      <c r="XZ267" s="26"/>
      <c r="YA267" s="26"/>
      <c r="YB267" s="26"/>
      <c r="YC267" s="26"/>
      <c r="YD267" s="26"/>
      <c r="YE267" s="26"/>
      <c r="YF267" s="26"/>
      <c r="YG267" s="26"/>
      <c r="YH267" s="26"/>
      <c r="YI267" s="26"/>
      <c r="YJ267" s="26"/>
      <c r="YK267" s="26"/>
      <c r="YL267" s="26"/>
      <c r="YM267" s="26"/>
      <c r="YN267" s="26"/>
      <c r="YO267" s="26"/>
      <c r="YP267" s="26"/>
      <c r="YQ267" s="26"/>
      <c r="YR267" s="26"/>
      <c r="YS267" s="26"/>
      <c r="YT267" s="26"/>
      <c r="YU267" s="26"/>
      <c r="YV267" s="26"/>
      <c r="YW267" s="26"/>
      <c r="YX267" s="26"/>
      <c r="YY267" s="26"/>
      <c r="YZ267" s="26"/>
      <c r="ZA267" s="26"/>
      <c r="ZB267" s="26"/>
      <c r="ZC267" s="26"/>
      <c r="ZD267" s="26"/>
      <c r="ZE267" s="26"/>
      <c r="ZF267" s="26"/>
      <c r="ZG267" s="26"/>
      <c r="ZH267" s="26"/>
      <c r="ZI267" s="26"/>
      <c r="ZJ267" s="26"/>
      <c r="ZK267" s="26"/>
      <c r="ZL267" s="26"/>
      <c r="ZM267" s="26"/>
      <c r="ZN267" s="26"/>
      <c r="ZO267" s="26"/>
      <c r="ZP267" s="26"/>
      <c r="ZQ267" s="26"/>
      <c r="ZR267" s="26"/>
      <c r="ZS267" s="26"/>
      <c r="ZT267" s="26"/>
      <c r="ZU267" s="26"/>
      <c r="ZV267" s="26"/>
      <c r="ZW267" s="26"/>
      <c r="ZX267" s="26"/>
      <c r="ZY267" s="26"/>
      <c r="ZZ267" s="26"/>
      <c r="AAA267" s="26"/>
      <c r="AAB267" s="26"/>
      <c r="AAC267" s="26"/>
      <c r="AAD267" s="26"/>
      <c r="AAE267" s="26"/>
      <c r="AAF267" s="26"/>
      <c r="AAG267" s="26"/>
      <c r="AAH267" s="26"/>
      <c r="AAI267" s="26"/>
      <c r="AAJ267" s="26"/>
      <c r="AAK267" s="26"/>
      <c r="AAL267" s="26"/>
      <c r="AAM267" s="26"/>
      <c r="AAN267" s="26"/>
      <c r="AAO267" s="26"/>
      <c r="AAP267" s="26"/>
      <c r="AAQ267" s="26"/>
      <c r="AAR267" s="26"/>
      <c r="AAS267" s="26"/>
      <c r="AAT267" s="26"/>
      <c r="AAU267" s="26"/>
      <c r="AAV267" s="26"/>
      <c r="AAW267" s="26"/>
      <c r="AAX267" s="26"/>
      <c r="AAY267" s="26"/>
      <c r="AAZ267" s="26"/>
      <c r="ABA267" s="26"/>
      <c r="ABB267" s="26"/>
      <c r="ABC267" s="26"/>
      <c r="ABD267" s="26"/>
      <c r="ABE267" s="26"/>
      <c r="ABF267" s="26"/>
      <c r="ABG267" s="26"/>
      <c r="ABH267" s="26"/>
      <c r="ABI267" s="26"/>
      <c r="ABJ267" s="26"/>
      <c r="ABK267" s="26"/>
      <c r="ABL267" s="26"/>
      <c r="ABM267" s="26"/>
      <c r="ABN267" s="26"/>
      <c r="ABO267" s="26"/>
      <c r="ABP267" s="26"/>
      <c r="ABQ267" s="26"/>
      <c r="ABR267" s="26"/>
      <c r="ABS267" s="26"/>
      <c r="ABT267" s="26"/>
      <c r="ABU267" s="26"/>
      <c r="ABV267" s="26"/>
      <c r="ABW267" s="26"/>
      <c r="ABX267" s="26"/>
      <c r="ABY267" s="26"/>
      <c r="ABZ267" s="26"/>
      <c r="ACA267" s="26"/>
      <c r="ACB267" s="26"/>
      <c r="ACC267" s="26"/>
      <c r="ACD267" s="26"/>
      <c r="ACE267" s="26"/>
      <c r="ACF267" s="26"/>
      <c r="ACG267" s="26"/>
      <c r="ACH267" s="26"/>
      <c r="ACI267" s="26"/>
      <c r="ACJ267" s="26"/>
      <c r="ACK267" s="26"/>
      <c r="ACL267" s="26"/>
      <c r="ACM267" s="26"/>
      <c r="ACN267" s="26"/>
      <c r="ACO267" s="26"/>
      <c r="ACP267" s="26"/>
      <c r="ACQ267" s="26"/>
      <c r="ACR267" s="26"/>
      <c r="ACS267" s="26"/>
      <c r="ACT267" s="26"/>
      <c r="ACU267" s="26"/>
      <c r="ACV267" s="26"/>
      <c r="ACW267" s="26"/>
      <c r="ACX267" s="26"/>
      <c r="ACY267" s="26"/>
      <c r="ACZ267" s="26"/>
      <c r="ADA267" s="26"/>
      <c r="ADB267" s="26"/>
      <c r="ADC267" s="26"/>
      <c r="ADD267" s="26"/>
      <c r="ADE267" s="26"/>
      <c r="ADF267" s="26"/>
      <c r="ADG267" s="26"/>
      <c r="ADH267" s="26"/>
      <c r="ADI267" s="26"/>
      <c r="ADJ267" s="26"/>
      <c r="ADK267" s="26"/>
      <c r="ADL267" s="26"/>
      <c r="ADM267" s="26"/>
      <c r="ADN267" s="26"/>
      <c r="ADO267" s="26"/>
      <c r="ADP267" s="26"/>
      <c r="ADQ267" s="26"/>
      <c r="ADR267" s="26"/>
      <c r="ADS267" s="26"/>
      <c r="ADT267" s="26"/>
      <c r="ADU267" s="26"/>
      <c r="ADV267" s="26"/>
      <c r="ADW267" s="26"/>
      <c r="ADX267" s="26"/>
      <c r="ADY267" s="26"/>
      <c r="ADZ267" s="26"/>
      <c r="AEA267" s="26"/>
      <c r="AEB267" s="26"/>
      <c r="AEC267" s="26"/>
      <c r="AED267" s="26"/>
      <c r="AEE267" s="26"/>
      <c r="AEF267" s="26"/>
      <c r="AEG267" s="26"/>
      <c r="AEH267" s="26"/>
      <c r="AEI267" s="26"/>
      <c r="AEJ267" s="26"/>
      <c r="AEK267" s="26"/>
      <c r="AEL267" s="26"/>
      <c r="AEM267" s="26"/>
      <c r="AEN267" s="26"/>
      <c r="AEO267" s="26"/>
      <c r="AEP267" s="26"/>
      <c r="AEQ267" s="26"/>
      <c r="AER267" s="26"/>
      <c r="AES267" s="26"/>
      <c r="AET267" s="26"/>
      <c r="AEU267" s="26"/>
      <c r="AEV267" s="26"/>
      <c r="AEW267" s="26"/>
      <c r="AEX267" s="26"/>
      <c r="AEY267" s="26"/>
      <c r="AEZ267" s="26"/>
      <c r="AFA267" s="26"/>
      <c r="AFB267" s="26"/>
      <c r="AFC267" s="26"/>
      <c r="AFD267" s="26"/>
      <c r="AFE267" s="26"/>
      <c r="AFF267" s="26"/>
      <c r="AFG267" s="26"/>
      <c r="AFH267" s="26"/>
      <c r="AFI267" s="26"/>
      <c r="AFJ267" s="26"/>
      <c r="AFK267" s="26"/>
      <c r="AFL267" s="26"/>
      <c r="AFM267" s="26"/>
      <c r="AFN267" s="26"/>
      <c r="AFO267" s="26"/>
      <c r="AFP267" s="26"/>
      <c r="AFQ267" s="26"/>
      <c r="AFR267" s="26"/>
      <c r="AFS267" s="26"/>
      <c r="AFT267" s="26"/>
      <c r="AFU267" s="26"/>
      <c r="AFV267" s="26"/>
      <c r="AFW267" s="26"/>
      <c r="AFX267" s="26"/>
      <c r="AFY267" s="26"/>
      <c r="AFZ267" s="26"/>
      <c r="AGA267" s="26"/>
      <c r="AGB267" s="26"/>
      <c r="AGC267" s="26"/>
      <c r="AGD267" s="26"/>
      <c r="AGE267" s="26"/>
      <c r="AGF267" s="26"/>
      <c r="AGG267" s="26"/>
      <c r="AGH267" s="26"/>
      <c r="AGI267" s="26"/>
      <c r="AGJ267" s="26"/>
      <c r="AGK267" s="26"/>
      <c r="AGL267" s="26"/>
      <c r="AGM267" s="26"/>
      <c r="AGN267" s="26"/>
      <c r="AGO267" s="26"/>
      <c r="AGP267" s="26"/>
      <c r="AGQ267" s="26"/>
      <c r="AGR267" s="26"/>
      <c r="AGS267" s="26"/>
      <c r="AGT267" s="26"/>
      <c r="AGU267" s="26"/>
      <c r="AGV267" s="26"/>
      <c r="AGW267" s="26"/>
      <c r="AGX267" s="26"/>
      <c r="AGY267" s="26"/>
      <c r="AGZ267" s="26"/>
      <c r="AHA267" s="26"/>
      <c r="AHB267" s="26"/>
      <c r="AHC267" s="26"/>
      <c r="AHD267" s="26"/>
      <c r="AHE267" s="26"/>
      <c r="AHF267" s="26"/>
      <c r="AHG267" s="26"/>
      <c r="AHH267" s="26"/>
      <c r="AHI267" s="26"/>
      <c r="AHJ267" s="26"/>
      <c r="AHK267" s="26"/>
      <c r="AHL267" s="26"/>
      <c r="AHM267" s="26"/>
      <c r="AHN267" s="26"/>
      <c r="AHO267" s="26"/>
      <c r="AHP267" s="26"/>
      <c r="AHQ267" s="26"/>
      <c r="AHR267" s="26"/>
      <c r="AHS267" s="26"/>
      <c r="AHT267" s="26"/>
      <c r="AHU267" s="26"/>
      <c r="AHV267" s="26"/>
      <c r="AHW267" s="26"/>
      <c r="AHX267" s="26"/>
      <c r="AHY267" s="26"/>
      <c r="AHZ267" s="26"/>
      <c r="AIA267" s="26"/>
      <c r="AIB267" s="26"/>
      <c r="AIC267" s="26"/>
      <c r="AID267" s="26"/>
      <c r="AIE267" s="26"/>
      <c r="AIF267" s="26"/>
      <c r="AIG267" s="26"/>
      <c r="AIH267" s="26"/>
      <c r="AII267" s="26"/>
      <c r="AIJ267" s="26"/>
      <c r="AIK267" s="26"/>
      <c r="AIL267" s="26"/>
      <c r="AIM267" s="26"/>
      <c r="AIN267" s="26"/>
      <c r="AIO267" s="26"/>
      <c r="AIP267" s="26"/>
      <c r="AIQ267" s="26"/>
      <c r="AIR267" s="26"/>
      <c r="AIS267" s="26"/>
      <c r="AIT267" s="26"/>
      <c r="AIU267" s="26"/>
      <c r="AIV267" s="26"/>
      <c r="AIW267" s="26"/>
      <c r="AIX267" s="26"/>
      <c r="AIY267" s="26"/>
      <c r="AIZ267" s="26"/>
      <c r="AJA267" s="26"/>
      <c r="AJB267" s="26"/>
      <c r="AJC267" s="26"/>
      <c r="AJD267" s="26"/>
      <c r="AJE267" s="26"/>
      <c r="AJF267" s="26"/>
      <c r="AJG267" s="26"/>
      <c r="AJH267" s="26"/>
      <c r="AJI267" s="26"/>
      <c r="AJJ267" s="26"/>
      <c r="AJK267" s="26"/>
      <c r="AJL267" s="26"/>
      <c r="AJM267" s="26"/>
      <c r="AJN267" s="26"/>
      <c r="AJO267" s="26"/>
      <c r="AJP267" s="26"/>
      <c r="AJQ267" s="26"/>
      <c r="AJR267" s="26"/>
      <c r="AJS267" s="26"/>
      <c r="AJT267" s="26"/>
      <c r="AJU267" s="26"/>
      <c r="AJV267" s="26"/>
      <c r="AJW267" s="26"/>
      <c r="AJX267" s="26"/>
      <c r="AJY267" s="26"/>
      <c r="AJZ267" s="26"/>
      <c r="AKA267" s="26"/>
      <c r="AKB267" s="26"/>
      <c r="AKC267" s="26"/>
      <c r="AKD267" s="26"/>
      <c r="AKE267" s="26"/>
      <c r="AKF267" s="26"/>
      <c r="AKG267" s="26"/>
      <c r="AKH267" s="26"/>
      <c r="AKI267" s="26"/>
      <c r="AKJ267" s="26"/>
      <c r="AKK267" s="26"/>
      <c r="AKL267" s="26"/>
      <c r="AKM267" s="26"/>
      <c r="AKN267" s="26"/>
      <c r="AKO267" s="26"/>
      <c r="AKP267" s="26"/>
      <c r="AKQ267" s="26"/>
      <c r="AKR267" s="26"/>
      <c r="AKS267" s="26"/>
      <c r="AKT267" s="26"/>
      <c r="AKU267" s="26"/>
      <c r="AKV267" s="26"/>
      <c r="AKW267" s="26"/>
      <c r="AKX267" s="26"/>
      <c r="AKY267" s="26"/>
      <c r="AKZ267" s="26"/>
      <c r="ALA267" s="26"/>
      <c r="ALB267" s="26"/>
      <c r="ALC267" s="26"/>
      <c r="ALD267" s="26"/>
      <c r="ALE267" s="26"/>
      <c r="ALF267" s="26"/>
      <c r="ALG267" s="26"/>
      <c r="ALH267" s="26"/>
      <c r="ALI267" s="26"/>
      <c r="ALJ267" s="26"/>
      <c r="ALK267" s="26"/>
      <c r="ALL267" s="26"/>
      <c r="ALM267" s="26"/>
      <c r="ALN267" s="26"/>
      <c r="ALO267" s="26"/>
      <c r="ALP267" s="26"/>
      <c r="ALQ267" s="26"/>
      <c r="ALR267" s="26"/>
      <c r="ALS267" s="26"/>
      <c r="ALT267" s="26"/>
      <c r="ALU267" s="26"/>
      <c r="ALV267" s="26"/>
      <c r="ALW267" s="26"/>
      <c r="ALX267" s="26"/>
      <c r="ALY267" s="26"/>
      <c r="ALZ267" s="26"/>
      <c r="AMA267" s="26"/>
      <c r="AMB267" s="26"/>
      <c r="AMC267" s="26"/>
      <c r="AMD267" s="26"/>
      <c r="AME267" s="26"/>
      <c r="AMF267" s="26"/>
      <c r="AMG267" s="26"/>
      <c r="AMH267" s="26"/>
      <c r="AMI267" s="26"/>
      <c r="AMJ267" s="26"/>
      <c r="AMK267" s="26"/>
      <c r="AML267" s="26"/>
      <c r="AMM267" s="26"/>
      <c r="AMN267" s="26"/>
      <c r="AMO267" s="26"/>
      <c r="AMP267" s="26"/>
      <c r="AMQ267" s="26"/>
      <c r="AMR267" s="26"/>
      <c r="AMS267" s="26"/>
      <c r="AMT267" s="26"/>
      <c r="AMU267" s="26"/>
      <c r="AMV267" s="26"/>
      <c r="AMW267" s="26"/>
      <c r="AMX267" s="26"/>
      <c r="AMY267" s="26"/>
      <c r="AMZ267" s="26"/>
      <c r="ANA267" s="26"/>
      <c r="ANB267" s="26"/>
      <c r="ANC267" s="26"/>
      <c r="AND267" s="26"/>
      <c r="ANE267" s="26"/>
      <c r="ANF267" s="26"/>
      <c r="ANG267" s="26"/>
      <c r="ANH267" s="26"/>
      <c r="ANI267" s="26"/>
      <c r="ANJ267" s="26"/>
      <c r="ANK267" s="26"/>
      <c r="ANL267" s="26"/>
      <c r="ANM267" s="26"/>
      <c r="ANN267" s="26"/>
      <c r="ANO267" s="26"/>
      <c r="ANP267" s="26"/>
      <c r="ANQ267" s="26"/>
      <c r="ANR267" s="26"/>
      <c r="ANS267" s="26"/>
      <c r="ANT267" s="26"/>
      <c r="ANU267" s="26"/>
      <c r="ANV267" s="26"/>
      <c r="ANW267" s="26"/>
      <c r="ANX267" s="26"/>
      <c r="ANY267" s="26"/>
      <c r="ANZ267" s="26"/>
      <c r="AOA267" s="26"/>
      <c r="AOB267" s="26"/>
      <c r="AOC267" s="26"/>
      <c r="AOD267" s="26"/>
      <c r="AOE267" s="26"/>
      <c r="AOF267" s="26"/>
      <c r="AOG267" s="26"/>
      <c r="AOH267" s="26"/>
      <c r="AOI267" s="26"/>
      <c r="AOJ267" s="26"/>
      <c r="AOK267" s="26"/>
      <c r="AOL267" s="26"/>
      <c r="AOM267" s="26"/>
      <c r="AON267" s="26"/>
      <c r="AOO267" s="26"/>
      <c r="AOP267" s="26"/>
      <c r="AOQ267" s="26"/>
      <c r="AOR267" s="26"/>
      <c r="AOS267" s="26"/>
      <c r="AOT267" s="26"/>
      <c r="AOU267" s="26"/>
      <c r="AOV267" s="26"/>
      <c r="AOW267" s="26"/>
      <c r="AOX267" s="26"/>
      <c r="AOY267" s="26"/>
      <c r="AOZ267" s="26"/>
      <c r="APA267" s="26"/>
      <c r="APB267" s="26"/>
      <c r="APC267" s="26"/>
      <c r="APD267" s="26"/>
      <c r="APE267" s="26"/>
      <c r="APF267" s="26"/>
      <c r="APG267" s="26"/>
      <c r="APH267" s="26"/>
      <c r="API267" s="26"/>
      <c r="APJ267" s="26"/>
      <c r="APK267" s="26"/>
      <c r="APL267" s="26"/>
      <c r="APM267" s="26"/>
      <c r="APN267" s="26"/>
      <c r="APO267" s="26"/>
      <c r="APP267" s="26"/>
      <c r="APQ267" s="26"/>
      <c r="APR267" s="26"/>
      <c r="APS267" s="26"/>
      <c r="APT267" s="26"/>
      <c r="APU267" s="26"/>
      <c r="APV267" s="26"/>
      <c r="APW267" s="26"/>
      <c r="APX267" s="26"/>
      <c r="APY267" s="26"/>
      <c r="APZ267" s="26"/>
      <c r="AQA267" s="26"/>
      <c r="AQB267" s="26"/>
      <c r="AQC267" s="26"/>
      <c r="AQD267" s="26"/>
      <c r="AQE267" s="26"/>
      <c r="AQF267" s="26"/>
      <c r="AQG267" s="26"/>
      <c r="AQH267" s="26"/>
      <c r="AQI267" s="26"/>
      <c r="AQJ267" s="26"/>
      <c r="AQK267" s="26"/>
      <c r="AQL267" s="26"/>
      <c r="AQM267" s="26"/>
      <c r="AQN267" s="26"/>
      <c r="AQO267" s="26"/>
      <c r="AQP267" s="26"/>
      <c r="AQQ267" s="26"/>
      <c r="AQR267" s="26"/>
      <c r="AQS267" s="26"/>
      <c r="AQT267" s="26"/>
      <c r="AQU267" s="26"/>
      <c r="AQV267" s="26"/>
      <c r="AQW267" s="26"/>
      <c r="AQX267" s="26"/>
      <c r="AQY267" s="26"/>
      <c r="AQZ267" s="26"/>
      <c r="ARA267" s="26"/>
      <c r="ARB267" s="26"/>
      <c r="ARC267" s="26"/>
      <c r="ARD267" s="26"/>
      <c r="ARE267" s="26"/>
      <c r="ARF267" s="26"/>
      <c r="ARG267" s="26"/>
      <c r="ARH267" s="26"/>
      <c r="ARI267" s="26"/>
      <c r="ARJ267" s="26"/>
      <c r="ARK267" s="26"/>
      <c r="ARL267" s="26"/>
      <c r="ARM267" s="26"/>
      <c r="ARN267" s="26"/>
      <c r="ARO267" s="26"/>
      <c r="ARP267" s="26"/>
      <c r="ARQ267" s="26"/>
      <c r="ARR267" s="26"/>
      <c r="ARS267" s="26"/>
      <c r="ART267" s="26"/>
      <c r="ARU267" s="26"/>
      <c r="ARV267" s="26"/>
      <c r="ARW267" s="26"/>
      <c r="ARX267" s="26"/>
      <c r="ARY267" s="26"/>
      <c r="ARZ267" s="26"/>
      <c r="ASA267" s="26"/>
      <c r="ASB267" s="26"/>
      <c r="ASC267" s="26"/>
      <c r="ASD267" s="26"/>
      <c r="ASE267" s="26"/>
      <c r="ASF267" s="26"/>
      <c r="ASG267" s="26"/>
      <c r="ASH267" s="26"/>
      <c r="ASI267" s="26"/>
      <c r="ASJ267" s="26"/>
      <c r="ASK267" s="26"/>
      <c r="ASL267" s="26"/>
      <c r="ASM267" s="26"/>
      <c r="ASN267" s="26"/>
      <c r="ASO267" s="26"/>
      <c r="ASP267" s="26"/>
      <c r="ASQ267" s="26"/>
      <c r="ASR267" s="26"/>
      <c r="ASS267" s="26"/>
      <c r="AST267" s="26"/>
      <c r="ASU267" s="26"/>
      <c r="ASV267" s="26"/>
      <c r="ASW267" s="26"/>
      <c r="ASX267" s="26"/>
      <c r="ASY267" s="26"/>
      <c r="ASZ267" s="26"/>
      <c r="ATA267" s="26"/>
      <c r="ATB267" s="26"/>
      <c r="ATC267" s="26"/>
      <c r="ATD267" s="26"/>
      <c r="ATE267" s="26"/>
      <c r="ATF267" s="26"/>
      <c r="ATG267" s="26"/>
      <c r="ATH267" s="26"/>
      <c r="ATI267" s="26"/>
      <c r="ATJ267" s="26"/>
      <c r="ATK267" s="26"/>
      <c r="ATL267" s="26"/>
      <c r="ATM267" s="26"/>
      <c r="ATN267" s="26"/>
      <c r="ATO267" s="26"/>
      <c r="ATP267" s="26"/>
      <c r="ATQ267" s="26"/>
      <c r="ATR267" s="26"/>
      <c r="ATS267" s="26"/>
      <c r="ATT267" s="26"/>
      <c r="ATU267" s="26"/>
      <c r="ATV267" s="26"/>
      <c r="ATW267" s="26"/>
      <c r="ATX267" s="26"/>
      <c r="ATY267" s="26"/>
      <c r="ATZ267" s="26"/>
      <c r="AUA267" s="26"/>
      <c r="AUB267" s="26"/>
      <c r="AUC267" s="26"/>
      <c r="AUD267" s="26"/>
      <c r="AUE267" s="26"/>
      <c r="AUF267" s="26"/>
      <c r="AUG267" s="26"/>
      <c r="AUH267" s="26"/>
      <c r="AUI267" s="26"/>
      <c r="AUJ267" s="26"/>
      <c r="AUK267" s="26"/>
      <c r="AUL267" s="26"/>
      <c r="AUM267" s="26"/>
      <c r="AUN267" s="26"/>
      <c r="AUO267" s="26"/>
      <c r="AUP267" s="26"/>
      <c r="AUQ267" s="26"/>
      <c r="AUR267" s="26"/>
      <c r="AUS267" s="26"/>
      <c r="AUT267" s="26"/>
      <c r="AUU267" s="26"/>
      <c r="AUV267" s="26"/>
      <c r="AUW267" s="26"/>
      <c r="AUX267" s="26"/>
      <c r="AUY267" s="26"/>
      <c r="AUZ267" s="26"/>
      <c r="AVA267" s="26"/>
      <c r="AVB267" s="26"/>
      <c r="AVC267" s="26"/>
      <c r="AVD267" s="26"/>
      <c r="AVE267" s="26"/>
      <c r="AVF267" s="26"/>
      <c r="AVG267" s="26"/>
      <c r="AVH267" s="26"/>
      <c r="AVI267" s="26"/>
      <c r="AVJ267" s="26"/>
      <c r="AVK267" s="26"/>
      <c r="AVL267" s="26"/>
      <c r="AVM267" s="26"/>
      <c r="AVN267" s="26"/>
      <c r="AVO267" s="26"/>
      <c r="AVP267" s="26"/>
      <c r="AVQ267" s="26"/>
      <c r="AVR267" s="26"/>
      <c r="AVS267" s="26"/>
      <c r="AVT267" s="26"/>
      <c r="AVU267" s="26"/>
      <c r="AVV267" s="26"/>
      <c r="AVW267" s="26"/>
      <c r="AVX267" s="26"/>
      <c r="AVY267" s="26"/>
      <c r="AVZ267" s="26"/>
      <c r="AWA267" s="26"/>
      <c r="AWB267" s="26"/>
      <c r="AWC267" s="26"/>
      <c r="AWD267" s="26"/>
      <c r="AWE267" s="26"/>
      <c r="AWF267" s="26"/>
      <c r="AWG267" s="26"/>
      <c r="AWH267" s="26"/>
      <c r="AWI267" s="26"/>
      <c r="AWJ267" s="26"/>
      <c r="AWK267" s="26"/>
      <c r="AWL267" s="26"/>
      <c r="AWM267" s="26"/>
      <c r="AWN267" s="26"/>
      <c r="AWO267" s="26"/>
      <c r="AWP267" s="26"/>
      <c r="AWQ267" s="26"/>
      <c r="AWR267" s="26"/>
      <c r="AWS267" s="26"/>
      <c r="AWT267" s="26"/>
      <c r="AWU267" s="26"/>
      <c r="AWV267" s="26"/>
      <c r="AWW267" s="26"/>
      <c r="AWX267" s="26"/>
      <c r="AWY267" s="26"/>
      <c r="AWZ267" s="26"/>
      <c r="AXA267" s="26"/>
      <c r="AXB267" s="26"/>
      <c r="AXC267" s="26"/>
      <c r="AXD267" s="26"/>
      <c r="AXE267" s="26"/>
      <c r="AXF267" s="26"/>
      <c r="AXG267" s="26"/>
      <c r="AXH267" s="26"/>
      <c r="AXI267" s="26"/>
      <c r="AXJ267" s="26"/>
      <c r="AXK267" s="26"/>
      <c r="AXL267" s="26"/>
      <c r="AXM267" s="26"/>
      <c r="AXN267" s="26"/>
      <c r="AXO267" s="26"/>
      <c r="AXP267" s="26"/>
      <c r="AXQ267" s="26"/>
      <c r="AXR267" s="26"/>
      <c r="AXS267" s="26"/>
      <c r="AXT267" s="26"/>
      <c r="AXU267" s="26"/>
      <c r="AXV267" s="26"/>
      <c r="AXW267" s="26"/>
      <c r="AXX267" s="26"/>
      <c r="AXY267" s="26"/>
      <c r="AXZ267" s="26"/>
      <c r="AYA267" s="26"/>
      <c r="AYB267" s="26"/>
      <c r="AYC267" s="26"/>
      <c r="AYD267" s="26"/>
      <c r="AYE267" s="26"/>
      <c r="AYF267" s="26"/>
      <c r="AYG267" s="26"/>
      <c r="AYH267" s="26"/>
      <c r="AYI267" s="26"/>
      <c r="AYJ267" s="26"/>
      <c r="AYK267" s="26"/>
      <c r="AYL267" s="26"/>
      <c r="AYM267" s="26"/>
      <c r="AYN267" s="26"/>
      <c r="AYO267" s="26"/>
      <c r="AYP267" s="26"/>
      <c r="AYQ267" s="26"/>
      <c r="AYR267" s="26"/>
      <c r="AYS267" s="26"/>
      <c r="AYT267" s="26"/>
      <c r="AYU267" s="26"/>
      <c r="AYV267" s="26"/>
      <c r="AYW267" s="26"/>
      <c r="AYX267" s="26"/>
      <c r="AYY267" s="26"/>
      <c r="AYZ267" s="26"/>
      <c r="AZA267" s="26"/>
      <c r="AZB267" s="26"/>
      <c r="AZC267" s="26"/>
      <c r="AZD267" s="26"/>
      <c r="AZE267" s="26"/>
      <c r="AZF267" s="26"/>
      <c r="AZG267" s="26"/>
      <c r="AZH267" s="26"/>
      <c r="AZI267" s="26"/>
      <c r="AZJ267" s="26"/>
      <c r="AZK267" s="26"/>
      <c r="AZL267" s="26"/>
      <c r="AZM267" s="26"/>
      <c r="AZN267" s="26"/>
      <c r="AZO267" s="26"/>
      <c r="AZP267" s="26"/>
      <c r="AZQ267" s="26"/>
      <c r="AZR267" s="26"/>
      <c r="AZS267" s="26"/>
      <c r="AZT267" s="26"/>
      <c r="AZU267" s="26"/>
      <c r="AZV267" s="26"/>
      <c r="AZW267" s="26"/>
      <c r="AZX267" s="26"/>
      <c r="AZY267" s="26"/>
      <c r="AZZ267" s="26"/>
      <c r="BAA267" s="26"/>
      <c r="BAB267" s="26"/>
      <c r="BAC267" s="26"/>
      <c r="BAD267" s="26"/>
      <c r="BAE267" s="26"/>
      <c r="BAF267" s="26"/>
      <c r="BAG267" s="26"/>
      <c r="BAH267" s="26"/>
      <c r="BAI267" s="26"/>
      <c r="BAJ267" s="26"/>
      <c r="BAK267" s="26"/>
      <c r="BAL267" s="26"/>
      <c r="BAM267" s="26"/>
      <c r="BAN267" s="26"/>
      <c r="BAO267" s="26"/>
      <c r="BAP267" s="26"/>
      <c r="BAQ267" s="26"/>
      <c r="BAR267" s="26"/>
      <c r="BAS267" s="26"/>
      <c r="BAT267" s="26"/>
      <c r="BAU267" s="26"/>
      <c r="BAV267" s="26"/>
      <c r="BAW267" s="26"/>
      <c r="BAX267" s="26"/>
      <c r="BAY267" s="26"/>
      <c r="BAZ267" s="26"/>
      <c r="BBA267" s="26"/>
      <c r="BBB267" s="26"/>
      <c r="BBC267" s="26"/>
      <c r="BBD267" s="26"/>
      <c r="BBE267" s="26"/>
      <c r="BBF267" s="26"/>
      <c r="BBG267" s="26"/>
      <c r="BBH267" s="26"/>
      <c r="BBI267" s="26"/>
      <c r="BBJ267" s="26"/>
      <c r="BBK267" s="26"/>
      <c r="BBL267" s="26"/>
      <c r="BBM267" s="26"/>
      <c r="BBN267" s="26"/>
      <c r="BBO267" s="26"/>
      <c r="BBP267" s="26"/>
      <c r="BBQ267" s="26"/>
      <c r="BBR267" s="26"/>
      <c r="BBS267" s="26"/>
      <c r="BBT267" s="26"/>
      <c r="BBU267" s="26"/>
      <c r="BBV267" s="26"/>
      <c r="BBW267" s="26"/>
      <c r="BBX267" s="26"/>
      <c r="BBY267" s="26"/>
      <c r="BBZ267" s="26"/>
      <c r="BCA267" s="26"/>
      <c r="BCB267" s="26"/>
      <c r="BCC267" s="26"/>
      <c r="BCD267" s="26"/>
      <c r="BCE267" s="26"/>
      <c r="BCF267" s="26"/>
      <c r="BCG267" s="26"/>
      <c r="BCH267" s="26"/>
      <c r="BCI267" s="26"/>
      <c r="BCJ267" s="26"/>
      <c r="BCK267" s="26"/>
      <c r="BCL267" s="26"/>
      <c r="BCM267" s="26"/>
      <c r="BCN267" s="26"/>
      <c r="BCO267" s="26"/>
      <c r="BCP267" s="26"/>
      <c r="BCQ267" s="26"/>
      <c r="BCR267" s="26"/>
      <c r="BCS267" s="26"/>
      <c r="BCT267" s="26"/>
      <c r="BCU267" s="26"/>
      <c r="BCV267" s="26"/>
      <c r="BCW267" s="26"/>
      <c r="BCX267" s="26"/>
      <c r="BCY267" s="26"/>
      <c r="BCZ267" s="26"/>
      <c r="BDA267" s="26"/>
      <c r="BDB267" s="26"/>
      <c r="BDC267" s="26"/>
      <c r="BDD267" s="26"/>
      <c r="BDE267" s="26"/>
      <c r="BDF267" s="26"/>
      <c r="BDG267" s="26"/>
      <c r="BDH267" s="26"/>
      <c r="BDI267" s="26"/>
      <c r="BDJ267" s="26"/>
      <c r="BDK267" s="26"/>
      <c r="BDL267" s="26"/>
      <c r="BDM267" s="26"/>
      <c r="BDN267" s="26"/>
      <c r="BDO267" s="26"/>
      <c r="BDP267" s="26"/>
      <c r="BDQ267" s="26"/>
      <c r="BDR267" s="26"/>
      <c r="BDS267" s="26"/>
      <c r="BDT267" s="26"/>
      <c r="BDU267" s="26"/>
      <c r="BDV267" s="26"/>
      <c r="BDW267" s="26"/>
      <c r="BDX267" s="26"/>
      <c r="BDY267" s="26"/>
      <c r="BDZ267" s="26"/>
      <c r="BEA267" s="26"/>
      <c r="BEB267" s="26"/>
      <c r="BEC267" s="26"/>
      <c r="BED267" s="26"/>
      <c r="BEE267" s="26"/>
      <c r="BEF267" s="26"/>
      <c r="BEG267" s="26"/>
      <c r="BEH267" s="26"/>
      <c r="BEI267" s="26"/>
      <c r="BEJ267" s="26"/>
      <c r="BEK267" s="26"/>
      <c r="BEL267" s="26"/>
      <c r="BEM267" s="26"/>
      <c r="BEN267" s="26"/>
      <c r="BEO267" s="26"/>
      <c r="BEP267" s="26"/>
      <c r="BEQ267" s="26"/>
      <c r="BER267" s="26"/>
      <c r="BES267" s="26"/>
      <c r="BET267" s="26"/>
      <c r="BEU267" s="26"/>
      <c r="BEV267" s="26"/>
      <c r="BEW267" s="26"/>
      <c r="BEX267" s="26"/>
      <c r="BEY267" s="26"/>
      <c r="BEZ267" s="26"/>
      <c r="BFA267" s="26"/>
      <c r="BFB267" s="26"/>
      <c r="BFC267" s="26"/>
      <c r="BFD267" s="26"/>
      <c r="BFE267" s="26"/>
      <c r="BFF267" s="26"/>
      <c r="BFG267" s="26"/>
      <c r="BFH267" s="26"/>
      <c r="BFI267" s="26"/>
      <c r="BFJ267" s="26"/>
      <c r="BFK267" s="26"/>
      <c r="BFL267" s="26"/>
      <c r="BFM267" s="26"/>
      <c r="BFN267" s="26"/>
      <c r="BFO267" s="26"/>
      <c r="BFP267" s="26"/>
      <c r="BFQ267" s="26"/>
      <c r="BFR267" s="26"/>
      <c r="BFS267" s="26"/>
      <c r="BFT267" s="26"/>
      <c r="BFU267" s="26"/>
      <c r="BFV267" s="26"/>
      <c r="BFW267" s="26"/>
      <c r="BFX267" s="26"/>
      <c r="BFY267" s="26"/>
      <c r="BFZ267" s="26"/>
      <c r="BGA267" s="26"/>
      <c r="BGB267" s="26"/>
      <c r="BGC267" s="26"/>
      <c r="BGD267" s="26"/>
      <c r="BGE267" s="26"/>
      <c r="BGF267" s="26"/>
      <c r="BGG267" s="26"/>
      <c r="BGH267" s="26"/>
      <c r="BGI267" s="26"/>
      <c r="BGJ267" s="26"/>
      <c r="BGK267" s="26"/>
      <c r="BGL267" s="26"/>
      <c r="BGM267" s="26"/>
      <c r="BGN267" s="26"/>
      <c r="BGO267" s="26"/>
      <c r="BGP267" s="26"/>
      <c r="BGQ267" s="26"/>
      <c r="BGR267" s="26"/>
      <c r="BGS267" s="26"/>
      <c r="BGT267" s="26"/>
      <c r="BGU267" s="26"/>
      <c r="BGV267" s="26"/>
      <c r="BGW267" s="26"/>
      <c r="BGX267" s="26"/>
      <c r="BGY267" s="26"/>
      <c r="BGZ267" s="26"/>
      <c r="BHA267" s="26"/>
      <c r="BHB267" s="26"/>
      <c r="BHC267" s="26"/>
      <c r="BHD267" s="26"/>
      <c r="BHE267" s="26"/>
      <c r="BHF267" s="26"/>
      <c r="BHG267" s="26"/>
      <c r="BHH267" s="26"/>
      <c r="BHI267" s="26"/>
      <c r="BHJ267" s="26"/>
      <c r="BHK267" s="26"/>
      <c r="BHL267" s="26"/>
      <c r="BHM267" s="26"/>
      <c r="BHN267" s="26"/>
      <c r="BHO267" s="26"/>
      <c r="BHP267" s="26"/>
      <c r="BHQ267" s="26"/>
      <c r="BHR267" s="26"/>
      <c r="BHS267" s="26"/>
      <c r="BHT267" s="26"/>
      <c r="BHU267" s="26"/>
      <c r="BHV267" s="26"/>
      <c r="BHW267" s="26"/>
      <c r="BHX267" s="26"/>
      <c r="BHY267" s="26"/>
      <c r="BHZ267" s="26"/>
      <c r="BIA267" s="26"/>
      <c r="BIB267" s="26"/>
      <c r="BIC267" s="26"/>
      <c r="BID267" s="26"/>
      <c r="BIE267" s="26"/>
      <c r="BIF267" s="26"/>
      <c r="BIG267" s="26"/>
      <c r="BIH267" s="26"/>
      <c r="BII267" s="26"/>
      <c r="BIJ267" s="26"/>
      <c r="BIK267" s="26"/>
      <c r="BIL267" s="26"/>
      <c r="BIM267" s="26"/>
      <c r="BIN267" s="26"/>
      <c r="BIO267" s="26"/>
      <c r="BIP267" s="26"/>
      <c r="BIQ267" s="26"/>
      <c r="BIR267" s="26"/>
      <c r="BIS267" s="26"/>
      <c r="BIT267" s="26"/>
      <c r="BIU267" s="26"/>
      <c r="BIV267" s="26"/>
      <c r="BIW267" s="26"/>
      <c r="BIX267" s="26"/>
      <c r="BIY267" s="26"/>
      <c r="BIZ267" s="26"/>
      <c r="BJA267" s="26"/>
      <c r="BJB267" s="26"/>
      <c r="BJC267" s="26"/>
      <c r="BJD267" s="26"/>
      <c r="BJE267" s="26"/>
      <c r="BJF267" s="26"/>
      <c r="BJG267" s="26"/>
      <c r="BJH267" s="26"/>
      <c r="BJI267" s="26"/>
      <c r="BJJ267" s="26"/>
      <c r="BJK267" s="26"/>
      <c r="BJL267" s="26"/>
      <c r="BJM267" s="26"/>
      <c r="BJN267" s="26"/>
      <c r="BJO267" s="26"/>
      <c r="BJP267" s="26"/>
      <c r="BJQ267" s="26"/>
      <c r="BJR267" s="26"/>
      <c r="BJS267" s="26"/>
      <c r="BJT267" s="26"/>
      <c r="BJU267" s="26"/>
      <c r="BJV267" s="26"/>
      <c r="BJW267" s="26"/>
      <c r="BJX267" s="26"/>
      <c r="BJY267" s="26"/>
      <c r="BJZ267" s="26"/>
      <c r="BKA267" s="26"/>
      <c r="BKB267" s="26"/>
      <c r="BKC267" s="26"/>
      <c r="BKD267" s="26"/>
      <c r="BKE267" s="26"/>
      <c r="BKF267" s="26"/>
      <c r="BKG267" s="26"/>
      <c r="BKH267" s="26"/>
      <c r="BKI267" s="26"/>
      <c r="BKJ267" s="26"/>
      <c r="BKK267" s="26"/>
      <c r="BKL267" s="26"/>
      <c r="BKM267" s="26"/>
      <c r="BKN267" s="26"/>
      <c r="BKO267" s="26"/>
      <c r="BKP267" s="26"/>
      <c r="BKQ267" s="26"/>
      <c r="BKR267" s="26"/>
      <c r="BKS267" s="26"/>
      <c r="BKT267" s="26"/>
      <c r="BKU267" s="26"/>
      <c r="BKV267" s="26"/>
      <c r="BKW267" s="26"/>
      <c r="BKX267" s="26"/>
      <c r="BKY267" s="26"/>
      <c r="BKZ267" s="26"/>
      <c r="BLA267" s="26"/>
      <c r="BLB267" s="26"/>
      <c r="BLC267" s="26"/>
      <c r="BLD267" s="26"/>
      <c r="BLE267" s="26"/>
      <c r="BLF267" s="26"/>
      <c r="BLG267" s="26"/>
      <c r="BLH267" s="26"/>
      <c r="BLI267" s="26"/>
      <c r="BLJ267" s="26"/>
      <c r="BLK267" s="26"/>
      <c r="BLL267" s="26"/>
      <c r="BLM267" s="26"/>
      <c r="BLN267" s="26"/>
      <c r="BLO267" s="26"/>
      <c r="BLP267" s="26"/>
      <c r="BLQ267" s="26"/>
      <c r="BLR267" s="26"/>
      <c r="BLS267" s="26"/>
      <c r="BLT267" s="26"/>
      <c r="BLU267" s="26"/>
      <c r="BLV267" s="26"/>
      <c r="BLW267" s="26"/>
      <c r="BLX267" s="26"/>
      <c r="BLY267" s="26"/>
      <c r="BLZ267" s="26"/>
      <c r="BMA267" s="26"/>
      <c r="BMB267" s="26"/>
      <c r="BMC267" s="26"/>
      <c r="BMD267" s="26"/>
      <c r="BME267" s="26"/>
      <c r="BMF267" s="26"/>
      <c r="BMG267" s="26"/>
      <c r="BMH267" s="26"/>
      <c r="BMI267" s="26"/>
      <c r="BMJ267" s="26"/>
      <c r="BMK267" s="26"/>
      <c r="BML267" s="26"/>
      <c r="BMM267" s="26"/>
      <c r="BMN267" s="26"/>
      <c r="BMO267" s="26"/>
      <c r="BMP267" s="26"/>
      <c r="BMQ267" s="26"/>
      <c r="BMR267" s="26"/>
      <c r="BMS267" s="26"/>
      <c r="BMT267" s="26"/>
      <c r="BMU267" s="26"/>
      <c r="BMV267" s="26"/>
      <c r="BMW267" s="26"/>
      <c r="BMX267" s="26"/>
      <c r="BMY267" s="26"/>
      <c r="BMZ267" s="26"/>
      <c r="BNA267" s="26"/>
      <c r="BNB267" s="26"/>
      <c r="BNC267" s="26"/>
      <c r="BND267" s="26"/>
      <c r="BNE267" s="26"/>
      <c r="BNF267" s="26"/>
      <c r="BNG267" s="26"/>
      <c r="BNH267" s="26"/>
      <c r="BNI267" s="26"/>
      <c r="BNJ267" s="26"/>
      <c r="BNK267" s="26"/>
      <c r="BNL267" s="26"/>
      <c r="BNM267" s="26"/>
      <c r="BNN267" s="26"/>
      <c r="BNO267" s="26"/>
      <c r="BNP267" s="26"/>
      <c r="BNQ267" s="26"/>
      <c r="BNR267" s="26"/>
      <c r="BNS267" s="26"/>
      <c r="BNT267" s="26"/>
      <c r="BNU267" s="26"/>
      <c r="BNV267" s="26"/>
      <c r="BNW267" s="26"/>
      <c r="BNX267" s="26"/>
      <c r="BNY267" s="26"/>
      <c r="BNZ267" s="26"/>
      <c r="BOA267" s="26"/>
      <c r="BOB267" s="26"/>
      <c r="BOC267" s="26"/>
      <c r="BOD267" s="26"/>
      <c r="BOE267" s="26"/>
      <c r="BOF267" s="26"/>
      <c r="BOG267" s="26"/>
      <c r="BOH267" s="26"/>
      <c r="BOI267" s="26"/>
      <c r="BOJ267" s="26"/>
      <c r="BOK267" s="26"/>
      <c r="BOL267" s="26"/>
      <c r="BOM267" s="26"/>
      <c r="BON267" s="26"/>
      <c r="BOO267" s="26"/>
      <c r="BOP267" s="26"/>
      <c r="BOQ267" s="26"/>
      <c r="BOR267" s="26"/>
      <c r="BOS267" s="26"/>
      <c r="BOT267" s="26"/>
      <c r="BOU267" s="26"/>
      <c r="BOV267" s="26"/>
      <c r="BOW267" s="26"/>
      <c r="BOX267" s="26"/>
      <c r="BOY267" s="26"/>
      <c r="BOZ267" s="26"/>
      <c r="BPA267" s="26"/>
      <c r="BPB267" s="26"/>
      <c r="BPC267" s="26"/>
      <c r="BPD267" s="26"/>
      <c r="BPE267" s="26"/>
      <c r="BPF267" s="26"/>
      <c r="BPG267" s="26"/>
      <c r="BPH267" s="26"/>
      <c r="BPI267" s="26"/>
      <c r="BPJ267" s="26"/>
      <c r="BPK267" s="26"/>
      <c r="BPL267" s="26"/>
      <c r="BPM267" s="26"/>
      <c r="BPN267" s="26"/>
      <c r="BPO267" s="26"/>
      <c r="BPP267" s="26"/>
      <c r="BPQ267" s="26"/>
      <c r="BPR267" s="26"/>
      <c r="BPS267" s="26"/>
      <c r="BPT267" s="26"/>
      <c r="BPU267" s="26"/>
      <c r="BPV267" s="26"/>
      <c r="BPW267" s="26"/>
      <c r="BPX267" s="26"/>
      <c r="BPY267" s="26"/>
      <c r="BPZ267" s="26"/>
      <c r="BQA267" s="26"/>
      <c r="BQB267" s="26"/>
      <c r="BQC267" s="26"/>
      <c r="BQD267" s="26"/>
      <c r="BQE267" s="26"/>
      <c r="BQF267" s="26"/>
      <c r="BQG267" s="26"/>
      <c r="BQH267" s="26"/>
      <c r="BQI267" s="26"/>
      <c r="BQJ267" s="26"/>
      <c r="BQK267" s="26"/>
      <c r="BQL267" s="26"/>
      <c r="BQM267" s="26"/>
      <c r="BQN267" s="26"/>
      <c r="BQO267" s="26"/>
      <c r="BQP267" s="26"/>
      <c r="BQQ267" s="26"/>
      <c r="BQR267" s="26"/>
      <c r="BQS267" s="26"/>
      <c r="BQT267" s="26"/>
      <c r="BQU267" s="26"/>
      <c r="BQV267" s="26"/>
      <c r="BQW267" s="26"/>
      <c r="BQX267" s="26"/>
      <c r="BQY267" s="26"/>
      <c r="BQZ267" s="26"/>
      <c r="BRA267" s="26"/>
      <c r="BRB267" s="26"/>
      <c r="BRC267" s="26"/>
      <c r="BRD267" s="26"/>
      <c r="BRE267" s="26"/>
      <c r="BRF267" s="26"/>
      <c r="BRG267" s="26"/>
      <c r="BRH267" s="26"/>
      <c r="BRI267" s="26"/>
      <c r="BRJ267" s="26"/>
      <c r="BRK267" s="26"/>
      <c r="BRL267" s="26"/>
      <c r="BRM267" s="26"/>
      <c r="BRN267" s="26"/>
      <c r="BRO267" s="26"/>
      <c r="BRP267" s="26"/>
      <c r="BRQ267" s="26"/>
      <c r="BRR267" s="26"/>
      <c r="BRS267" s="26"/>
      <c r="BRT267" s="26"/>
      <c r="BRU267" s="26"/>
      <c r="BRV267" s="26"/>
      <c r="BRW267" s="26"/>
      <c r="BRX267" s="26"/>
      <c r="BRY267" s="26"/>
      <c r="BRZ267" s="26"/>
      <c r="BSA267" s="26"/>
      <c r="BSB267" s="26"/>
      <c r="BSC267" s="26"/>
      <c r="BSD267" s="26"/>
      <c r="BSE267" s="26"/>
      <c r="BSF267" s="26"/>
      <c r="BSG267" s="26"/>
      <c r="BSH267" s="26"/>
      <c r="BSI267" s="26"/>
      <c r="BSJ267" s="26"/>
      <c r="BSK267" s="26"/>
      <c r="BSL267" s="26"/>
      <c r="BSM267" s="26"/>
      <c r="BSN267" s="26"/>
      <c r="BSO267" s="26"/>
      <c r="BSP267" s="26"/>
      <c r="BSQ267" s="26"/>
      <c r="BSR267" s="26"/>
      <c r="BSS267" s="26"/>
      <c r="BST267" s="26"/>
      <c r="BSU267" s="26"/>
      <c r="BSV267" s="26"/>
      <c r="BSW267" s="26"/>
      <c r="BSX267" s="26"/>
      <c r="BSY267" s="26"/>
      <c r="BSZ267" s="26"/>
      <c r="BTA267" s="26"/>
      <c r="BTB267" s="26"/>
      <c r="BTC267" s="26"/>
      <c r="BTD267" s="26"/>
      <c r="BTE267" s="26"/>
      <c r="BTF267" s="26"/>
      <c r="BTG267" s="26"/>
      <c r="BTH267" s="26"/>
      <c r="BTI267" s="26"/>
      <c r="BTJ267" s="26"/>
      <c r="BTK267" s="26"/>
      <c r="BTL267" s="26"/>
      <c r="BTM267" s="26"/>
      <c r="BTN267" s="26"/>
      <c r="BTO267" s="26"/>
      <c r="BTP267" s="26"/>
      <c r="BTQ267" s="26"/>
      <c r="BTR267" s="26"/>
      <c r="BTS267" s="26"/>
      <c r="BTT267" s="26"/>
      <c r="BTU267" s="26"/>
      <c r="BTV267" s="26"/>
      <c r="BTW267" s="26"/>
      <c r="BTX267" s="26"/>
      <c r="BTY267" s="26"/>
      <c r="BTZ267" s="26"/>
      <c r="BUA267" s="26"/>
      <c r="BUB267" s="26"/>
      <c r="BUC267" s="26"/>
      <c r="BUD267" s="26"/>
      <c r="BUE267" s="26"/>
      <c r="BUF267" s="26"/>
      <c r="BUG267" s="26"/>
      <c r="BUH267" s="26"/>
      <c r="BUI267" s="26"/>
      <c r="BUJ267" s="26"/>
      <c r="BUK267" s="26"/>
      <c r="BUL267" s="26"/>
      <c r="BUM267" s="26"/>
      <c r="BUN267" s="26"/>
      <c r="BUO267" s="26"/>
      <c r="BUP267" s="26"/>
      <c r="BUQ267" s="26"/>
      <c r="BUR267" s="26"/>
      <c r="BUS267" s="26"/>
      <c r="BUT267" s="26"/>
      <c r="BUU267" s="26"/>
      <c r="BUV267" s="26"/>
      <c r="BUW267" s="26"/>
      <c r="BUX267" s="26"/>
      <c r="BUY267" s="26"/>
      <c r="BUZ267" s="26"/>
      <c r="BVA267" s="26"/>
      <c r="BVB267" s="26"/>
      <c r="BVC267" s="26"/>
      <c r="BVD267" s="26"/>
      <c r="BVE267" s="26"/>
      <c r="BVF267" s="26"/>
      <c r="BVG267" s="26"/>
      <c r="BVH267" s="26"/>
      <c r="BVI267" s="26"/>
      <c r="BVJ267" s="26"/>
      <c r="BVK267" s="26"/>
      <c r="BVL267" s="26"/>
      <c r="BVM267" s="26"/>
      <c r="BVN267" s="26"/>
      <c r="BVO267" s="26"/>
      <c r="BVP267" s="26"/>
      <c r="BVQ267" s="26"/>
      <c r="BVR267" s="26"/>
      <c r="BVS267" s="26"/>
      <c r="BVT267" s="26"/>
      <c r="BVU267" s="26"/>
      <c r="BVV267" s="26"/>
      <c r="BVW267" s="26"/>
      <c r="BVX267" s="26"/>
      <c r="BVY267" s="26"/>
      <c r="BVZ267" s="26"/>
      <c r="BWA267" s="26"/>
      <c r="BWB267" s="26"/>
      <c r="BWC267" s="26"/>
      <c r="BWD267" s="26"/>
      <c r="BWE267" s="26"/>
      <c r="BWF267" s="26"/>
      <c r="BWG267" s="26"/>
      <c r="BWH267" s="26"/>
      <c r="BWI267" s="26"/>
      <c r="BWJ267" s="26"/>
      <c r="BWK267" s="26"/>
      <c r="BWL267" s="26"/>
      <c r="BWM267" s="26"/>
      <c r="BWN267" s="26"/>
      <c r="BWO267" s="26"/>
      <c r="BWP267" s="26"/>
      <c r="BWQ267" s="26"/>
      <c r="BWR267" s="26"/>
      <c r="BWS267" s="26"/>
      <c r="BWT267" s="26"/>
      <c r="BWU267" s="26"/>
      <c r="BWV267" s="26"/>
      <c r="BWW267" s="26"/>
      <c r="BWX267" s="26"/>
      <c r="BWY267" s="26"/>
      <c r="BWZ267" s="26"/>
      <c r="BXA267" s="26"/>
      <c r="BXB267" s="26"/>
      <c r="BXC267" s="26"/>
      <c r="BXD267" s="26"/>
      <c r="BXE267" s="26"/>
      <c r="BXF267" s="26"/>
      <c r="BXG267" s="26"/>
      <c r="BXH267" s="26"/>
      <c r="BXI267" s="26"/>
      <c r="BXJ267" s="26"/>
      <c r="BXK267" s="26"/>
      <c r="BXL267" s="26"/>
      <c r="BXM267" s="26"/>
      <c r="BXN267" s="26"/>
      <c r="BXO267" s="26"/>
      <c r="BXP267" s="26"/>
      <c r="BXQ267" s="26"/>
      <c r="BXR267" s="26"/>
      <c r="BXS267" s="26"/>
      <c r="BXT267" s="26"/>
      <c r="BXU267" s="26"/>
      <c r="BXV267" s="26"/>
      <c r="BXW267" s="26"/>
      <c r="BXX267" s="26"/>
      <c r="BXY267" s="26"/>
      <c r="BXZ267" s="26"/>
      <c r="BYA267" s="26"/>
      <c r="BYB267" s="26"/>
      <c r="BYC267" s="26"/>
      <c r="BYD267" s="26"/>
      <c r="BYE267" s="26"/>
      <c r="BYF267" s="26"/>
      <c r="BYG267" s="26"/>
      <c r="BYH267" s="26"/>
      <c r="BYI267" s="26"/>
      <c r="BYJ267" s="26"/>
      <c r="BYK267" s="26"/>
      <c r="BYL267" s="26"/>
      <c r="BYM267" s="26"/>
      <c r="BYN267" s="26"/>
      <c r="BYO267" s="26"/>
      <c r="BYP267" s="26"/>
      <c r="BYQ267" s="26"/>
      <c r="BYR267" s="26"/>
      <c r="BYS267" s="26"/>
      <c r="BYT267" s="26"/>
      <c r="BYU267" s="26"/>
      <c r="BYV267" s="26"/>
      <c r="BYW267" s="26"/>
      <c r="BYX267" s="26"/>
      <c r="BYY267" s="26"/>
      <c r="BYZ267" s="26"/>
      <c r="BZA267" s="26"/>
      <c r="BZB267" s="26"/>
      <c r="BZC267" s="26"/>
      <c r="BZD267" s="26"/>
      <c r="BZE267" s="26"/>
      <c r="BZF267" s="26"/>
      <c r="BZG267" s="26"/>
      <c r="BZH267" s="26"/>
      <c r="BZI267" s="26"/>
      <c r="BZJ267" s="26"/>
      <c r="BZK267" s="26"/>
      <c r="BZL267" s="26"/>
      <c r="BZM267" s="26"/>
      <c r="BZN267" s="26"/>
      <c r="BZO267" s="26"/>
      <c r="BZP267" s="26"/>
      <c r="BZQ267" s="26"/>
      <c r="BZR267" s="26"/>
      <c r="BZS267" s="26"/>
      <c r="BZT267" s="26"/>
      <c r="BZU267" s="26"/>
      <c r="BZV267" s="26"/>
      <c r="BZW267" s="26"/>
      <c r="BZX267" s="26"/>
      <c r="BZY267" s="26"/>
      <c r="BZZ267" s="26"/>
      <c r="CAA267" s="26"/>
      <c r="CAB267" s="26"/>
      <c r="CAC267" s="26"/>
      <c r="CAD267" s="26"/>
      <c r="CAE267" s="26"/>
      <c r="CAF267" s="26"/>
      <c r="CAG267" s="26"/>
      <c r="CAH267" s="26"/>
      <c r="CAI267" s="26"/>
      <c r="CAJ267" s="26"/>
      <c r="CAK267" s="26"/>
      <c r="CAL267" s="26"/>
      <c r="CAM267" s="26"/>
      <c r="CAN267" s="26"/>
      <c r="CAO267" s="26"/>
      <c r="CAP267" s="26"/>
      <c r="CAQ267" s="26"/>
      <c r="CAR267" s="26"/>
      <c r="CAS267" s="26"/>
      <c r="CAT267" s="26"/>
      <c r="CAU267" s="26"/>
      <c r="CAV267" s="26"/>
      <c r="CAW267" s="26"/>
      <c r="CAX267" s="26"/>
      <c r="CAY267" s="26"/>
      <c r="CAZ267" s="26"/>
      <c r="CBA267" s="26"/>
      <c r="CBB267" s="26"/>
      <c r="CBC267" s="26"/>
      <c r="CBD267" s="26"/>
      <c r="CBE267" s="26"/>
      <c r="CBF267" s="26"/>
      <c r="CBG267" s="26"/>
      <c r="CBH267" s="26"/>
      <c r="CBI267" s="26"/>
    </row>
    <row r="268" spans="1:2089" s="41" customFormat="1" ht="14" customHeight="1">
      <c r="A268" s="27">
        <v>267</v>
      </c>
      <c r="B268" s="27" t="s">
        <v>403</v>
      </c>
      <c r="C268" s="27" t="s">
        <v>42</v>
      </c>
      <c r="D268" s="26" t="s">
        <v>12</v>
      </c>
      <c r="E268" s="26" t="s">
        <v>566</v>
      </c>
      <c r="F268" s="77" t="s">
        <v>175</v>
      </c>
      <c r="G268" s="2" t="s">
        <v>106</v>
      </c>
      <c r="H268" s="2" t="s">
        <v>24</v>
      </c>
      <c r="I268" s="2" t="s">
        <v>175</v>
      </c>
      <c r="J268" s="2" t="s">
        <v>183</v>
      </c>
      <c r="K268" s="2" t="s">
        <v>548</v>
      </c>
      <c r="L268" s="2" t="s">
        <v>548</v>
      </c>
      <c r="M268" s="2" t="s">
        <v>175</v>
      </c>
      <c r="N268" s="2" t="s">
        <v>62</v>
      </c>
      <c r="O268" s="2" t="s">
        <v>43</v>
      </c>
      <c r="P268" s="2" t="s">
        <v>62</v>
      </c>
      <c r="Q268" s="26" t="s">
        <v>275</v>
      </c>
      <c r="R268" s="79" t="s">
        <v>613</v>
      </c>
      <c r="S268" s="2">
        <f>70/T268</f>
        <v>0.63636363636363635</v>
      </c>
      <c r="T268" s="26">
        <v>110</v>
      </c>
      <c r="U268" s="77">
        <v>1</v>
      </c>
      <c r="V268" s="26">
        <v>0</v>
      </c>
      <c r="W268" s="26">
        <v>1</v>
      </c>
      <c r="X268" s="26">
        <v>0</v>
      </c>
      <c r="Y268" s="26">
        <v>1</v>
      </c>
      <c r="Z268" s="26">
        <v>0</v>
      </c>
      <c r="AA268" s="26">
        <v>0</v>
      </c>
      <c r="AB268" s="26">
        <v>0</v>
      </c>
      <c r="AC268" s="26" t="s">
        <v>70</v>
      </c>
      <c r="AD268" s="26" t="s">
        <v>70</v>
      </c>
      <c r="AE268" s="26" t="s">
        <v>70</v>
      </c>
      <c r="AF268" s="26" t="s">
        <v>70</v>
      </c>
      <c r="AG268" s="33">
        <f>(14*69+22*41)/110</f>
        <v>16.981818181818181</v>
      </c>
      <c r="AH268" s="26" t="s">
        <v>70</v>
      </c>
      <c r="AI268" s="26" t="s">
        <v>70</v>
      </c>
      <c r="AJ268" s="26" t="s">
        <v>70</v>
      </c>
      <c r="AK268" s="26" t="s">
        <v>70</v>
      </c>
      <c r="AL268" s="26" t="s">
        <v>70</v>
      </c>
      <c r="AM268" s="35" t="s">
        <v>548</v>
      </c>
      <c r="AN268" s="26" t="s">
        <v>274</v>
      </c>
      <c r="AO268" s="35" t="s">
        <v>548</v>
      </c>
      <c r="AP268" s="35" t="s">
        <v>548</v>
      </c>
      <c r="AQ268" s="35" t="s">
        <v>548</v>
      </c>
      <c r="AR268" s="35" t="s">
        <v>548</v>
      </c>
      <c r="AS268" s="26" t="s">
        <v>175</v>
      </c>
      <c r="AT268" s="26" t="s">
        <v>70</v>
      </c>
      <c r="AU268" s="26" t="s">
        <v>70</v>
      </c>
      <c r="AV268" s="26">
        <v>6</v>
      </c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  <c r="GR268" s="26"/>
      <c r="GS268" s="26"/>
      <c r="GT268" s="26"/>
      <c r="GU268" s="26"/>
      <c r="GV268" s="26"/>
      <c r="GW268" s="26"/>
      <c r="GX268" s="26"/>
      <c r="GY268" s="26"/>
      <c r="GZ268" s="26"/>
      <c r="HA268" s="26"/>
      <c r="HB268" s="26"/>
      <c r="HC268" s="26"/>
      <c r="HD268" s="26"/>
      <c r="HE268" s="26"/>
      <c r="HF268" s="26"/>
      <c r="HG268" s="26"/>
      <c r="HH268" s="26"/>
      <c r="HI268" s="26"/>
      <c r="HJ268" s="26"/>
      <c r="HK268" s="26"/>
      <c r="HL268" s="26"/>
      <c r="HM268" s="26"/>
      <c r="HN268" s="26"/>
      <c r="HO268" s="26"/>
      <c r="HP268" s="26"/>
      <c r="HQ268" s="26"/>
      <c r="HR268" s="26"/>
      <c r="HS268" s="26"/>
      <c r="HT268" s="26"/>
      <c r="HU268" s="26"/>
      <c r="HV268" s="26"/>
      <c r="HW268" s="26"/>
      <c r="HX268" s="26"/>
      <c r="HY268" s="26"/>
      <c r="HZ268" s="26"/>
      <c r="IA268" s="26"/>
      <c r="IB268" s="26"/>
      <c r="IC268" s="26"/>
      <c r="ID268" s="26"/>
      <c r="IE268" s="26"/>
      <c r="IF268" s="26"/>
      <c r="IG268" s="26"/>
      <c r="IH268" s="26"/>
      <c r="II268" s="26"/>
      <c r="IJ268" s="26"/>
      <c r="IK268" s="26"/>
      <c r="IL268" s="26"/>
      <c r="IM268" s="26"/>
      <c r="IN268" s="26"/>
      <c r="IO268" s="26"/>
      <c r="IP268" s="26"/>
      <c r="IQ268" s="26"/>
      <c r="IR268" s="26"/>
      <c r="IS268" s="26"/>
      <c r="IT268" s="26"/>
      <c r="IU268" s="26"/>
      <c r="IV268" s="26"/>
      <c r="IW268" s="26"/>
      <c r="IX268" s="26"/>
      <c r="IY268" s="26"/>
      <c r="IZ268" s="26"/>
      <c r="JA268" s="26"/>
      <c r="JB268" s="26"/>
      <c r="JC268" s="26"/>
      <c r="JD268" s="26"/>
      <c r="JE268" s="26"/>
      <c r="JF268" s="26"/>
      <c r="JG268" s="26"/>
      <c r="JH268" s="26"/>
      <c r="JI268" s="26"/>
      <c r="JJ268" s="26"/>
      <c r="JK268" s="26"/>
      <c r="JL268" s="26"/>
      <c r="JM268" s="26"/>
      <c r="JN268" s="26"/>
      <c r="JO268" s="26"/>
      <c r="JP268" s="26"/>
      <c r="JQ268" s="26"/>
      <c r="JR268" s="26"/>
      <c r="JS268" s="26"/>
      <c r="JT268" s="26"/>
      <c r="JU268" s="26"/>
      <c r="JV268" s="26"/>
      <c r="JW268" s="26"/>
      <c r="JX268" s="26"/>
      <c r="JY268" s="26"/>
      <c r="JZ268" s="26"/>
      <c r="KA268" s="26"/>
      <c r="KB268" s="26"/>
      <c r="KC268" s="26"/>
      <c r="KD268" s="26"/>
      <c r="KE268" s="26"/>
      <c r="KF268" s="26"/>
      <c r="KG268" s="26"/>
      <c r="KH268" s="26"/>
      <c r="KI268" s="26"/>
      <c r="KJ268" s="26"/>
      <c r="KK268" s="26"/>
      <c r="KL268" s="26"/>
      <c r="KM268" s="26"/>
      <c r="KN268" s="26"/>
      <c r="KO268" s="26"/>
      <c r="KP268" s="26"/>
      <c r="KQ268" s="26"/>
      <c r="KR268" s="26"/>
      <c r="KS268" s="26"/>
      <c r="KT268" s="26"/>
      <c r="KU268" s="26"/>
      <c r="KV268" s="26"/>
      <c r="KW268" s="26"/>
      <c r="KX268" s="26"/>
      <c r="KY268" s="26"/>
      <c r="KZ268" s="26"/>
      <c r="LA268" s="26"/>
      <c r="LB268" s="26"/>
      <c r="LC268" s="26"/>
      <c r="LD268" s="26"/>
      <c r="LE268" s="26"/>
      <c r="LF268" s="26"/>
      <c r="LG268" s="26"/>
      <c r="LH268" s="26"/>
      <c r="LI268" s="26"/>
      <c r="LJ268" s="26"/>
      <c r="LK268" s="26"/>
      <c r="LL268" s="26"/>
      <c r="LM268" s="26"/>
      <c r="LN268" s="26"/>
      <c r="LO268" s="26"/>
      <c r="LP268" s="26"/>
      <c r="LQ268" s="26"/>
      <c r="LR268" s="26"/>
      <c r="LS268" s="26"/>
      <c r="LT268" s="26"/>
      <c r="LU268" s="26"/>
      <c r="LV268" s="26"/>
      <c r="LW268" s="26"/>
      <c r="LX268" s="26"/>
      <c r="LY268" s="26"/>
      <c r="LZ268" s="26"/>
      <c r="MA268" s="26"/>
      <c r="MB268" s="26"/>
      <c r="MC268" s="26"/>
      <c r="MD268" s="26"/>
      <c r="ME268" s="26"/>
      <c r="MF268" s="26"/>
      <c r="MG268" s="26"/>
      <c r="MH268" s="26"/>
      <c r="MI268" s="26"/>
      <c r="MJ268" s="26"/>
      <c r="MK268" s="26"/>
      <c r="ML268" s="26"/>
      <c r="MM268" s="26"/>
      <c r="MN268" s="26"/>
      <c r="MO268" s="26"/>
      <c r="MP268" s="26"/>
      <c r="MQ268" s="26"/>
      <c r="MR268" s="26"/>
      <c r="MS268" s="26"/>
      <c r="MT268" s="26"/>
      <c r="MU268" s="26"/>
      <c r="MV268" s="26"/>
      <c r="MW268" s="26"/>
      <c r="MX268" s="26"/>
      <c r="MY268" s="26"/>
      <c r="MZ268" s="26"/>
      <c r="NA268" s="26"/>
      <c r="NB268" s="26"/>
      <c r="NC268" s="26"/>
      <c r="ND268" s="26"/>
      <c r="NE268" s="26"/>
      <c r="NF268" s="26"/>
      <c r="NG268" s="26"/>
      <c r="NH268" s="26"/>
      <c r="NI268" s="26"/>
      <c r="NJ268" s="26"/>
      <c r="NK268" s="26"/>
      <c r="NL268" s="26"/>
      <c r="NM268" s="26"/>
      <c r="NN268" s="26"/>
      <c r="NO268" s="26"/>
      <c r="NP268" s="26"/>
      <c r="NQ268" s="26"/>
      <c r="NR268" s="26"/>
      <c r="NS268" s="26"/>
      <c r="NT268" s="26"/>
      <c r="NU268" s="26"/>
      <c r="NV268" s="26"/>
      <c r="NW268" s="26"/>
      <c r="NX268" s="26"/>
      <c r="NY268" s="26"/>
      <c r="NZ268" s="26"/>
      <c r="OA268" s="26"/>
      <c r="OB268" s="26"/>
      <c r="OC268" s="26"/>
      <c r="OD268" s="26"/>
      <c r="OE268" s="26"/>
      <c r="OF268" s="26"/>
      <c r="OG268" s="26"/>
      <c r="OH268" s="26"/>
      <c r="OI268" s="26"/>
      <c r="OJ268" s="26"/>
      <c r="OK268" s="26"/>
      <c r="OL268" s="26"/>
      <c r="OM268" s="26"/>
      <c r="ON268" s="26"/>
      <c r="OO268" s="26"/>
      <c r="OP268" s="26"/>
      <c r="OQ268" s="26"/>
      <c r="OR268" s="26"/>
      <c r="OS268" s="26"/>
      <c r="OT268" s="26"/>
      <c r="OU268" s="26"/>
      <c r="OV268" s="26"/>
      <c r="OW268" s="26"/>
      <c r="OX268" s="26"/>
      <c r="OY268" s="26"/>
      <c r="OZ268" s="26"/>
      <c r="PA268" s="26"/>
      <c r="PB268" s="26"/>
      <c r="PC268" s="26"/>
      <c r="PD268" s="26"/>
      <c r="PE268" s="26"/>
      <c r="PF268" s="26"/>
      <c r="PG268" s="26"/>
      <c r="PH268" s="26"/>
      <c r="PI268" s="26"/>
      <c r="PJ268" s="26"/>
      <c r="PK268" s="26"/>
      <c r="PL268" s="26"/>
      <c r="PM268" s="26"/>
      <c r="PN268" s="26"/>
      <c r="PO268" s="26"/>
      <c r="PP268" s="26"/>
      <c r="PQ268" s="26"/>
      <c r="PR268" s="26"/>
      <c r="PS268" s="26"/>
      <c r="PT268" s="26"/>
      <c r="PU268" s="26"/>
      <c r="PV268" s="26"/>
      <c r="PW268" s="26"/>
      <c r="PX268" s="26"/>
      <c r="PY268" s="26"/>
      <c r="PZ268" s="26"/>
      <c r="QA268" s="26"/>
      <c r="QB268" s="26"/>
      <c r="QC268" s="26"/>
      <c r="QD268" s="26"/>
      <c r="QE268" s="26"/>
      <c r="QF268" s="26"/>
      <c r="QG268" s="26"/>
      <c r="QH268" s="26"/>
      <c r="QI268" s="26"/>
      <c r="QJ268" s="26"/>
      <c r="QK268" s="26"/>
      <c r="QL268" s="26"/>
      <c r="QM268" s="26"/>
      <c r="QN268" s="26"/>
      <c r="QO268" s="26"/>
      <c r="QP268" s="26"/>
      <c r="QQ268" s="26"/>
      <c r="QR268" s="26"/>
      <c r="QS268" s="26"/>
      <c r="QT268" s="26"/>
      <c r="QU268" s="26"/>
      <c r="QV268" s="26"/>
      <c r="QW268" s="26"/>
      <c r="QX268" s="26"/>
      <c r="QY268" s="26"/>
      <c r="QZ268" s="26"/>
      <c r="RA268" s="26"/>
      <c r="RB268" s="26"/>
      <c r="RC268" s="26"/>
      <c r="RD268" s="26"/>
      <c r="RE268" s="26"/>
      <c r="RF268" s="26"/>
      <c r="RG268" s="26"/>
      <c r="RH268" s="26"/>
      <c r="RI268" s="26"/>
      <c r="RJ268" s="26"/>
      <c r="RK268" s="26"/>
      <c r="RL268" s="26"/>
      <c r="RM268" s="26"/>
      <c r="RN268" s="26"/>
      <c r="RO268" s="26"/>
      <c r="RP268" s="26"/>
      <c r="RQ268" s="26"/>
      <c r="RR268" s="26"/>
      <c r="RS268" s="26"/>
      <c r="RT268" s="26"/>
      <c r="RU268" s="26"/>
      <c r="RV268" s="26"/>
      <c r="RW268" s="26"/>
      <c r="RX268" s="26"/>
      <c r="RY268" s="26"/>
      <c r="RZ268" s="26"/>
      <c r="SA268" s="26"/>
      <c r="SB268" s="26"/>
      <c r="SC268" s="26"/>
      <c r="SD268" s="26"/>
      <c r="SE268" s="26"/>
      <c r="SF268" s="26"/>
      <c r="SG268" s="26"/>
      <c r="SH268" s="26"/>
      <c r="SI268" s="26"/>
      <c r="SJ268" s="26"/>
      <c r="SK268" s="26"/>
      <c r="SL268" s="26"/>
      <c r="SM268" s="26"/>
      <c r="SN268" s="26"/>
      <c r="SO268" s="26"/>
      <c r="SP268" s="26"/>
      <c r="SQ268" s="26"/>
      <c r="SR268" s="26"/>
      <c r="SS268" s="26"/>
      <c r="ST268" s="26"/>
      <c r="SU268" s="26"/>
      <c r="SV268" s="26"/>
      <c r="SW268" s="26"/>
      <c r="SX268" s="26"/>
      <c r="SY268" s="26"/>
      <c r="SZ268" s="26"/>
      <c r="TA268" s="26"/>
      <c r="TB268" s="26"/>
      <c r="TC268" s="26"/>
      <c r="TD268" s="26"/>
      <c r="TE268" s="26"/>
      <c r="TF268" s="26"/>
      <c r="TG268" s="26"/>
      <c r="TH268" s="26"/>
      <c r="TI268" s="26"/>
      <c r="TJ268" s="26"/>
      <c r="TK268" s="26"/>
      <c r="TL268" s="26"/>
      <c r="TM268" s="26"/>
      <c r="TN268" s="26"/>
      <c r="TO268" s="26"/>
      <c r="TP268" s="26"/>
      <c r="TQ268" s="26"/>
      <c r="TR268" s="26"/>
      <c r="TS268" s="26"/>
      <c r="TT268" s="26"/>
      <c r="TU268" s="26"/>
      <c r="TV268" s="26"/>
      <c r="TW268" s="26"/>
      <c r="TX268" s="26"/>
      <c r="TY268" s="26"/>
      <c r="TZ268" s="26"/>
      <c r="UA268" s="26"/>
      <c r="UB268" s="26"/>
      <c r="UC268" s="26"/>
      <c r="UD268" s="26"/>
      <c r="UE268" s="26"/>
      <c r="UF268" s="26"/>
      <c r="UG268" s="26"/>
      <c r="UH268" s="26"/>
      <c r="UI268" s="26"/>
      <c r="UJ268" s="26"/>
      <c r="UK268" s="26"/>
      <c r="UL268" s="26"/>
      <c r="UM268" s="26"/>
      <c r="UN268" s="26"/>
      <c r="UO268" s="26"/>
      <c r="UP268" s="26"/>
      <c r="UQ268" s="26"/>
      <c r="UR268" s="26"/>
      <c r="US268" s="26"/>
      <c r="UT268" s="26"/>
      <c r="UU268" s="26"/>
      <c r="UV268" s="26"/>
      <c r="UW268" s="26"/>
      <c r="UX268" s="26"/>
      <c r="UY268" s="26"/>
      <c r="UZ268" s="26"/>
      <c r="VA268" s="26"/>
      <c r="VB268" s="26"/>
      <c r="VC268" s="26"/>
      <c r="VD268" s="26"/>
      <c r="VE268" s="26"/>
      <c r="VF268" s="26"/>
      <c r="VG268" s="26"/>
      <c r="VH268" s="26"/>
      <c r="VI268" s="26"/>
      <c r="VJ268" s="26"/>
      <c r="VK268" s="26"/>
      <c r="VL268" s="26"/>
      <c r="VM268" s="26"/>
      <c r="VN268" s="26"/>
      <c r="VO268" s="26"/>
      <c r="VP268" s="26"/>
      <c r="VQ268" s="26"/>
      <c r="VR268" s="26"/>
      <c r="VS268" s="26"/>
      <c r="VT268" s="26"/>
      <c r="VU268" s="26"/>
      <c r="VV268" s="26"/>
      <c r="VW268" s="26"/>
      <c r="VX268" s="26"/>
      <c r="VY268" s="26"/>
      <c r="VZ268" s="26"/>
      <c r="WA268" s="26"/>
      <c r="WB268" s="26"/>
      <c r="WC268" s="26"/>
      <c r="WD268" s="26"/>
      <c r="WE268" s="26"/>
      <c r="WF268" s="26"/>
      <c r="WG268" s="26"/>
      <c r="WH268" s="26"/>
      <c r="WI268" s="26"/>
      <c r="WJ268" s="26"/>
      <c r="WK268" s="26"/>
      <c r="WL268" s="26"/>
      <c r="WM268" s="26"/>
      <c r="WN268" s="26"/>
      <c r="WO268" s="26"/>
      <c r="WP268" s="26"/>
      <c r="WQ268" s="26"/>
      <c r="WR268" s="26"/>
      <c r="WS268" s="26"/>
      <c r="WT268" s="26"/>
      <c r="WU268" s="26"/>
      <c r="WV268" s="26"/>
      <c r="WW268" s="26"/>
      <c r="WX268" s="26"/>
      <c r="WY268" s="26"/>
      <c r="WZ268" s="26"/>
      <c r="XA268" s="26"/>
      <c r="XB268" s="26"/>
      <c r="XC268" s="26"/>
      <c r="XD268" s="26"/>
      <c r="XE268" s="26"/>
      <c r="XF268" s="26"/>
      <c r="XG268" s="26"/>
      <c r="XH268" s="26"/>
      <c r="XI268" s="26"/>
      <c r="XJ268" s="26"/>
      <c r="XK268" s="26"/>
      <c r="XL268" s="26"/>
      <c r="XM268" s="26"/>
      <c r="XN268" s="26"/>
      <c r="XO268" s="26"/>
      <c r="XP268" s="26"/>
      <c r="XQ268" s="26"/>
      <c r="XR268" s="26"/>
      <c r="XS268" s="26"/>
      <c r="XT268" s="26"/>
      <c r="XU268" s="26"/>
      <c r="XV268" s="26"/>
      <c r="XW268" s="26"/>
      <c r="XX268" s="26"/>
      <c r="XY268" s="26"/>
      <c r="XZ268" s="26"/>
      <c r="YA268" s="26"/>
      <c r="YB268" s="26"/>
      <c r="YC268" s="26"/>
      <c r="YD268" s="26"/>
      <c r="YE268" s="26"/>
      <c r="YF268" s="26"/>
      <c r="YG268" s="26"/>
      <c r="YH268" s="26"/>
      <c r="YI268" s="26"/>
      <c r="YJ268" s="26"/>
      <c r="YK268" s="26"/>
      <c r="YL268" s="26"/>
      <c r="YM268" s="26"/>
      <c r="YN268" s="26"/>
      <c r="YO268" s="26"/>
      <c r="YP268" s="26"/>
      <c r="YQ268" s="26"/>
      <c r="YR268" s="26"/>
      <c r="YS268" s="26"/>
      <c r="YT268" s="26"/>
      <c r="YU268" s="26"/>
      <c r="YV268" s="26"/>
      <c r="YW268" s="26"/>
      <c r="YX268" s="26"/>
      <c r="YY268" s="26"/>
      <c r="YZ268" s="26"/>
      <c r="ZA268" s="26"/>
      <c r="ZB268" s="26"/>
      <c r="ZC268" s="26"/>
      <c r="ZD268" s="26"/>
      <c r="ZE268" s="26"/>
      <c r="ZF268" s="26"/>
      <c r="ZG268" s="26"/>
      <c r="ZH268" s="26"/>
      <c r="ZI268" s="26"/>
      <c r="ZJ268" s="26"/>
      <c r="ZK268" s="26"/>
      <c r="ZL268" s="26"/>
      <c r="ZM268" s="26"/>
      <c r="ZN268" s="26"/>
      <c r="ZO268" s="26"/>
      <c r="ZP268" s="26"/>
      <c r="ZQ268" s="26"/>
      <c r="ZR268" s="26"/>
      <c r="ZS268" s="26"/>
      <c r="ZT268" s="26"/>
      <c r="ZU268" s="26"/>
      <c r="ZV268" s="26"/>
      <c r="ZW268" s="26"/>
      <c r="ZX268" s="26"/>
      <c r="ZY268" s="26"/>
      <c r="ZZ268" s="26"/>
      <c r="AAA268" s="26"/>
      <c r="AAB268" s="26"/>
      <c r="AAC268" s="26"/>
      <c r="AAD268" s="26"/>
      <c r="AAE268" s="26"/>
      <c r="AAF268" s="26"/>
      <c r="AAG268" s="26"/>
      <c r="AAH268" s="26"/>
      <c r="AAI268" s="26"/>
      <c r="AAJ268" s="26"/>
      <c r="AAK268" s="26"/>
      <c r="AAL268" s="26"/>
      <c r="AAM268" s="26"/>
      <c r="AAN268" s="26"/>
      <c r="AAO268" s="26"/>
      <c r="AAP268" s="26"/>
      <c r="AAQ268" s="26"/>
      <c r="AAR268" s="26"/>
      <c r="AAS268" s="26"/>
      <c r="AAT268" s="26"/>
      <c r="AAU268" s="26"/>
      <c r="AAV268" s="26"/>
      <c r="AAW268" s="26"/>
      <c r="AAX268" s="26"/>
      <c r="AAY268" s="26"/>
      <c r="AAZ268" s="26"/>
      <c r="ABA268" s="26"/>
      <c r="ABB268" s="26"/>
      <c r="ABC268" s="26"/>
      <c r="ABD268" s="26"/>
      <c r="ABE268" s="26"/>
      <c r="ABF268" s="26"/>
      <c r="ABG268" s="26"/>
      <c r="ABH268" s="26"/>
      <c r="ABI268" s="26"/>
      <c r="ABJ268" s="26"/>
      <c r="ABK268" s="26"/>
      <c r="ABL268" s="26"/>
      <c r="ABM268" s="26"/>
      <c r="ABN268" s="26"/>
      <c r="ABO268" s="26"/>
      <c r="ABP268" s="26"/>
      <c r="ABQ268" s="26"/>
      <c r="ABR268" s="26"/>
      <c r="ABS268" s="26"/>
      <c r="ABT268" s="26"/>
      <c r="ABU268" s="26"/>
      <c r="ABV268" s="26"/>
      <c r="ABW268" s="26"/>
      <c r="ABX268" s="26"/>
      <c r="ABY268" s="26"/>
      <c r="ABZ268" s="26"/>
      <c r="ACA268" s="26"/>
      <c r="ACB268" s="26"/>
      <c r="ACC268" s="26"/>
      <c r="ACD268" s="26"/>
      <c r="ACE268" s="26"/>
      <c r="ACF268" s="26"/>
      <c r="ACG268" s="26"/>
      <c r="ACH268" s="26"/>
      <c r="ACI268" s="26"/>
      <c r="ACJ268" s="26"/>
      <c r="ACK268" s="26"/>
      <c r="ACL268" s="26"/>
      <c r="ACM268" s="26"/>
      <c r="ACN268" s="26"/>
      <c r="ACO268" s="26"/>
      <c r="ACP268" s="26"/>
      <c r="ACQ268" s="26"/>
      <c r="ACR268" s="26"/>
      <c r="ACS268" s="26"/>
      <c r="ACT268" s="26"/>
      <c r="ACU268" s="26"/>
      <c r="ACV268" s="26"/>
      <c r="ACW268" s="26"/>
      <c r="ACX268" s="26"/>
      <c r="ACY268" s="26"/>
      <c r="ACZ268" s="26"/>
      <c r="ADA268" s="26"/>
      <c r="ADB268" s="26"/>
      <c r="ADC268" s="26"/>
      <c r="ADD268" s="26"/>
      <c r="ADE268" s="26"/>
      <c r="ADF268" s="26"/>
      <c r="ADG268" s="26"/>
      <c r="ADH268" s="26"/>
      <c r="ADI268" s="26"/>
      <c r="ADJ268" s="26"/>
      <c r="ADK268" s="26"/>
      <c r="ADL268" s="26"/>
      <c r="ADM268" s="26"/>
      <c r="ADN268" s="26"/>
      <c r="ADO268" s="26"/>
      <c r="ADP268" s="26"/>
      <c r="ADQ268" s="26"/>
      <c r="ADR268" s="26"/>
      <c r="ADS268" s="26"/>
      <c r="ADT268" s="26"/>
      <c r="ADU268" s="26"/>
      <c r="ADV268" s="26"/>
      <c r="ADW268" s="26"/>
      <c r="ADX268" s="26"/>
      <c r="ADY268" s="26"/>
      <c r="ADZ268" s="26"/>
      <c r="AEA268" s="26"/>
      <c r="AEB268" s="26"/>
      <c r="AEC268" s="26"/>
      <c r="AED268" s="26"/>
      <c r="AEE268" s="26"/>
      <c r="AEF268" s="26"/>
      <c r="AEG268" s="26"/>
      <c r="AEH268" s="26"/>
      <c r="AEI268" s="26"/>
      <c r="AEJ268" s="26"/>
      <c r="AEK268" s="26"/>
      <c r="AEL268" s="26"/>
      <c r="AEM268" s="26"/>
      <c r="AEN268" s="26"/>
      <c r="AEO268" s="26"/>
      <c r="AEP268" s="26"/>
      <c r="AEQ268" s="26"/>
      <c r="AER268" s="26"/>
      <c r="AES268" s="26"/>
      <c r="AET268" s="26"/>
      <c r="AEU268" s="26"/>
      <c r="AEV268" s="26"/>
      <c r="AEW268" s="26"/>
      <c r="AEX268" s="26"/>
      <c r="AEY268" s="26"/>
      <c r="AEZ268" s="26"/>
      <c r="AFA268" s="26"/>
      <c r="AFB268" s="26"/>
      <c r="AFC268" s="26"/>
      <c r="AFD268" s="26"/>
      <c r="AFE268" s="26"/>
      <c r="AFF268" s="26"/>
      <c r="AFG268" s="26"/>
      <c r="AFH268" s="26"/>
      <c r="AFI268" s="26"/>
      <c r="AFJ268" s="26"/>
      <c r="AFK268" s="26"/>
      <c r="AFL268" s="26"/>
      <c r="AFM268" s="26"/>
      <c r="AFN268" s="26"/>
      <c r="AFO268" s="26"/>
      <c r="AFP268" s="26"/>
      <c r="AFQ268" s="26"/>
      <c r="AFR268" s="26"/>
      <c r="AFS268" s="26"/>
      <c r="AFT268" s="26"/>
      <c r="AFU268" s="26"/>
      <c r="AFV268" s="26"/>
      <c r="AFW268" s="26"/>
      <c r="AFX268" s="26"/>
      <c r="AFY268" s="26"/>
      <c r="AFZ268" s="26"/>
      <c r="AGA268" s="26"/>
      <c r="AGB268" s="26"/>
      <c r="AGC268" s="26"/>
      <c r="AGD268" s="26"/>
      <c r="AGE268" s="26"/>
      <c r="AGF268" s="26"/>
      <c r="AGG268" s="26"/>
      <c r="AGH268" s="26"/>
      <c r="AGI268" s="26"/>
      <c r="AGJ268" s="26"/>
      <c r="AGK268" s="26"/>
      <c r="AGL268" s="26"/>
      <c r="AGM268" s="26"/>
      <c r="AGN268" s="26"/>
      <c r="AGO268" s="26"/>
      <c r="AGP268" s="26"/>
      <c r="AGQ268" s="26"/>
      <c r="AGR268" s="26"/>
      <c r="AGS268" s="26"/>
      <c r="AGT268" s="26"/>
      <c r="AGU268" s="26"/>
      <c r="AGV268" s="26"/>
      <c r="AGW268" s="26"/>
      <c r="AGX268" s="26"/>
      <c r="AGY268" s="26"/>
      <c r="AGZ268" s="26"/>
      <c r="AHA268" s="26"/>
      <c r="AHB268" s="26"/>
      <c r="AHC268" s="26"/>
      <c r="AHD268" s="26"/>
      <c r="AHE268" s="26"/>
      <c r="AHF268" s="26"/>
      <c r="AHG268" s="26"/>
      <c r="AHH268" s="26"/>
      <c r="AHI268" s="26"/>
      <c r="AHJ268" s="26"/>
      <c r="AHK268" s="26"/>
      <c r="AHL268" s="26"/>
      <c r="AHM268" s="26"/>
      <c r="AHN268" s="26"/>
      <c r="AHO268" s="26"/>
      <c r="AHP268" s="26"/>
      <c r="AHQ268" s="26"/>
      <c r="AHR268" s="26"/>
      <c r="AHS268" s="26"/>
      <c r="AHT268" s="26"/>
      <c r="AHU268" s="26"/>
      <c r="AHV268" s="26"/>
      <c r="AHW268" s="26"/>
      <c r="AHX268" s="26"/>
      <c r="AHY268" s="26"/>
      <c r="AHZ268" s="26"/>
      <c r="AIA268" s="26"/>
      <c r="AIB268" s="26"/>
      <c r="AIC268" s="26"/>
      <c r="AID268" s="26"/>
      <c r="AIE268" s="26"/>
      <c r="AIF268" s="26"/>
      <c r="AIG268" s="26"/>
      <c r="AIH268" s="26"/>
      <c r="AII268" s="26"/>
      <c r="AIJ268" s="26"/>
      <c r="AIK268" s="26"/>
      <c r="AIL268" s="26"/>
      <c r="AIM268" s="26"/>
      <c r="AIN268" s="26"/>
      <c r="AIO268" s="26"/>
      <c r="AIP268" s="26"/>
      <c r="AIQ268" s="26"/>
      <c r="AIR268" s="26"/>
      <c r="AIS268" s="26"/>
      <c r="AIT268" s="26"/>
      <c r="AIU268" s="26"/>
      <c r="AIV268" s="26"/>
      <c r="AIW268" s="26"/>
      <c r="AIX268" s="26"/>
      <c r="AIY268" s="26"/>
      <c r="AIZ268" s="26"/>
      <c r="AJA268" s="26"/>
      <c r="AJB268" s="26"/>
      <c r="AJC268" s="26"/>
      <c r="AJD268" s="26"/>
      <c r="AJE268" s="26"/>
      <c r="AJF268" s="26"/>
      <c r="AJG268" s="26"/>
      <c r="AJH268" s="26"/>
      <c r="AJI268" s="26"/>
      <c r="AJJ268" s="26"/>
      <c r="AJK268" s="26"/>
      <c r="AJL268" s="26"/>
      <c r="AJM268" s="26"/>
      <c r="AJN268" s="26"/>
      <c r="AJO268" s="26"/>
      <c r="AJP268" s="26"/>
      <c r="AJQ268" s="26"/>
      <c r="AJR268" s="26"/>
      <c r="AJS268" s="26"/>
      <c r="AJT268" s="26"/>
      <c r="AJU268" s="26"/>
      <c r="AJV268" s="26"/>
      <c r="AJW268" s="26"/>
      <c r="AJX268" s="26"/>
      <c r="AJY268" s="26"/>
      <c r="AJZ268" s="26"/>
      <c r="AKA268" s="26"/>
      <c r="AKB268" s="26"/>
      <c r="AKC268" s="26"/>
      <c r="AKD268" s="26"/>
      <c r="AKE268" s="26"/>
      <c r="AKF268" s="26"/>
      <c r="AKG268" s="26"/>
      <c r="AKH268" s="26"/>
      <c r="AKI268" s="26"/>
      <c r="AKJ268" s="26"/>
      <c r="AKK268" s="26"/>
      <c r="AKL268" s="26"/>
      <c r="AKM268" s="26"/>
      <c r="AKN268" s="26"/>
      <c r="AKO268" s="26"/>
      <c r="AKP268" s="26"/>
      <c r="AKQ268" s="26"/>
      <c r="AKR268" s="26"/>
      <c r="AKS268" s="26"/>
      <c r="AKT268" s="26"/>
      <c r="AKU268" s="26"/>
      <c r="AKV268" s="26"/>
      <c r="AKW268" s="26"/>
      <c r="AKX268" s="26"/>
      <c r="AKY268" s="26"/>
      <c r="AKZ268" s="26"/>
      <c r="ALA268" s="26"/>
      <c r="ALB268" s="26"/>
      <c r="ALC268" s="26"/>
      <c r="ALD268" s="26"/>
      <c r="ALE268" s="26"/>
      <c r="ALF268" s="26"/>
      <c r="ALG268" s="26"/>
      <c r="ALH268" s="26"/>
      <c r="ALI268" s="26"/>
      <c r="ALJ268" s="26"/>
      <c r="ALK268" s="26"/>
      <c r="ALL268" s="26"/>
      <c r="ALM268" s="26"/>
      <c r="ALN268" s="26"/>
      <c r="ALO268" s="26"/>
      <c r="ALP268" s="26"/>
      <c r="ALQ268" s="26"/>
      <c r="ALR268" s="26"/>
      <c r="ALS268" s="26"/>
      <c r="ALT268" s="26"/>
      <c r="ALU268" s="26"/>
      <c r="ALV268" s="26"/>
      <c r="ALW268" s="26"/>
      <c r="ALX268" s="26"/>
      <c r="ALY268" s="26"/>
      <c r="ALZ268" s="26"/>
      <c r="AMA268" s="26"/>
      <c r="AMB268" s="26"/>
      <c r="AMC268" s="26"/>
      <c r="AMD268" s="26"/>
      <c r="AME268" s="26"/>
      <c r="AMF268" s="26"/>
      <c r="AMG268" s="26"/>
      <c r="AMH268" s="26"/>
      <c r="AMI268" s="26"/>
      <c r="AMJ268" s="26"/>
      <c r="AMK268" s="26"/>
      <c r="AML268" s="26"/>
      <c r="AMM268" s="26"/>
      <c r="AMN268" s="26"/>
      <c r="AMO268" s="26"/>
      <c r="AMP268" s="26"/>
      <c r="AMQ268" s="26"/>
      <c r="AMR268" s="26"/>
      <c r="AMS268" s="26"/>
      <c r="AMT268" s="26"/>
      <c r="AMU268" s="26"/>
      <c r="AMV268" s="26"/>
      <c r="AMW268" s="26"/>
      <c r="AMX268" s="26"/>
      <c r="AMY268" s="26"/>
      <c r="AMZ268" s="26"/>
      <c r="ANA268" s="26"/>
      <c r="ANB268" s="26"/>
      <c r="ANC268" s="26"/>
      <c r="AND268" s="26"/>
      <c r="ANE268" s="26"/>
      <c r="ANF268" s="26"/>
      <c r="ANG268" s="26"/>
      <c r="ANH268" s="26"/>
      <c r="ANI268" s="26"/>
      <c r="ANJ268" s="26"/>
      <c r="ANK268" s="26"/>
      <c r="ANL268" s="26"/>
      <c r="ANM268" s="26"/>
      <c r="ANN268" s="26"/>
      <c r="ANO268" s="26"/>
      <c r="ANP268" s="26"/>
      <c r="ANQ268" s="26"/>
      <c r="ANR268" s="26"/>
      <c r="ANS268" s="26"/>
      <c r="ANT268" s="26"/>
      <c r="ANU268" s="26"/>
      <c r="ANV268" s="26"/>
      <c r="ANW268" s="26"/>
      <c r="ANX268" s="26"/>
      <c r="ANY268" s="26"/>
      <c r="ANZ268" s="26"/>
      <c r="AOA268" s="26"/>
      <c r="AOB268" s="26"/>
      <c r="AOC268" s="26"/>
      <c r="AOD268" s="26"/>
      <c r="AOE268" s="26"/>
      <c r="AOF268" s="26"/>
      <c r="AOG268" s="26"/>
      <c r="AOH268" s="26"/>
      <c r="AOI268" s="26"/>
      <c r="AOJ268" s="26"/>
      <c r="AOK268" s="26"/>
      <c r="AOL268" s="26"/>
      <c r="AOM268" s="26"/>
      <c r="AON268" s="26"/>
      <c r="AOO268" s="26"/>
      <c r="AOP268" s="26"/>
      <c r="AOQ268" s="26"/>
      <c r="AOR268" s="26"/>
      <c r="AOS268" s="26"/>
      <c r="AOT268" s="26"/>
      <c r="AOU268" s="26"/>
      <c r="AOV268" s="26"/>
      <c r="AOW268" s="26"/>
      <c r="AOX268" s="26"/>
      <c r="AOY268" s="26"/>
      <c r="AOZ268" s="26"/>
      <c r="APA268" s="26"/>
      <c r="APB268" s="26"/>
      <c r="APC268" s="26"/>
      <c r="APD268" s="26"/>
      <c r="APE268" s="26"/>
      <c r="APF268" s="26"/>
      <c r="APG268" s="26"/>
      <c r="APH268" s="26"/>
      <c r="API268" s="26"/>
      <c r="APJ268" s="26"/>
      <c r="APK268" s="26"/>
      <c r="APL268" s="26"/>
      <c r="APM268" s="26"/>
      <c r="APN268" s="26"/>
      <c r="APO268" s="26"/>
      <c r="APP268" s="26"/>
      <c r="APQ268" s="26"/>
      <c r="APR268" s="26"/>
      <c r="APS268" s="26"/>
      <c r="APT268" s="26"/>
      <c r="APU268" s="26"/>
      <c r="APV268" s="26"/>
      <c r="APW268" s="26"/>
      <c r="APX268" s="26"/>
      <c r="APY268" s="26"/>
      <c r="APZ268" s="26"/>
      <c r="AQA268" s="26"/>
      <c r="AQB268" s="26"/>
      <c r="AQC268" s="26"/>
      <c r="AQD268" s="26"/>
      <c r="AQE268" s="26"/>
      <c r="AQF268" s="26"/>
      <c r="AQG268" s="26"/>
      <c r="AQH268" s="26"/>
      <c r="AQI268" s="26"/>
      <c r="AQJ268" s="26"/>
      <c r="AQK268" s="26"/>
      <c r="AQL268" s="26"/>
      <c r="AQM268" s="26"/>
      <c r="AQN268" s="26"/>
      <c r="AQO268" s="26"/>
      <c r="AQP268" s="26"/>
      <c r="AQQ268" s="26"/>
      <c r="AQR268" s="26"/>
      <c r="AQS268" s="26"/>
      <c r="AQT268" s="26"/>
      <c r="AQU268" s="26"/>
      <c r="AQV268" s="26"/>
      <c r="AQW268" s="26"/>
      <c r="AQX268" s="26"/>
      <c r="AQY268" s="26"/>
      <c r="AQZ268" s="26"/>
      <c r="ARA268" s="26"/>
      <c r="ARB268" s="26"/>
      <c r="ARC268" s="26"/>
      <c r="ARD268" s="26"/>
      <c r="ARE268" s="26"/>
      <c r="ARF268" s="26"/>
      <c r="ARG268" s="26"/>
      <c r="ARH268" s="26"/>
      <c r="ARI268" s="26"/>
      <c r="ARJ268" s="26"/>
      <c r="ARK268" s="26"/>
      <c r="ARL268" s="26"/>
      <c r="ARM268" s="26"/>
      <c r="ARN268" s="26"/>
      <c r="ARO268" s="26"/>
      <c r="ARP268" s="26"/>
      <c r="ARQ268" s="26"/>
      <c r="ARR268" s="26"/>
      <c r="ARS268" s="26"/>
      <c r="ART268" s="26"/>
      <c r="ARU268" s="26"/>
      <c r="ARV268" s="26"/>
      <c r="ARW268" s="26"/>
      <c r="ARX268" s="26"/>
      <c r="ARY268" s="26"/>
      <c r="ARZ268" s="26"/>
      <c r="ASA268" s="26"/>
      <c r="ASB268" s="26"/>
      <c r="ASC268" s="26"/>
      <c r="ASD268" s="26"/>
      <c r="ASE268" s="26"/>
      <c r="ASF268" s="26"/>
      <c r="ASG268" s="26"/>
      <c r="ASH268" s="26"/>
      <c r="ASI268" s="26"/>
      <c r="ASJ268" s="26"/>
      <c r="ASK268" s="26"/>
      <c r="ASL268" s="26"/>
      <c r="ASM268" s="26"/>
      <c r="ASN268" s="26"/>
      <c r="ASO268" s="26"/>
      <c r="ASP268" s="26"/>
      <c r="ASQ268" s="26"/>
      <c r="ASR268" s="26"/>
      <c r="ASS268" s="26"/>
      <c r="AST268" s="26"/>
      <c r="ASU268" s="26"/>
      <c r="ASV268" s="26"/>
      <c r="ASW268" s="26"/>
      <c r="ASX268" s="26"/>
      <c r="ASY268" s="26"/>
      <c r="ASZ268" s="26"/>
      <c r="ATA268" s="26"/>
      <c r="ATB268" s="26"/>
      <c r="ATC268" s="26"/>
      <c r="ATD268" s="26"/>
      <c r="ATE268" s="26"/>
      <c r="ATF268" s="26"/>
      <c r="ATG268" s="26"/>
      <c r="ATH268" s="26"/>
      <c r="ATI268" s="26"/>
      <c r="ATJ268" s="26"/>
      <c r="ATK268" s="26"/>
      <c r="ATL268" s="26"/>
      <c r="ATM268" s="26"/>
      <c r="ATN268" s="26"/>
      <c r="ATO268" s="26"/>
      <c r="ATP268" s="26"/>
      <c r="ATQ268" s="26"/>
      <c r="ATR268" s="26"/>
      <c r="ATS268" s="26"/>
      <c r="ATT268" s="26"/>
      <c r="ATU268" s="26"/>
      <c r="ATV268" s="26"/>
      <c r="ATW268" s="26"/>
      <c r="ATX268" s="26"/>
      <c r="ATY268" s="26"/>
      <c r="ATZ268" s="26"/>
      <c r="AUA268" s="26"/>
      <c r="AUB268" s="26"/>
      <c r="AUC268" s="26"/>
      <c r="AUD268" s="26"/>
      <c r="AUE268" s="26"/>
      <c r="AUF268" s="26"/>
      <c r="AUG268" s="26"/>
      <c r="AUH268" s="26"/>
      <c r="AUI268" s="26"/>
      <c r="AUJ268" s="26"/>
      <c r="AUK268" s="26"/>
      <c r="AUL268" s="26"/>
      <c r="AUM268" s="26"/>
      <c r="AUN268" s="26"/>
      <c r="AUO268" s="26"/>
      <c r="AUP268" s="26"/>
      <c r="AUQ268" s="26"/>
      <c r="AUR268" s="26"/>
      <c r="AUS268" s="26"/>
      <c r="AUT268" s="26"/>
      <c r="AUU268" s="26"/>
      <c r="AUV268" s="26"/>
      <c r="AUW268" s="26"/>
      <c r="AUX268" s="26"/>
      <c r="AUY268" s="26"/>
      <c r="AUZ268" s="26"/>
      <c r="AVA268" s="26"/>
      <c r="AVB268" s="26"/>
      <c r="AVC268" s="26"/>
      <c r="AVD268" s="26"/>
      <c r="AVE268" s="26"/>
      <c r="AVF268" s="26"/>
      <c r="AVG268" s="26"/>
      <c r="AVH268" s="26"/>
      <c r="AVI268" s="26"/>
      <c r="AVJ268" s="26"/>
      <c r="AVK268" s="26"/>
      <c r="AVL268" s="26"/>
      <c r="AVM268" s="26"/>
      <c r="AVN268" s="26"/>
      <c r="AVO268" s="26"/>
      <c r="AVP268" s="26"/>
      <c r="AVQ268" s="26"/>
      <c r="AVR268" s="26"/>
      <c r="AVS268" s="26"/>
      <c r="AVT268" s="26"/>
      <c r="AVU268" s="26"/>
      <c r="AVV268" s="26"/>
      <c r="AVW268" s="26"/>
      <c r="AVX268" s="26"/>
      <c r="AVY268" s="26"/>
      <c r="AVZ268" s="26"/>
      <c r="AWA268" s="26"/>
      <c r="AWB268" s="26"/>
      <c r="AWC268" s="26"/>
      <c r="AWD268" s="26"/>
      <c r="AWE268" s="26"/>
      <c r="AWF268" s="26"/>
      <c r="AWG268" s="26"/>
      <c r="AWH268" s="26"/>
      <c r="AWI268" s="26"/>
      <c r="AWJ268" s="26"/>
      <c r="AWK268" s="26"/>
      <c r="AWL268" s="26"/>
      <c r="AWM268" s="26"/>
      <c r="AWN268" s="26"/>
      <c r="AWO268" s="26"/>
      <c r="AWP268" s="26"/>
      <c r="AWQ268" s="26"/>
      <c r="AWR268" s="26"/>
      <c r="AWS268" s="26"/>
      <c r="AWT268" s="26"/>
      <c r="AWU268" s="26"/>
      <c r="AWV268" s="26"/>
      <c r="AWW268" s="26"/>
      <c r="AWX268" s="26"/>
      <c r="AWY268" s="26"/>
      <c r="AWZ268" s="26"/>
      <c r="AXA268" s="26"/>
      <c r="AXB268" s="26"/>
      <c r="AXC268" s="26"/>
      <c r="AXD268" s="26"/>
      <c r="AXE268" s="26"/>
      <c r="AXF268" s="26"/>
      <c r="AXG268" s="26"/>
      <c r="AXH268" s="26"/>
      <c r="AXI268" s="26"/>
      <c r="AXJ268" s="26"/>
      <c r="AXK268" s="26"/>
      <c r="AXL268" s="26"/>
      <c r="AXM268" s="26"/>
      <c r="AXN268" s="26"/>
      <c r="AXO268" s="26"/>
      <c r="AXP268" s="26"/>
      <c r="AXQ268" s="26"/>
      <c r="AXR268" s="26"/>
      <c r="AXS268" s="26"/>
      <c r="AXT268" s="26"/>
      <c r="AXU268" s="26"/>
      <c r="AXV268" s="26"/>
      <c r="AXW268" s="26"/>
      <c r="AXX268" s="26"/>
      <c r="AXY268" s="26"/>
      <c r="AXZ268" s="26"/>
      <c r="AYA268" s="26"/>
      <c r="AYB268" s="26"/>
      <c r="AYC268" s="26"/>
      <c r="AYD268" s="26"/>
      <c r="AYE268" s="26"/>
      <c r="AYF268" s="26"/>
      <c r="AYG268" s="26"/>
      <c r="AYH268" s="26"/>
      <c r="AYI268" s="26"/>
      <c r="AYJ268" s="26"/>
      <c r="AYK268" s="26"/>
      <c r="AYL268" s="26"/>
      <c r="AYM268" s="26"/>
      <c r="AYN268" s="26"/>
      <c r="AYO268" s="26"/>
      <c r="AYP268" s="26"/>
      <c r="AYQ268" s="26"/>
      <c r="AYR268" s="26"/>
      <c r="AYS268" s="26"/>
      <c r="AYT268" s="26"/>
      <c r="AYU268" s="26"/>
      <c r="AYV268" s="26"/>
      <c r="AYW268" s="26"/>
      <c r="AYX268" s="26"/>
      <c r="AYY268" s="26"/>
      <c r="AYZ268" s="26"/>
      <c r="AZA268" s="26"/>
      <c r="AZB268" s="26"/>
      <c r="AZC268" s="26"/>
      <c r="AZD268" s="26"/>
      <c r="AZE268" s="26"/>
      <c r="AZF268" s="26"/>
      <c r="AZG268" s="26"/>
      <c r="AZH268" s="26"/>
      <c r="AZI268" s="26"/>
      <c r="AZJ268" s="26"/>
      <c r="AZK268" s="26"/>
      <c r="AZL268" s="26"/>
      <c r="AZM268" s="26"/>
      <c r="AZN268" s="26"/>
      <c r="AZO268" s="26"/>
      <c r="AZP268" s="26"/>
      <c r="AZQ268" s="26"/>
      <c r="AZR268" s="26"/>
      <c r="AZS268" s="26"/>
      <c r="AZT268" s="26"/>
      <c r="AZU268" s="26"/>
      <c r="AZV268" s="26"/>
      <c r="AZW268" s="26"/>
      <c r="AZX268" s="26"/>
      <c r="AZY268" s="26"/>
      <c r="AZZ268" s="26"/>
      <c r="BAA268" s="26"/>
      <c r="BAB268" s="26"/>
      <c r="BAC268" s="26"/>
      <c r="BAD268" s="26"/>
      <c r="BAE268" s="26"/>
      <c r="BAF268" s="26"/>
      <c r="BAG268" s="26"/>
      <c r="BAH268" s="26"/>
      <c r="BAI268" s="26"/>
      <c r="BAJ268" s="26"/>
      <c r="BAK268" s="26"/>
      <c r="BAL268" s="26"/>
      <c r="BAM268" s="26"/>
      <c r="BAN268" s="26"/>
      <c r="BAO268" s="26"/>
      <c r="BAP268" s="26"/>
      <c r="BAQ268" s="26"/>
      <c r="BAR268" s="26"/>
      <c r="BAS268" s="26"/>
      <c r="BAT268" s="26"/>
      <c r="BAU268" s="26"/>
      <c r="BAV268" s="26"/>
      <c r="BAW268" s="26"/>
      <c r="BAX268" s="26"/>
      <c r="BAY268" s="26"/>
      <c r="BAZ268" s="26"/>
      <c r="BBA268" s="26"/>
      <c r="BBB268" s="26"/>
      <c r="BBC268" s="26"/>
      <c r="BBD268" s="26"/>
      <c r="BBE268" s="26"/>
      <c r="BBF268" s="26"/>
      <c r="BBG268" s="26"/>
      <c r="BBH268" s="26"/>
      <c r="BBI268" s="26"/>
      <c r="BBJ268" s="26"/>
      <c r="BBK268" s="26"/>
      <c r="BBL268" s="26"/>
      <c r="BBM268" s="26"/>
      <c r="BBN268" s="26"/>
      <c r="BBO268" s="26"/>
      <c r="BBP268" s="26"/>
      <c r="BBQ268" s="26"/>
      <c r="BBR268" s="26"/>
      <c r="BBS268" s="26"/>
      <c r="BBT268" s="26"/>
      <c r="BBU268" s="26"/>
      <c r="BBV268" s="26"/>
      <c r="BBW268" s="26"/>
      <c r="BBX268" s="26"/>
      <c r="BBY268" s="26"/>
      <c r="BBZ268" s="26"/>
      <c r="BCA268" s="26"/>
      <c r="BCB268" s="26"/>
      <c r="BCC268" s="26"/>
      <c r="BCD268" s="26"/>
      <c r="BCE268" s="26"/>
      <c r="BCF268" s="26"/>
      <c r="BCG268" s="26"/>
      <c r="BCH268" s="26"/>
      <c r="BCI268" s="26"/>
      <c r="BCJ268" s="26"/>
      <c r="BCK268" s="26"/>
      <c r="BCL268" s="26"/>
      <c r="BCM268" s="26"/>
      <c r="BCN268" s="26"/>
      <c r="BCO268" s="26"/>
      <c r="BCP268" s="26"/>
      <c r="BCQ268" s="26"/>
      <c r="BCR268" s="26"/>
      <c r="BCS268" s="26"/>
      <c r="BCT268" s="26"/>
      <c r="BCU268" s="26"/>
      <c r="BCV268" s="26"/>
      <c r="BCW268" s="26"/>
      <c r="BCX268" s="26"/>
      <c r="BCY268" s="26"/>
      <c r="BCZ268" s="26"/>
      <c r="BDA268" s="26"/>
      <c r="BDB268" s="26"/>
      <c r="BDC268" s="26"/>
      <c r="BDD268" s="26"/>
      <c r="BDE268" s="26"/>
      <c r="BDF268" s="26"/>
      <c r="BDG268" s="26"/>
      <c r="BDH268" s="26"/>
      <c r="BDI268" s="26"/>
      <c r="BDJ268" s="26"/>
      <c r="BDK268" s="26"/>
      <c r="BDL268" s="26"/>
      <c r="BDM268" s="26"/>
      <c r="BDN268" s="26"/>
      <c r="BDO268" s="26"/>
      <c r="BDP268" s="26"/>
      <c r="BDQ268" s="26"/>
      <c r="BDR268" s="26"/>
      <c r="BDS268" s="26"/>
      <c r="BDT268" s="26"/>
      <c r="BDU268" s="26"/>
      <c r="BDV268" s="26"/>
      <c r="BDW268" s="26"/>
      <c r="BDX268" s="26"/>
      <c r="BDY268" s="26"/>
      <c r="BDZ268" s="26"/>
      <c r="BEA268" s="26"/>
      <c r="BEB268" s="26"/>
      <c r="BEC268" s="26"/>
      <c r="BED268" s="26"/>
      <c r="BEE268" s="26"/>
      <c r="BEF268" s="26"/>
      <c r="BEG268" s="26"/>
      <c r="BEH268" s="26"/>
      <c r="BEI268" s="26"/>
      <c r="BEJ268" s="26"/>
      <c r="BEK268" s="26"/>
      <c r="BEL268" s="26"/>
      <c r="BEM268" s="26"/>
      <c r="BEN268" s="26"/>
      <c r="BEO268" s="26"/>
      <c r="BEP268" s="26"/>
      <c r="BEQ268" s="26"/>
      <c r="BER268" s="26"/>
      <c r="BES268" s="26"/>
      <c r="BET268" s="26"/>
      <c r="BEU268" s="26"/>
      <c r="BEV268" s="26"/>
      <c r="BEW268" s="26"/>
      <c r="BEX268" s="26"/>
      <c r="BEY268" s="26"/>
      <c r="BEZ268" s="26"/>
      <c r="BFA268" s="26"/>
      <c r="BFB268" s="26"/>
      <c r="BFC268" s="26"/>
      <c r="BFD268" s="26"/>
      <c r="BFE268" s="26"/>
      <c r="BFF268" s="26"/>
      <c r="BFG268" s="26"/>
      <c r="BFH268" s="26"/>
      <c r="BFI268" s="26"/>
      <c r="BFJ268" s="26"/>
      <c r="BFK268" s="26"/>
      <c r="BFL268" s="26"/>
      <c r="BFM268" s="26"/>
      <c r="BFN268" s="26"/>
      <c r="BFO268" s="26"/>
      <c r="BFP268" s="26"/>
      <c r="BFQ268" s="26"/>
      <c r="BFR268" s="26"/>
      <c r="BFS268" s="26"/>
      <c r="BFT268" s="26"/>
      <c r="BFU268" s="26"/>
      <c r="BFV268" s="26"/>
      <c r="BFW268" s="26"/>
      <c r="BFX268" s="26"/>
      <c r="BFY268" s="26"/>
      <c r="BFZ268" s="26"/>
      <c r="BGA268" s="26"/>
      <c r="BGB268" s="26"/>
      <c r="BGC268" s="26"/>
      <c r="BGD268" s="26"/>
      <c r="BGE268" s="26"/>
      <c r="BGF268" s="26"/>
      <c r="BGG268" s="26"/>
      <c r="BGH268" s="26"/>
      <c r="BGI268" s="26"/>
      <c r="BGJ268" s="26"/>
      <c r="BGK268" s="26"/>
      <c r="BGL268" s="26"/>
      <c r="BGM268" s="26"/>
      <c r="BGN268" s="26"/>
      <c r="BGO268" s="26"/>
      <c r="BGP268" s="26"/>
      <c r="BGQ268" s="26"/>
      <c r="BGR268" s="26"/>
      <c r="BGS268" s="26"/>
      <c r="BGT268" s="26"/>
      <c r="BGU268" s="26"/>
      <c r="BGV268" s="26"/>
      <c r="BGW268" s="26"/>
      <c r="BGX268" s="26"/>
      <c r="BGY268" s="26"/>
      <c r="BGZ268" s="26"/>
      <c r="BHA268" s="26"/>
      <c r="BHB268" s="26"/>
      <c r="BHC268" s="26"/>
      <c r="BHD268" s="26"/>
      <c r="BHE268" s="26"/>
      <c r="BHF268" s="26"/>
      <c r="BHG268" s="26"/>
      <c r="BHH268" s="26"/>
      <c r="BHI268" s="26"/>
      <c r="BHJ268" s="26"/>
      <c r="BHK268" s="26"/>
      <c r="BHL268" s="26"/>
      <c r="BHM268" s="26"/>
      <c r="BHN268" s="26"/>
      <c r="BHO268" s="26"/>
      <c r="BHP268" s="26"/>
      <c r="BHQ268" s="26"/>
      <c r="BHR268" s="26"/>
      <c r="BHS268" s="26"/>
      <c r="BHT268" s="26"/>
      <c r="BHU268" s="26"/>
      <c r="BHV268" s="26"/>
      <c r="BHW268" s="26"/>
      <c r="BHX268" s="26"/>
      <c r="BHY268" s="26"/>
      <c r="BHZ268" s="26"/>
      <c r="BIA268" s="26"/>
      <c r="BIB268" s="26"/>
      <c r="BIC268" s="26"/>
      <c r="BID268" s="26"/>
      <c r="BIE268" s="26"/>
      <c r="BIF268" s="26"/>
      <c r="BIG268" s="26"/>
      <c r="BIH268" s="26"/>
      <c r="BII268" s="26"/>
      <c r="BIJ268" s="26"/>
      <c r="BIK268" s="26"/>
      <c r="BIL268" s="26"/>
      <c r="BIM268" s="26"/>
      <c r="BIN268" s="26"/>
      <c r="BIO268" s="26"/>
      <c r="BIP268" s="26"/>
      <c r="BIQ268" s="26"/>
      <c r="BIR268" s="26"/>
      <c r="BIS268" s="26"/>
      <c r="BIT268" s="26"/>
      <c r="BIU268" s="26"/>
      <c r="BIV268" s="26"/>
      <c r="BIW268" s="26"/>
      <c r="BIX268" s="26"/>
      <c r="BIY268" s="26"/>
      <c r="BIZ268" s="26"/>
      <c r="BJA268" s="26"/>
      <c r="BJB268" s="26"/>
      <c r="BJC268" s="26"/>
      <c r="BJD268" s="26"/>
      <c r="BJE268" s="26"/>
      <c r="BJF268" s="26"/>
      <c r="BJG268" s="26"/>
      <c r="BJH268" s="26"/>
      <c r="BJI268" s="26"/>
      <c r="BJJ268" s="26"/>
      <c r="BJK268" s="26"/>
      <c r="BJL268" s="26"/>
      <c r="BJM268" s="26"/>
      <c r="BJN268" s="26"/>
      <c r="BJO268" s="26"/>
      <c r="BJP268" s="26"/>
      <c r="BJQ268" s="26"/>
      <c r="BJR268" s="26"/>
      <c r="BJS268" s="26"/>
      <c r="BJT268" s="26"/>
      <c r="BJU268" s="26"/>
      <c r="BJV268" s="26"/>
      <c r="BJW268" s="26"/>
      <c r="BJX268" s="26"/>
      <c r="BJY268" s="26"/>
      <c r="BJZ268" s="26"/>
      <c r="BKA268" s="26"/>
      <c r="BKB268" s="26"/>
      <c r="BKC268" s="26"/>
      <c r="BKD268" s="26"/>
      <c r="BKE268" s="26"/>
      <c r="BKF268" s="26"/>
      <c r="BKG268" s="26"/>
      <c r="BKH268" s="26"/>
      <c r="BKI268" s="26"/>
      <c r="BKJ268" s="26"/>
      <c r="BKK268" s="26"/>
      <c r="BKL268" s="26"/>
      <c r="BKM268" s="26"/>
      <c r="BKN268" s="26"/>
      <c r="BKO268" s="26"/>
      <c r="BKP268" s="26"/>
      <c r="BKQ268" s="26"/>
      <c r="BKR268" s="26"/>
      <c r="BKS268" s="26"/>
      <c r="BKT268" s="26"/>
      <c r="BKU268" s="26"/>
      <c r="BKV268" s="26"/>
      <c r="BKW268" s="26"/>
      <c r="BKX268" s="26"/>
      <c r="BKY268" s="26"/>
      <c r="BKZ268" s="26"/>
      <c r="BLA268" s="26"/>
      <c r="BLB268" s="26"/>
      <c r="BLC268" s="26"/>
      <c r="BLD268" s="26"/>
      <c r="BLE268" s="26"/>
      <c r="BLF268" s="26"/>
      <c r="BLG268" s="26"/>
      <c r="BLH268" s="26"/>
      <c r="BLI268" s="26"/>
      <c r="BLJ268" s="26"/>
      <c r="BLK268" s="26"/>
      <c r="BLL268" s="26"/>
      <c r="BLM268" s="26"/>
      <c r="BLN268" s="26"/>
      <c r="BLO268" s="26"/>
      <c r="BLP268" s="26"/>
      <c r="BLQ268" s="26"/>
      <c r="BLR268" s="26"/>
      <c r="BLS268" s="26"/>
      <c r="BLT268" s="26"/>
      <c r="BLU268" s="26"/>
      <c r="BLV268" s="26"/>
      <c r="BLW268" s="26"/>
      <c r="BLX268" s="26"/>
      <c r="BLY268" s="26"/>
      <c r="BLZ268" s="26"/>
      <c r="BMA268" s="26"/>
      <c r="BMB268" s="26"/>
      <c r="BMC268" s="26"/>
      <c r="BMD268" s="26"/>
      <c r="BME268" s="26"/>
      <c r="BMF268" s="26"/>
      <c r="BMG268" s="26"/>
      <c r="BMH268" s="26"/>
      <c r="BMI268" s="26"/>
      <c r="BMJ268" s="26"/>
      <c r="BMK268" s="26"/>
      <c r="BML268" s="26"/>
      <c r="BMM268" s="26"/>
      <c r="BMN268" s="26"/>
      <c r="BMO268" s="26"/>
      <c r="BMP268" s="26"/>
      <c r="BMQ268" s="26"/>
      <c r="BMR268" s="26"/>
      <c r="BMS268" s="26"/>
      <c r="BMT268" s="26"/>
      <c r="BMU268" s="26"/>
      <c r="BMV268" s="26"/>
      <c r="BMW268" s="26"/>
      <c r="BMX268" s="26"/>
      <c r="BMY268" s="26"/>
      <c r="BMZ268" s="26"/>
      <c r="BNA268" s="26"/>
      <c r="BNB268" s="26"/>
      <c r="BNC268" s="26"/>
      <c r="BND268" s="26"/>
      <c r="BNE268" s="26"/>
      <c r="BNF268" s="26"/>
      <c r="BNG268" s="26"/>
      <c r="BNH268" s="26"/>
      <c r="BNI268" s="26"/>
      <c r="BNJ268" s="26"/>
      <c r="BNK268" s="26"/>
      <c r="BNL268" s="26"/>
      <c r="BNM268" s="26"/>
      <c r="BNN268" s="26"/>
      <c r="BNO268" s="26"/>
      <c r="BNP268" s="26"/>
      <c r="BNQ268" s="26"/>
      <c r="BNR268" s="26"/>
      <c r="BNS268" s="26"/>
      <c r="BNT268" s="26"/>
      <c r="BNU268" s="26"/>
      <c r="BNV268" s="26"/>
      <c r="BNW268" s="26"/>
      <c r="BNX268" s="26"/>
      <c r="BNY268" s="26"/>
      <c r="BNZ268" s="26"/>
      <c r="BOA268" s="26"/>
      <c r="BOB268" s="26"/>
      <c r="BOC268" s="26"/>
      <c r="BOD268" s="26"/>
      <c r="BOE268" s="26"/>
      <c r="BOF268" s="26"/>
      <c r="BOG268" s="26"/>
      <c r="BOH268" s="26"/>
      <c r="BOI268" s="26"/>
      <c r="BOJ268" s="26"/>
      <c r="BOK268" s="26"/>
      <c r="BOL268" s="26"/>
      <c r="BOM268" s="26"/>
      <c r="BON268" s="26"/>
      <c r="BOO268" s="26"/>
      <c r="BOP268" s="26"/>
      <c r="BOQ268" s="26"/>
      <c r="BOR268" s="26"/>
      <c r="BOS268" s="26"/>
      <c r="BOT268" s="26"/>
      <c r="BOU268" s="26"/>
      <c r="BOV268" s="26"/>
      <c r="BOW268" s="26"/>
      <c r="BOX268" s="26"/>
      <c r="BOY268" s="26"/>
      <c r="BOZ268" s="26"/>
      <c r="BPA268" s="26"/>
      <c r="BPB268" s="26"/>
      <c r="BPC268" s="26"/>
      <c r="BPD268" s="26"/>
      <c r="BPE268" s="26"/>
      <c r="BPF268" s="26"/>
      <c r="BPG268" s="26"/>
      <c r="BPH268" s="26"/>
      <c r="BPI268" s="26"/>
      <c r="BPJ268" s="26"/>
      <c r="BPK268" s="26"/>
      <c r="BPL268" s="26"/>
      <c r="BPM268" s="26"/>
      <c r="BPN268" s="26"/>
      <c r="BPO268" s="26"/>
      <c r="BPP268" s="26"/>
      <c r="BPQ268" s="26"/>
      <c r="BPR268" s="26"/>
      <c r="BPS268" s="26"/>
      <c r="BPT268" s="26"/>
      <c r="BPU268" s="26"/>
      <c r="BPV268" s="26"/>
      <c r="BPW268" s="26"/>
      <c r="BPX268" s="26"/>
      <c r="BPY268" s="26"/>
      <c r="BPZ268" s="26"/>
      <c r="BQA268" s="26"/>
      <c r="BQB268" s="26"/>
      <c r="BQC268" s="26"/>
      <c r="BQD268" s="26"/>
      <c r="BQE268" s="26"/>
      <c r="BQF268" s="26"/>
      <c r="BQG268" s="26"/>
      <c r="BQH268" s="26"/>
      <c r="BQI268" s="26"/>
      <c r="BQJ268" s="26"/>
      <c r="BQK268" s="26"/>
      <c r="BQL268" s="26"/>
      <c r="BQM268" s="26"/>
      <c r="BQN268" s="26"/>
      <c r="BQO268" s="26"/>
      <c r="BQP268" s="26"/>
      <c r="BQQ268" s="26"/>
      <c r="BQR268" s="26"/>
      <c r="BQS268" s="26"/>
      <c r="BQT268" s="26"/>
      <c r="BQU268" s="26"/>
      <c r="BQV268" s="26"/>
      <c r="BQW268" s="26"/>
      <c r="BQX268" s="26"/>
      <c r="BQY268" s="26"/>
      <c r="BQZ268" s="26"/>
      <c r="BRA268" s="26"/>
      <c r="BRB268" s="26"/>
      <c r="BRC268" s="26"/>
      <c r="BRD268" s="26"/>
      <c r="BRE268" s="26"/>
      <c r="BRF268" s="26"/>
      <c r="BRG268" s="26"/>
      <c r="BRH268" s="26"/>
      <c r="BRI268" s="26"/>
      <c r="BRJ268" s="26"/>
      <c r="BRK268" s="26"/>
      <c r="BRL268" s="26"/>
      <c r="BRM268" s="26"/>
      <c r="BRN268" s="26"/>
      <c r="BRO268" s="26"/>
      <c r="BRP268" s="26"/>
      <c r="BRQ268" s="26"/>
      <c r="BRR268" s="26"/>
      <c r="BRS268" s="26"/>
      <c r="BRT268" s="26"/>
      <c r="BRU268" s="26"/>
      <c r="BRV268" s="26"/>
      <c r="BRW268" s="26"/>
      <c r="BRX268" s="26"/>
      <c r="BRY268" s="26"/>
      <c r="BRZ268" s="26"/>
      <c r="BSA268" s="26"/>
      <c r="BSB268" s="26"/>
      <c r="BSC268" s="26"/>
      <c r="BSD268" s="26"/>
      <c r="BSE268" s="26"/>
      <c r="BSF268" s="26"/>
      <c r="BSG268" s="26"/>
      <c r="BSH268" s="26"/>
      <c r="BSI268" s="26"/>
      <c r="BSJ268" s="26"/>
      <c r="BSK268" s="26"/>
      <c r="BSL268" s="26"/>
      <c r="BSM268" s="26"/>
      <c r="BSN268" s="26"/>
      <c r="BSO268" s="26"/>
      <c r="BSP268" s="26"/>
      <c r="BSQ268" s="26"/>
      <c r="BSR268" s="26"/>
      <c r="BSS268" s="26"/>
      <c r="BST268" s="26"/>
      <c r="BSU268" s="26"/>
      <c r="BSV268" s="26"/>
      <c r="BSW268" s="26"/>
      <c r="BSX268" s="26"/>
      <c r="BSY268" s="26"/>
      <c r="BSZ268" s="26"/>
      <c r="BTA268" s="26"/>
      <c r="BTB268" s="26"/>
      <c r="BTC268" s="26"/>
      <c r="BTD268" s="26"/>
      <c r="BTE268" s="26"/>
      <c r="BTF268" s="26"/>
      <c r="BTG268" s="26"/>
      <c r="BTH268" s="26"/>
      <c r="BTI268" s="26"/>
      <c r="BTJ268" s="26"/>
      <c r="BTK268" s="26"/>
      <c r="BTL268" s="26"/>
      <c r="BTM268" s="26"/>
      <c r="BTN268" s="26"/>
      <c r="BTO268" s="26"/>
      <c r="BTP268" s="26"/>
      <c r="BTQ268" s="26"/>
      <c r="BTR268" s="26"/>
      <c r="BTS268" s="26"/>
      <c r="BTT268" s="26"/>
      <c r="BTU268" s="26"/>
      <c r="BTV268" s="26"/>
      <c r="BTW268" s="26"/>
      <c r="BTX268" s="26"/>
      <c r="BTY268" s="26"/>
      <c r="BTZ268" s="26"/>
      <c r="BUA268" s="26"/>
      <c r="BUB268" s="26"/>
      <c r="BUC268" s="26"/>
      <c r="BUD268" s="26"/>
      <c r="BUE268" s="26"/>
      <c r="BUF268" s="26"/>
      <c r="BUG268" s="26"/>
      <c r="BUH268" s="26"/>
      <c r="BUI268" s="26"/>
      <c r="BUJ268" s="26"/>
      <c r="BUK268" s="26"/>
      <c r="BUL268" s="26"/>
      <c r="BUM268" s="26"/>
      <c r="BUN268" s="26"/>
      <c r="BUO268" s="26"/>
      <c r="BUP268" s="26"/>
      <c r="BUQ268" s="26"/>
      <c r="BUR268" s="26"/>
      <c r="BUS268" s="26"/>
      <c r="BUT268" s="26"/>
      <c r="BUU268" s="26"/>
      <c r="BUV268" s="26"/>
      <c r="BUW268" s="26"/>
      <c r="BUX268" s="26"/>
      <c r="BUY268" s="26"/>
      <c r="BUZ268" s="26"/>
      <c r="BVA268" s="26"/>
      <c r="BVB268" s="26"/>
      <c r="BVC268" s="26"/>
      <c r="BVD268" s="26"/>
      <c r="BVE268" s="26"/>
      <c r="BVF268" s="26"/>
      <c r="BVG268" s="26"/>
      <c r="BVH268" s="26"/>
      <c r="BVI268" s="26"/>
      <c r="BVJ268" s="26"/>
      <c r="BVK268" s="26"/>
      <c r="BVL268" s="26"/>
      <c r="BVM268" s="26"/>
      <c r="BVN268" s="26"/>
      <c r="BVO268" s="26"/>
      <c r="BVP268" s="26"/>
      <c r="BVQ268" s="26"/>
      <c r="BVR268" s="26"/>
      <c r="BVS268" s="26"/>
      <c r="BVT268" s="26"/>
      <c r="BVU268" s="26"/>
      <c r="BVV268" s="26"/>
      <c r="BVW268" s="26"/>
      <c r="BVX268" s="26"/>
      <c r="BVY268" s="26"/>
      <c r="BVZ268" s="26"/>
      <c r="BWA268" s="26"/>
      <c r="BWB268" s="26"/>
      <c r="BWC268" s="26"/>
      <c r="BWD268" s="26"/>
      <c r="BWE268" s="26"/>
      <c r="BWF268" s="26"/>
      <c r="BWG268" s="26"/>
      <c r="BWH268" s="26"/>
      <c r="BWI268" s="26"/>
      <c r="BWJ268" s="26"/>
      <c r="BWK268" s="26"/>
      <c r="BWL268" s="26"/>
      <c r="BWM268" s="26"/>
      <c r="BWN268" s="26"/>
      <c r="BWO268" s="26"/>
      <c r="BWP268" s="26"/>
      <c r="BWQ268" s="26"/>
      <c r="BWR268" s="26"/>
      <c r="BWS268" s="26"/>
      <c r="BWT268" s="26"/>
      <c r="BWU268" s="26"/>
      <c r="BWV268" s="26"/>
      <c r="BWW268" s="26"/>
      <c r="BWX268" s="26"/>
      <c r="BWY268" s="26"/>
      <c r="BWZ268" s="26"/>
      <c r="BXA268" s="26"/>
      <c r="BXB268" s="26"/>
      <c r="BXC268" s="26"/>
      <c r="BXD268" s="26"/>
      <c r="BXE268" s="26"/>
      <c r="BXF268" s="26"/>
      <c r="BXG268" s="26"/>
      <c r="BXH268" s="26"/>
      <c r="BXI268" s="26"/>
      <c r="BXJ268" s="26"/>
      <c r="BXK268" s="26"/>
      <c r="BXL268" s="26"/>
      <c r="BXM268" s="26"/>
      <c r="BXN268" s="26"/>
      <c r="BXO268" s="26"/>
      <c r="BXP268" s="26"/>
      <c r="BXQ268" s="26"/>
      <c r="BXR268" s="26"/>
      <c r="BXS268" s="26"/>
      <c r="BXT268" s="26"/>
      <c r="BXU268" s="26"/>
      <c r="BXV268" s="26"/>
      <c r="BXW268" s="26"/>
      <c r="BXX268" s="26"/>
      <c r="BXY268" s="26"/>
      <c r="BXZ268" s="26"/>
      <c r="BYA268" s="26"/>
      <c r="BYB268" s="26"/>
      <c r="BYC268" s="26"/>
      <c r="BYD268" s="26"/>
      <c r="BYE268" s="26"/>
      <c r="BYF268" s="26"/>
      <c r="BYG268" s="26"/>
      <c r="BYH268" s="26"/>
      <c r="BYI268" s="26"/>
      <c r="BYJ268" s="26"/>
      <c r="BYK268" s="26"/>
      <c r="BYL268" s="26"/>
      <c r="BYM268" s="26"/>
      <c r="BYN268" s="26"/>
      <c r="BYO268" s="26"/>
      <c r="BYP268" s="26"/>
      <c r="BYQ268" s="26"/>
      <c r="BYR268" s="26"/>
      <c r="BYS268" s="26"/>
      <c r="BYT268" s="26"/>
      <c r="BYU268" s="26"/>
      <c r="BYV268" s="26"/>
      <c r="BYW268" s="26"/>
      <c r="BYX268" s="26"/>
      <c r="BYY268" s="26"/>
      <c r="BYZ268" s="26"/>
      <c r="BZA268" s="26"/>
      <c r="BZB268" s="26"/>
      <c r="BZC268" s="26"/>
      <c r="BZD268" s="26"/>
      <c r="BZE268" s="26"/>
      <c r="BZF268" s="26"/>
      <c r="BZG268" s="26"/>
      <c r="BZH268" s="26"/>
      <c r="BZI268" s="26"/>
      <c r="BZJ268" s="26"/>
      <c r="BZK268" s="26"/>
      <c r="BZL268" s="26"/>
      <c r="BZM268" s="26"/>
      <c r="BZN268" s="26"/>
      <c r="BZO268" s="26"/>
      <c r="BZP268" s="26"/>
      <c r="BZQ268" s="26"/>
      <c r="BZR268" s="26"/>
      <c r="BZS268" s="26"/>
      <c r="BZT268" s="26"/>
      <c r="BZU268" s="26"/>
      <c r="BZV268" s="26"/>
      <c r="BZW268" s="26"/>
      <c r="BZX268" s="26"/>
      <c r="BZY268" s="26"/>
      <c r="BZZ268" s="26"/>
      <c r="CAA268" s="26"/>
      <c r="CAB268" s="26"/>
      <c r="CAC268" s="26"/>
      <c r="CAD268" s="26"/>
      <c r="CAE268" s="26"/>
      <c r="CAF268" s="26"/>
      <c r="CAG268" s="26"/>
      <c r="CAH268" s="26"/>
      <c r="CAI268" s="26"/>
      <c r="CAJ268" s="26"/>
      <c r="CAK268" s="26"/>
      <c r="CAL268" s="26"/>
      <c r="CAM268" s="26"/>
      <c r="CAN268" s="26"/>
      <c r="CAO268" s="26"/>
      <c r="CAP268" s="26"/>
      <c r="CAQ268" s="26"/>
      <c r="CAR268" s="26"/>
      <c r="CAS268" s="26"/>
      <c r="CAT268" s="26"/>
      <c r="CAU268" s="26"/>
      <c r="CAV268" s="26"/>
      <c r="CAW268" s="26"/>
      <c r="CAX268" s="26"/>
      <c r="CAY268" s="26"/>
      <c r="CAZ268" s="26"/>
      <c r="CBA268" s="26"/>
      <c r="CBB268" s="26"/>
      <c r="CBC268" s="26"/>
      <c r="CBD268" s="26"/>
      <c r="CBE268" s="26"/>
      <c r="CBF268" s="26"/>
      <c r="CBG268" s="26"/>
      <c r="CBH268" s="26"/>
      <c r="CBI268" s="26"/>
    </row>
    <row r="269" spans="1:2089" ht="14" customHeight="1">
      <c r="A269" s="27">
        <v>268</v>
      </c>
      <c r="B269" s="27" t="s">
        <v>404</v>
      </c>
      <c r="C269" s="37">
        <v>1991</v>
      </c>
      <c r="D269" s="26" t="s">
        <v>567</v>
      </c>
      <c r="E269" s="26" t="s">
        <v>566</v>
      </c>
      <c r="F269" s="77" t="s">
        <v>175</v>
      </c>
      <c r="G269" s="2" t="s">
        <v>108</v>
      </c>
      <c r="H269" s="2" t="s">
        <v>24</v>
      </c>
      <c r="I269" s="2" t="s">
        <v>548</v>
      </c>
      <c r="J269" s="2" t="s">
        <v>604</v>
      </c>
      <c r="K269" s="2" t="s">
        <v>548</v>
      </c>
      <c r="L269" s="2" t="s">
        <v>548</v>
      </c>
      <c r="M269" s="2" t="s">
        <v>548</v>
      </c>
      <c r="N269" s="2" t="s">
        <v>210</v>
      </c>
      <c r="O269" s="2" t="s">
        <v>43</v>
      </c>
      <c r="P269" s="2" t="s">
        <v>210</v>
      </c>
      <c r="Q269" s="2" t="s">
        <v>42</v>
      </c>
      <c r="R269" s="79" t="s">
        <v>613</v>
      </c>
      <c r="S269" s="90">
        <v>0.3888888888888889</v>
      </c>
      <c r="T269" s="26">
        <v>144</v>
      </c>
      <c r="U269" s="77">
        <v>1</v>
      </c>
      <c r="V269" s="26">
        <v>0</v>
      </c>
      <c r="W269" s="26">
        <v>1</v>
      </c>
      <c r="X269" s="26">
        <v>1</v>
      </c>
      <c r="Y269" s="26">
        <v>1</v>
      </c>
      <c r="Z269" s="26">
        <v>1</v>
      </c>
      <c r="AA269" s="26">
        <v>0</v>
      </c>
      <c r="AB269" s="26">
        <v>0</v>
      </c>
      <c r="AC269" s="33">
        <v>0.68027777777777776</v>
      </c>
      <c r="AD269" s="33">
        <v>0.1736111111111111</v>
      </c>
      <c r="AE269" s="33">
        <v>7.0000000000000007E-2</v>
      </c>
      <c r="AF269" s="33">
        <v>7.6111111111111115E-2</v>
      </c>
      <c r="AG269" s="34" t="s">
        <v>70</v>
      </c>
      <c r="AH269" s="34" t="s">
        <v>70</v>
      </c>
      <c r="AI269" s="34" t="s">
        <v>70</v>
      </c>
      <c r="AJ269" s="34" t="s">
        <v>70</v>
      </c>
      <c r="AK269" s="34" t="s">
        <v>70</v>
      </c>
      <c r="AL269" s="34" t="s">
        <v>70</v>
      </c>
      <c r="AM269" s="35" t="s">
        <v>175</v>
      </c>
      <c r="AN269" s="26" t="s">
        <v>274</v>
      </c>
      <c r="AO269" s="35" t="s">
        <v>548</v>
      </c>
      <c r="AP269" s="35" t="s">
        <v>175</v>
      </c>
      <c r="AQ269" s="35" t="s">
        <v>548</v>
      </c>
      <c r="AR269" s="35" t="s">
        <v>548</v>
      </c>
      <c r="AS269" s="26" t="s">
        <v>175</v>
      </c>
      <c r="AT269" s="26" t="s">
        <v>175</v>
      </c>
      <c r="AU269" s="26" t="s">
        <v>175</v>
      </c>
      <c r="AV269" s="26">
        <v>7</v>
      </c>
    </row>
    <row r="270" spans="1:2089" ht="14" customHeight="1">
      <c r="A270" s="27">
        <v>269</v>
      </c>
      <c r="B270" s="27" t="s">
        <v>404</v>
      </c>
      <c r="C270" s="37">
        <v>1991</v>
      </c>
      <c r="D270" s="26" t="s">
        <v>567</v>
      </c>
      <c r="E270" s="26" t="s">
        <v>566</v>
      </c>
      <c r="F270" s="77" t="s">
        <v>175</v>
      </c>
      <c r="G270" s="2" t="s">
        <v>108</v>
      </c>
      <c r="H270" s="2" t="s">
        <v>24</v>
      </c>
      <c r="I270" s="2" t="s">
        <v>548</v>
      </c>
      <c r="J270" s="2" t="s">
        <v>604</v>
      </c>
      <c r="K270" s="2" t="s">
        <v>548</v>
      </c>
      <c r="L270" s="2" t="s">
        <v>548</v>
      </c>
      <c r="M270" s="2" t="s">
        <v>548</v>
      </c>
      <c r="N270" s="2" t="s">
        <v>51</v>
      </c>
      <c r="O270" s="2" t="s">
        <v>43</v>
      </c>
      <c r="P270" s="2" t="s">
        <v>51</v>
      </c>
      <c r="Q270" s="2" t="s">
        <v>42</v>
      </c>
      <c r="R270" s="79" t="s">
        <v>613</v>
      </c>
      <c r="S270" s="90">
        <f>77/T270</f>
        <v>0.79381443298969068</v>
      </c>
      <c r="T270" s="26">
        <v>97</v>
      </c>
      <c r="U270" s="77">
        <v>1</v>
      </c>
      <c r="V270" s="26">
        <v>0</v>
      </c>
      <c r="W270" s="26">
        <v>1</v>
      </c>
      <c r="X270" s="26">
        <v>1</v>
      </c>
      <c r="Y270" s="26">
        <v>1</v>
      </c>
      <c r="Z270" s="26">
        <v>1</v>
      </c>
      <c r="AA270" s="26">
        <v>0</v>
      </c>
      <c r="AB270" s="26">
        <v>0</v>
      </c>
      <c r="AC270" s="33">
        <v>0.2</v>
      </c>
      <c r="AD270" s="33">
        <v>0.32</v>
      </c>
      <c r="AE270" s="33">
        <v>0.27</v>
      </c>
      <c r="AF270" s="33">
        <v>0.2</v>
      </c>
      <c r="AG270" s="34" t="s">
        <v>70</v>
      </c>
      <c r="AH270" s="34" t="s">
        <v>70</v>
      </c>
      <c r="AI270" s="34" t="s">
        <v>70</v>
      </c>
      <c r="AJ270" s="34" t="s">
        <v>70</v>
      </c>
      <c r="AK270" s="34" t="s">
        <v>70</v>
      </c>
      <c r="AL270" s="34" t="s">
        <v>70</v>
      </c>
      <c r="AM270" s="35" t="s">
        <v>175</v>
      </c>
      <c r="AN270" s="26" t="s">
        <v>274</v>
      </c>
      <c r="AO270" s="35" t="s">
        <v>548</v>
      </c>
      <c r="AP270" s="35" t="s">
        <v>175</v>
      </c>
      <c r="AQ270" s="35" t="s">
        <v>548</v>
      </c>
      <c r="AR270" s="35" t="s">
        <v>548</v>
      </c>
      <c r="AS270" s="26" t="s">
        <v>175</v>
      </c>
      <c r="AT270" s="26" t="s">
        <v>175</v>
      </c>
      <c r="AU270" s="26" t="s">
        <v>175</v>
      </c>
      <c r="AV270" s="26">
        <v>7</v>
      </c>
    </row>
    <row r="271" spans="1:2089" ht="14" customHeight="1">
      <c r="A271" s="27">
        <v>270</v>
      </c>
      <c r="B271" s="27" t="s">
        <v>404</v>
      </c>
      <c r="C271" s="37">
        <v>1991</v>
      </c>
      <c r="D271" s="26" t="s">
        <v>567</v>
      </c>
      <c r="E271" s="26" t="s">
        <v>566</v>
      </c>
      <c r="F271" s="77" t="s">
        <v>175</v>
      </c>
      <c r="G271" s="2" t="s">
        <v>108</v>
      </c>
      <c r="H271" s="2" t="s">
        <v>24</v>
      </c>
      <c r="I271" s="2" t="s">
        <v>548</v>
      </c>
      <c r="J271" s="2" t="s">
        <v>604</v>
      </c>
      <c r="K271" s="2" t="s">
        <v>548</v>
      </c>
      <c r="L271" s="2" t="s">
        <v>548</v>
      </c>
      <c r="M271" s="2" t="s">
        <v>548</v>
      </c>
      <c r="N271" s="2" t="s">
        <v>608</v>
      </c>
      <c r="O271" s="2" t="s">
        <v>43</v>
      </c>
      <c r="P271" s="2" t="s">
        <v>608</v>
      </c>
      <c r="Q271" s="2" t="s">
        <v>42</v>
      </c>
      <c r="R271" s="79" t="s">
        <v>613</v>
      </c>
      <c r="S271" s="90">
        <f>30/T271</f>
        <v>0.9375</v>
      </c>
      <c r="T271" s="26">
        <v>32</v>
      </c>
      <c r="U271" s="77">
        <v>1</v>
      </c>
      <c r="V271" s="26">
        <v>0</v>
      </c>
      <c r="W271" s="26">
        <v>1</v>
      </c>
      <c r="X271" s="26">
        <v>1</v>
      </c>
      <c r="Y271" s="26">
        <v>1</v>
      </c>
      <c r="Z271" s="26">
        <v>1</v>
      </c>
      <c r="AA271" s="26">
        <v>0</v>
      </c>
      <c r="AB271" s="26">
        <v>0</v>
      </c>
      <c r="AC271" s="33">
        <v>0.06</v>
      </c>
      <c r="AD271" s="33">
        <v>0.31</v>
      </c>
      <c r="AE271" s="33">
        <v>0.5</v>
      </c>
      <c r="AF271" s="33">
        <v>0.12</v>
      </c>
      <c r="AG271" s="34" t="s">
        <v>70</v>
      </c>
      <c r="AH271" s="34" t="s">
        <v>70</v>
      </c>
      <c r="AI271" s="34" t="s">
        <v>70</v>
      </c>
      <c r="AJ271" s="34" t="s">
        <v>70</v>
      </c>
      <c r="AK271" s="34" t="s">
        <v>70</v>
      </c>
      <c r="AL271" s="34" t="s">
        <v>70</v>
      </c>
      <c r="AM271" s="35" t="s">
        <v>175</v>
      </c>
      <c r="AN271" s="26" t="s">
        <v>274</v>
      </c>
      <c r="AO271" s="35" t="s">
        <v>548</v>
      </c>
      <c r="AP271" s="35" t="s">
        <v>175</v>
      </c>
      <c r="AQ271" s="35" t="s">
        <v>548</v>
      </c>
      <c r="AR271" s="35" t="s">
        <v>548</v>
      </c>
      <c r="AS271" s="26" t="s">
        <v>175</v>
      </c>
      <c r="AT271" s="26" t="s">
        <v>175</v>
      </c>
      <c r="AU271" s="26" t="s">
        <v>175</v>
      </c>
      <c r="AV271" s="26">
        <v>7</v>
      </c>
    </row>
    <row r="272" spans="1:2089" ht="14" customHeight="1">
      <c r="A272" s="27">
        <v>271</v>
      </c>
      <c r="B272" s="27" t="s">
        <v>404</v>
      </c>
      <c r="C272" s="37">
        <v>1991</v>
      </c>
      <c r="D272" s="26" t="s">
        <v>567</v>
      </c>
      <c r="E272" s="26" t="s">
        <v>566</v>
      </c>
      <c r="F272" s="77" t="s">
        <v>175</v>
      </c>
      <c r="G272" s="2" t="s">
        <v>108</v>
      </c>
      <c r="H272" s="2" t="s">
        <v>24</v>
      </c>
      <c r="I272" s="2" t="s">
        <v>548</v>
      </c>
      <c r="J272" s="2" t="s">
        <v>604</v>
      </c>
      <c r="K272" s="2" t="s">
        <v>548</v>
      </c>
      <c r="L272" s="2" t="s">
        <v>548</v>
      </c>
      <c r="M272" s="2" t="s">
        <v>548</v>
      </c>
      <c r="N272" s="2" t="s">
        <v>609</v>
      </c>
      <c r="O272" s="2" t="s">
        <v>60</v>
      </c>
      <c r="P272" s="2" t="s">
        <v>609</v>
      </c>
      <c r="Q272" s="2" t="s">
        <v>42</v>
      </c>
      <c r="R272" s="79" t="s">
        <v>613</v>
      </c>
      <c r="S272" s="90">
        <f>52/T272</f>
        <v>0.94545454545454544</v>
      </c>
      <c r="T272" s="26">
        <v>55</v>
      </c>
      <c r="U272" s="77">
        <v>1</v>
      </c>
      <c r="V272" s="26">
        <v>0</v>
      </c>
      <c r="W272" s="26">
        <v>1</v>
      </c>
      <c r="X272" s="26">
        <v>1</v>
      </c>
      <c r="Y272" s="26">
        <v>1</v>
      </c>
      <c r="Z272" s="26">
        <v>1</v>
      </c>
      <c r="AA272" s="26">
        <v>0</v>
      </c>
      <c r="AB272" s="26">
        <v>0</v>
      </c>
      <c r="AC272" s="33">
        <f>3/55</f>
        <v>5.4545454545454543E-2</v>
      </c>
      <c r="AD272" s="33">
        <f>32/55</f>
        <v>0.58181818181818179</v>
      </c>
      <c r="AE272" s="33">
        <f>7/55</f>
        <v>0.12727272727272726</v>
      </c>
      <c r="AF272" s="33">
        <f>13/55</f>
        <v>0.23636363636363636</v>
      </c>
      <c r="AG272" s="34" t="s">
        <v>70</v>
      </c>
      <c r="AH272" s="34" t="s">
        <v>70</v>
      </c>
      <c r="AI272" s="34" t="s">
        <v>70</v>
      </c>
      <c r="AJ272" s="34" t="s">
        <v>70</v>
      </c>
      <c r="AK272" s="34" t="s">
        <v>70</v>
      </c>
      <c r="AL272" s="34" t="s">
        <v>70</v>
      </c>
      <c r="AM272" s="35" t="s">
        <v>175</v>
      </c>
      <c r="AN272" s="26" t="s">
        <v>274</v>
      </c>
      <c r="AO272" s="35" t="s">
        <v>548</v>
      </c>
      <c r="AP272" s="35" t="s">
        <v>175</v>
      </c>
      <c r="AQ272" s="35" t="s">
        <v>548</v>
      </c>
      <c r="AR272" s="35" t="s">
        <v>548</v>
      </c>
      <c r="AS272" s="26" t="s">
        <v>175</v>
      </c>
      <c r="AT272" s="26" t="s">
        <v>175</v>
      </c>
      <c r="AU272" s="26" t="s">
        <v>175</v>
      </c>
      <c r="AV272" s="26">
        <v>7</v>
      </c>
    </row>
    <row r="273" spans="1:2089" ht="14" customHeight="1">
      <c r="A273" s="27">
        <v>272</v>
      </c>
      <c r="B273" s="97" t="s">
        <v>260</v>
      </c>
      <c r="C273" s="64">
        <v>2012</v>
      </c>
      <c r="D273" s="40" t="s">
        <v>252</v>
      </c>
      <c r="E273" s="26" t="s">
        <v>565</v>
      </c>
      <c r="F273" s="77" t="s">
        <v>175</v>
      </c>
      <c r="G273" s="74" t="s">
        <v>149</v>
      </c>
      <c r="H273" s="2" t="s">
        <v>30</v>
      </c>
      <c r="I273" s="2" t="s">
        <v>548</v>
      </c>
      <c r="J273" s="2" t="s">
        <v>604</v>
      </c>
      <c r="K273" s="2" t="s">
        <v>548</v>
      </c>
      <c r="L273" s="74" t="s">
        <v>548</v>
      </c>
      <c r="M273" s="2" t="s">
        <v>175</v>
      </c>
      <c r="N273" s="2" t="s">
        <v>48</v>
      </c>
      <c r="O273" s="2" t="s">
        <v>209</v>
      </c>
      <c r="P273" s="2" t="s">
        <v>48</v>
      </c>
      <c r="Q273" s="2" t="s">
        <v>42</v>
      </c>
      <c r="R273" s="79" t="s">
        <v>613</v>
      </c>
      <c r="S273" s="2">
        <f>1-0.903</f>
        <v>9.6999999999999975E-2</v>
      </c>
      <c r="T273" s="26">
        <v>62</v>
      </c>
      <c r="U273" s="77">
        <v>1</v>
      </c>
      <c r="V273" s="26">
        <v>1</v>
      </c>
      <c r="W273" s="26">
        <v>1</v>
      </c>
      <c r="X273" s="26">
        <v>1</v>
      </c>
      <c r="Y273" s="26">
        <v>1</v>
      </c>
      <c r="Z273" s="26">
        <v>0</v>
      </c>
      <c r="AA273" s="26">
        <v>1</v>
      </c>
      <c r="AB273" s="26">
        <v>1</v>
      </c>
      <c r="AC273" s="26" t="s">
        <v>70</v>
      </c>
      <c r="AD273" s="26" t="s">
        <v>70</v>
      </c>
      <c r="AE273" s="26" t="s">
        <v>70</v>
      </c>
      <c r="AF273" s="26" t="s">
        <v>70</v>
      </c>
      <c r="AG273" s="26" t="s">
        <v>70</v>
      </c>
      <c r="AH273" s="26" t="s">
        <v>70</v>
      </c>
      <c r="AI273" s="26" t="s">
        <v>70</v>
      </c>
      <c r="AJ273" s="26" t="s">
        <v>70</v>
      </c>
      <c r="AK273" s="26" t="s">
        <v>70</v>
      </c>
      <c r="AL273" s="26" t="s">
        <v>70</v>
      </c>
      <c r="AM273" s="35" t="s">
        <v>548</v>
      </c>
      <c r="AN273" s="26" t="s">
        <v>274</v>
      </c>
      <c r="AO273" s="35" t="s">
        <v>548</v>
      </c>
      <c r="AP273" s="35" t="s">
        <v>548</v>
      </c>
      <c r="AQ273" s="35" t="s">
        <v>548</v>
      </c>
      <c r="AR273" s="35" t="s">
        <v>548</v>
      </c>
      <c r="AS273" s="26" t="s">
        <v>175</v>
      </c>
      <c r="AT273" s="26" t="s">
        <v>70</v>
      </c>
      <c r="AU273" s="26" t="s">
        <v>70</v>
      </c>
      <c r="AV273" s="26">
        <v>9</v>
      </c>
    </row>
    <row r="274" spans="1:2089" ht="14" customHeight="1">
      <c r="A274" s="27">
        <v>273</v>
      </c>
      <c r="B274" s="97" t="s">
        <v>260</v>
      </c>
      <c r="C274" s="64">
        <v>2012</v>
      </c>
      <c r="D274" s="40" t="s">
        <v>252</v>
      </c>
      <c r="E274" s="26" t="s">
        <v>565</v>
      </c>
      <c r="F274" s="77" t="s">
        <v>175</v>
      </c>
      <c r="G274" s="74" t="s">
        <v>149</v>
      </c>
      <c r="H274" s="2" t="s">
        <v>30</v>
      </c>
      <c r="I274" s="2" t="s">
        <v>548</v>
      </c>
      <c r="J274" s="2" t="s">
        <v>604</v>
      </c>
      <c r="K274" s="2" t="s">
        <v>548</v>
      </c>
      <c r="L274" s="74" t="s">
        <v>548</v>
      </c>
      <c r="M274" s="2" t="s">
        <v>175</v>
      </c>
      <c r="N274" s="2" t="s">
        <v>51</v>
      </c>
      <c r="O274" s="2" t="s">
        <v>43</v>
      </c>
      <c r="P274" s="2" t="s">
        <v>51</v>
      </c>
      <c r="Q274" s="2" t="s">
        <v>42</v>
      </c>
      <c r="R274" s="79" t="s">
        <v>613</v>
      </c>
      <c r="S274" s="2">
        <f>1-0.933</f>
        <v>6.6999999999999948E-2</v>
      </c>
      <c r="T274" s="26">
        <v>178</v>
      </c>
      <c r="U274" s="77">
        <v>1</v>
      </c>
      <c r="V274" s="26">
        <v>1</v>
      </c>
      <c r="W274" s="26">
        <v>1</v>
      </c>
      <c r="X274" s="26">
        <v>1</v>
      </c>
      <c r="Y274" s="26">
        <v>1</v>
      </c>
      <c r="Z274" s="26">
        <v>0</v>
      </c>
      <c r="AA274" s="26">
        <v>1</v>
      </c>
      <c r="AB274" s="26">
        <v>1</v>
      </c>
      <c r="AC274" s="26" t="s">
        <v>70</v>
      </c>
      <c r="AD274" s="26" t="s">
        <v>70</v>
      </c>
      <c r="AE274" s="26" t="s">
        <v>70</v>
      </c>
      <c r="AF274" s="26" t="s">
        <v>70</v>
      </c>
      <c r="AG274" s="26" t="s">
        <v>70</v>
      </c>
      <c r="AH274" s="26" t="s">
        <v>70</v>
      </c>
      <c r="AI274" s="26" t="s">
        <v>70</v>
      </c>
      <c r="AJ274" s="26" t="s">
        <v>70</v>
      </c>
      <c r="AK274" s="26" t="s">
        <v>70</v>
      </c>
      <c r="AL274" s="26" t="s">
        <v>70</v>
      </c>
      <c r="AM274" s="35" t="s">
        <v>548</v>
      </c>
      <c r="AN274" s="26" t="s">
        <v>274</v>
      </c>
      <c r="AO274" s="35" t="s">
        <v>548</v>
      </c>
      <c r="AP274" s="35" t="s">
        <v>548</v>
      </c>
      <c r="AQ274" s="35" t="s">
        <v>548</v>
      </c>
      <c r="AR274" s="35" t="s">
        <v>548</v>
      </c>
      <c r="AS274" s="26" t="s">
        <v>175</v>
      </c>
      <c r="AT274" s="26" t="s">
        <v>70</v>
      </c>
      <c r="AU274" s="26" t="s">
        <v>70</v>
      </c>
      <c r="AV274" s="26">
        <v>9</v>
      </c>
    </row>
    <row r="275" spans="1:2089" ht="14" customHeight="1">
      <c r="A275" s="27">
        <v>274</v>
      </c>
      <c r="B275" s="27" t="s">
        <v>405</v>
      </c>
      <c r="C275" s="27">
        <v>2006</v>
      </c>
      <c r="D275" s="26" t="s">
        <v>27</v>
      </c>
      <c r="E275" s="26" t="s">
        <v>563</v>
      </c>
      <c r="F275" s="77" t="s">
        <v>175</v>
      </c>
      <c r="G275" s="2" t="s">
        <v>84</v>
      </c>
      <c r="H275" s="2" t="s">
        <v>24</v>
      </c>
      <c r="I275" s="2" t="s">
        <v>548</v>
      </c>
      <c r="J275" s="2" t="s">
        <v>604</v>
      </c>
      <c r="K275" s="2" t="s">
        <v>175</v>
      </c>
      <c r="L275" s="2" t="s">
        <v>175</v>
      </c>
      <c r="M275" s="2" t="s">
        <v>548</v>
      </c>
      <c r="N275" s="2" t="s">
        <v>210</v>
      </c>
      <c r="O275" s="2" t="s">
        <v>43</v>
      </c>
      <c r="P275" s="2" t="s">
        <v>210</v>
      </c>
      <c r="Q275" s="2" t="s">
        <v>42</v>
      </c>
      <c r="R275" s="79" t="s">
        <v>613</v>
      </c>
      <c r="S275" s="88">
        <v>0.44</v>
      </c>
      <c r="T275" s="26">
        <v>127</v>
      </c>
      <c r="U275" s="77">
        <v>1</v>
      </c>
      <c r="V275" s="26">
        <v>0</v>
      </c>
      <c r="W275" s="26">
        <v>1</v>
      </c>
      <c r="X275" s="26">
        <v>1</v>
      </c>
      <c r="Y275" s="26">
        <v>1</v>
      </c>
      <c r="Z275" s="26">
        <v>0</v>
      </c>
      <c r="AA275" s="26">
        <v>0</v>
      </c>
      <c r="AB275" s="26">
        <v>0</v>
      </c>
      <c r="AC275" s="45">
        <v>0.56000000000000005</v>
      </c>
      <c r="AD275" s="45">
        <f>36/T275</f>
        <v>0.28346456692913385</v>
      </c>
      <c r="AE275" s="45">
        <f>13/T275</f>
        <v>0.10236220472440945</v>
      </c>
      <c r="AF275" s="45">
        <f>7/T275</f>
        <v>5.5118110236220472E-2</v>
      </c>
      <c r="AG275" s="33" t="s">
        <v>70</v>
      </c>
      <c r="AH275" s="33" t="s">
        <v>70</v>
      </c>
      <c r="AI275" s="33" t="s">
        <v>70</v>
      </c>
      <c r="AJ275" s="33" t="s">
        <v>70</v>
      </c>
      <c r="AK275" s="33" t="s">
        <v>70</v>
      </c>
      <c r="AL275" s="33" t="s">
        <v>70</v>
      </c>
      <c r="AM275" s="35" t="s">
        <v>548</v>
      </c>
      <c r="AN275" s="26" t="s">
        <v>274</v>
      </c>
      <c r="AO275" s="35" t="s">
        <v>548</v>
      </c>
      <c r="AP275" s="35" t="s">
        <v>548</v>
      </c>
      <c r="AQ275" s="35" t="s">
        <v>175</v>
      </c>
      <c r="AR275" s="35" t="s">
        <v>548</v>
      </c>
      <c r="AS275" s="26" t="s">
        <v>175</v>
      </c>
      <c r="AT275" s="26" t="s">
        <v>70</v>
      </c>
      <c r="AU275" s="26" t="s">
        <v>70</v>
      </c>
      <c r="AV275" s="26">
        <v>7</v>
      </c>
    </row>
    <row r="276" spans="1:2089" ht="14" customHeight="1">
      <c r="A276" s="27">
        <v>275</v>
      </c>
      <c r="B276" s="27" t="s">
        <v>405</v>
      </c>
      <c r="C276" s="27">
        <v>2008</v>
      </c>
      <c r="D276" s="26" t="s">
        <v>27</v>
      </c>
      <c r="E276" s="26" t="s">
        <v>563</v>
      </c>
      <c r="F276" s="77" t="s">
        <v>175</v>
      </c>
      <c r="G276" s="2" t="s">
        <v>84</v>
      </c>
      <c r="H276" s="2" t="s">
        <v>24</v>
      </c>
      <c r="I276" s="2" t="s">
        <v>175</v>
      </c>
      <c r="J276" s="2" t="s">
        <v>604</v>
      </c>
      <c r="K276" s="2" t="s">
        <v>175</v>
      </c>
      <c r="L276" s="2" t="s">
        <v>175</v>
      </c>
      <c r="M276" s="2" t="s">
        <v>175</v>
      </c>
      <c r="N276" s="2" t="s">
        <v>210</v>
      </c>
      <c r="O276" s="2" t="s">
        <v>43</v>
      </c>
      <c r="P276" s="2" t="s">
        <v>210</v>
      </c>
      <c r="Q276" s="2" t="s">
        <v>42</v>
      </c>
      <c r="R276" s="102" t="s">
        <v>614</v>
      </c>
      <c r="S276" s="88">
        <v>0.13</v>
      </c>
      <c r="T276" s="26">
        <v>207</v>
      </c>
      <c r="U276" s="77">
        <v>1</v>
      </c>
      <c r="V276" s="26">
        <v>0</v>
      </c>
      <c r="W276" s="26">
        <v>1</v>
      </c>
      <c r="X276" s="26">
        <v>1</v>
      </c>
      <c r="Y276" s="26">
        <v>1</v>
      </c>
      <c r="Z276" s="26">
        <v>0</v>
      </c>
      <c r="AA276" s="26">
        <v>0</v>
      </c>
      <c r="AB276" s="26">
        <v>1</v>
      </c>
      <c r="AC276" s="33">
        <v>0.87</v>
      </c>
      <c r="AD276" s="33">
        <v>7.0000000000000007E-2</v>
      </c>
      <c r="AE276" s="33">
        <v>0.04</v>
      </c>
      <c r="AF276" s="33">
        <v>0.02</v>
      </c>
      <c r="AG276" s="33" t="s">
        <v>70</v>
      </c>
      <c r="AH276" s="33" t="s">
        <v>70</v>
      </c>
      <c r="AI276" s="33">
        <v>6</v>
      </c>
      <c r="AJ276" s="34" t="s">
        <v>70</v>
      </c>
      <c r="AK276" s="33" t="s">
        <v>70</v>
      </c>
      <c r="AL276" s="33" t="s">
        <v>70</v>
      </c>
      <c r="AM276" s="35" t="s">
        <v>175</v>
      </c>
      <c r="AN276" s="26" t="s">
        <v>274</v>
      </c>
      <c r="AO276" s="35" t="s">
        <v>548</v>
      </c>
      <c r="AP276" s="35" t="s">
        <v>175</v>
      </c>
      <c r="AQ276" s="35" t="s">
        <v>548</v>
      </c>
      <c r="AR276" s="35" t="s">
        <v>548</v>
      </c>
      <c r="AS276" s="26" t="s">
        <v>175</v>
      </c>
      <c r="AT276" s="26" t="s">
        <v>175</v>
      </c>
      <c r="AU276" s="40" t="s">
        <v>175</v>
      </c>
      <c r="AV276" s="26">
        <v>11</v>
      </c>
    </row>
    <row r="277" spans="1:2089" ht="14" customHeight="1">
      <c r="A277" s="27">
        <v>276</v>
      </c>
      <c r="B277" s="27" t="s">
        <v>406</v>
      </c>
      <c r="C277" s="27">
        <v>2002</v>
      </c>
      <c r="D277" s="26" t="s">
        <v>127</v>
      </c>
      <c r="E277" s="26" t="s">
        <v>563</v>
      </c>
      <c r="F277" s="77" t="s">
        <v>175</v>
      </c>
      <c r="G277" s="2" t="s">
        <v>84</v>
      </c>
      <c r="H277" s="2" t="s">
        <v>24</v>
      </c>
      <c r="I277" s="2" t="s">
        <v>548</v>
      </c>
      <c r="J277" s="2" t="s">
        <v>604</v>
      </c>
      <c r="K277" s="2" t="s">
        <v>548</v>
      </c>
      <c r="L277" s="2" t="s">
        <v>548</v>
      </c>
      <c r="M277" s="2" t="s">
        <v>548</v>
      </c>
      <c r="N277" s="2" t="s">
        <v>70</v>
      </c>
      <c r="O277" s="2" t="s">
        <v>209</v>
      </c>
      <c r="P277" s="2" t="s">
        <v>612</v>
      </c>
      <c r="Q277" s="2" t="s">
        <v>42</v>
      </c>
      <c r="R277" s="79" t="s">
        <v>613</v>
      </c>
      <c r="S277" s="2">
        <f>14/T277</f>
        <v>0.25925925925925924</v>
      </c>
      <c r="T277" s="26">
        <v>54</v>
      </c>
      <c r="U277" s="77">
        <v>1</v>
      </c>
      <c r="V277" s="26">
        <v>0</v>
      </c>
      <c r="W277" s="26">
        <v>1</v>
      </c>
      <c r="X277" s="26">
        <v>1</v>
      </c>
      <c r="Y277" s="26">
        <v>1</v>
      </c>
      <c r="Z277" s="26">
        <v>0</v>
      </c>
      <c r="AA277" s="26">
        <v>0</v>
      </c>
      <c r="AB277" s="26">
        <v>0</v>
      </c>
      <c r="AC277" s="26" t="s">
        <v>70</v>
      </c>
      <c r="AD277" s="26" t="s">
        <v>70</v>
      </c>
      <c r="AE277" s="26" t="s">
        <v>70</v>
      </c>
      <c r="AF277" s="26" t="s">
        <v>70</v>
      </c>
      <c r="AG277" s="26" t="s">
        <v>70</v>
      </c>
      <c r="AH277" s="26" t="s">
        <v>70</v>
      </c>
      <c r="AI277" s="26" t="s">
        <v>70</v>
      </c>
      <c r="AJ277" s="26" t="s">
        <v>70</v>
      </c>
      <c r="AK277" s="26" t="s">
        <v>70</v>
      </c>
      <c r="AL277" s="26" t="s">
        <v>70</v>
      </c>
      <c r="AM277" s="35" t="s">
        <v>175</v>
      </c>
      <c r="AN277" s="26" t="s">
        <v>615</v>
      </c>
      <c r="AO277" s="35" t="s">
        <v>548</v>
      </c>
      <c r="AP277" s="35" t="s">
        <v>548</v>
      </c>
      <c r="AQ277" s="35" t="s">
        <v>548</v>
      </c>
      <c r="AR277" s="35" t="s">
        <v>548</v>
      </c>
      <c r="AS277" s="26" t="s">
        <v>175</v>
      </c>
      <c r="AT277" s="26" t="s">
        <v>70</v>
      </c>
      <c r="AU277" s="26" t="s">
        <v>70</v>
      </c>
      <c r="AV277" s="26">
        <v>6</v>
      </c>
    </row>
    <row r="278" spans="1:2089" ht="14" customHeight="1">
      <c r="A278" s="27">
        <v>277</v>
      </c>
      <c r="B278" s="27" t="s">
        <v>407</v>
      </c>
      <c r="C278" s="37">
        <v>2013</v>
      </c>
      <c r="D278" s="26" t="s">
        <v>38</v>
      </c>
      <c r="E278" s="26" t="s">
        <v>566</v>
      </c>
      <c r="F278" s="77" t="s">
        <v>175</v>
      </c>
      <c r="G278" s="2" t="s">
        <v>105</v>
      </c>
      <c r="H278" s="2" t="s">
        <v>30</v>
      </c>
      <c r="I278" s="2" t="s">
        <v>548</v>
      </c>
      <c r="J278" s="2" t="s">
        <v>604</v>
      </c>
      <c r="K278" s="2" t="s">
        <v>548</v>
      </c>
      <c r="L278" s="2" t="s">
        <v>548</v>
      </c>
      <c r="M278" s="2" t="s">
        <v>548</v>
      </c>
      <c r="N278" s="2" t="s">
        <v>70</v>
      </c>
      <c r="O278" s="2" t="s">
        <v>209</v>
      </c>
      <c r="P278" s="2" t="s">
        <v>612</v>
      </c>
      <c r="Q278" s="2" t="s">
        <v>42</v>
      </c>
      <c r="R278" s="102" t="s">
        <v>614</v>
      </c>
      <c r="S278" s="2" t="s">
        <v>70</v>
      </c>
      <c r="T278" s="26">
        <v>16</v>
      </c>
      <c r="U278" s="77">
        <v>1</v>
      </c>
      <c r="V278" s="26">
        <v>0</v>
      </c>
      <c r="W278" s="26">
        <v>1</v>
      </c>
      <c r="X278" s="26">
        <v>0</v>
      </c>
      <c r="Y278" s="26">
        <v>1</v>
      </c>
      <c r="Z278" s="26">
        <v>1</v>
      </c>
      <c r="AA278" s="26">
        <v>0</v>
      </c>
      <c r="AB278" s="26">
        <v>0</v>
      </c>
      <c r="AC278" s="26" t="s">
        <v>70</v>
      </c>
      <c r="AD278" s="26" t="s">
        <v>70</v>
      </c>
      <c r="AE278" s="26" t="s">
        <v>70</v>
      </c>
      <c r="AF278" s="26" t="s">
        <v>70</v>
      </c>
      <c r="AG278" s="33">
        <v>38</v>
      </c>
      <c r="AH278" s="26" t="s">
        <v>70</v>
      </c>
      <c r="AI278" s="26" t="s">
        <v>70</v>
      </c>
      <c r="AJ278" s="26" t="s">
        <v>70</v>
      </c>
      <c r="AK278" s="26" t="s">
        <v>70</v>
      </c>
      <c r="AL278" s="26" t="s">
        <v>70</v>
      </c>
      <c r="AM278" s="26" t="s">
        <v>548</v>
      </c>
      <c r="AN278" s="32" t="s">
        <v>274</v>
      </c>
      <c r="AO278" s="35" t="s">
        <v>548</v>
      </c>
      <c r="AP278" s="35" t="s">
        <v>548</v>
      </c>
      <c r="AQ278" s="35" t="s">
        <v>548</v>
      </c>
      <c r="AR278" s="35" t="s">
        <v>548</v>
      </c>
      <c r="AS278" s="26" t="s">
        <v>175</v>
      </c>
      <c r="AT278" s="26" t="s">
        <v>70</v>
      </c>
      <c r="AU278" s="26" t="s">
        <v>70</v>
      </c>
      <c r="AV278" s="26">
        <v>5</v>
      </c>
    </row>
    <row r="279" spans="1:2089" s="56" customFormat="1" ht="14" customHeight="1">
      <c r="A279" s="27">
        <v>278</v>
      </c>
      <c r="B279" s="27" t="s">
        <v>407</v>
      </c>
      <c r="C279" s="37">
        <v>2013</v>
      </c>
      <c r="D279" s="26" t="s">
        <v>38</v>
      </c>
      <c r="E279" s="26" t="s">
        <v>566</v>
      </c>
      <c r="F279" s="77" t="s">
        <v>175</v>
      </c>
      <c r="G279" s="2" t="s">
        <v>105</v>
      </c>
      <c r="H279" s="2" t="s">
        <v>30</v>
      </c>
      <c r="I279" s="2" t="s">
        <v>548</v>
      </c>
      <c r="J279" s="2" t="s">
        <v>604</v>
      </c>
      <c r="K279" s="2" t="s">
        <v>548</v>
      </c>
      <c r="L279" s="2" t="s">
        <v>548</v>
      </c>
      <c r="M279" s="2" t="s">
        <v>548</v>
      </c>
      <c r="N279" s="2" t="s">
        <v>62</v>
      </c>
      <c r="O279" s="2" t="s">
        <v>43</v>
      </c>
      <c r="P279" s="2" t="s">
        <v>62</v>
      </c>
      <c r="Q279" s="26" t="s">
        <v>606</v>
      </c>
      <c r="R279" s="102" t="s">
        <v>614</v>
      </c>
      <c r="S279" s="2" t="s">
        <v>70</v>
      </c>
      <c r="T279" s="26">
        <v>31</v>
      </c>
      <c r="U279" s="77">
        <v>1</v>
      </c>
      <c r="V279" s="26">
        <v>0</v>
      </c>
      <c r="W279" s="26">
        <v>1</v>
      </c>
      <c r="X279" s="26">
        <v>1</v>
      </c>
      <c r="Y279" s="26">
        <v>1</v>
      </c>
      <c r="Z279" s="26">
        <v>1</v>
      </c>
      <c r="AA279" s="26">
        <v>0</v>
      </c>
      <c r="AB279" s="26">
        <v>0</v>
      </c>
      <c r="AC279" s="26" t="s">
        <v>70</v>
      </c>
      <c r="AD279" s="26" t="s">
        <v>70</v>
      </c>
      <c r="AE279" s="26" t="s">
        <v>70</v>
      </c>
      <c r="AF279" s="26" t="s">
        <v>70</v>
      </c>
      <c r="AG279" s="33">
        <v>0.3780645161290323</v>
      </c>
      <c r="AH279" s="26" t="s">
        <v>70</v>
      </c>
      <c r="AI279" s="26" t="s">
        <v>70</v>
      </c>
      <c r="AJ279" s="26" t="s">
        <v>70</v>
      </c>
      <c r="AK279" s="26" t="s">
        <v>70</v>
      </c>
      <c r="AL279" s="26" t="s">
        <v>70</v>
      </c>
      <c r="AM279" s="26" t="s">
        <v>548</v>
      </c>
      <c r="AN279" s="26" t="s">
        <v>274</v>
      </c>
      <c r="AO279" s="35" t="s">
        <v>548</v>
      </c>
      <c r="AP279" s="35" t="s">
        <v>548</v>
      </c>
      <c r="AQ279" s="35" t="s">
        <v>548</v>
      </c>
      <c r="AR279" s="35" t="s">
        <v>548</v>
      </c>
      <c r="AS279" s="26" t="s">
        <v>175</v>
      </c>
      <c r="AT279" s="26" t="s">
        <v>70</v>
      </c>
      <c r="AU279" s="26" t="s">
        <v>70</v>
      </c>
      <c r="AV279" s="26">
        <v>6</v>
      </c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  <c r="GR279" s="26"/>
      <c r="GS279" s="26"/>
      <c r="GT279" s="26"/>
      <c r="GU279" s="26"/>
      <c r="GV279" s="26"/>
      <c r="GW279" s="26"/>
      <c r="GX279" s="26"/>
      <c r="GY279" s="26"/>
      <c r="GZ279" s="26"/>
      <c r="HA279" s="26"/>
      <c r="HB279" s="26"/>
      <c r="HC279" s="26"/>
      <c r="HD279" s="26"/>
      <c r="HE279" s="26"/>
      <c r="HF279" s="26"/>
      <c r="HG279" s="26"/>
      <c r="HH279" s="26"/>
      <c r="HI279" s="26"/>
      <c r="HJ279" s="26"/>
      <c r="HK279" s="26"/>
      <c r="HL279" s="26"/>
      <c r="HM279" s="26"/>
      <c r="HN279" s="26"/>
      <c r="HO279" s="26"/>
      <c r="HP279" s="26"/>
      <c r="HQ279" s="26"/>
      <c r="HR279" s="26"/>
      <c r="HS279" s="26"/>
      <c r="HT279" s="26"/>
      <c r="HU279" s="26"/>
      <c r="HV279" s="26"/>
      <c r="HW279" s="26"/>
      <c r="HX279" s="26"/>
      <c r="HY279" s="26"/>
      <c r="HZ279" s="26"/>
      <c r="IA279" s="26"/>
      <c r="IB279" s="26"/>
      <c r="IC279" s="26"/>
      <c r="ID279" s="26"/>
      <c r="IE279" s="26"/>
      <c r="IF279" s="26"/>
      <c r="IG279" s="26"/>
      <c r="IH279" s="26"/>
      <c r="II279" s="26"/>
      <c r="IJ279" s="26"/>
      <c r="IK279" s="26"/>
      <c r="IL279" s="26"/>
      <c r="IM279" s="26"/>
      <c r="IN279" s="26"/>
      <c r="IO279" s="26"/>
      <c r="IP279" s="26"/>
      <c r="IQ279" s="26"/>
      <c r="IR279" s="26"/>
      <c r="IS279" s="26"/>
      <c r="IT279" s="26"/>
      <c r="IU279" s="26"/>
      <c r="IV279" s="26"/>
      <c r="IW279" s="26"/>
      <c r="IX279" s="26"/>
      <c r="IY279" s="26"/>
      <c r="IZ279" s="26"/>
      <c r="JA279" s="26"/>
      <c r="JB279" s="26"/>
      <c r="JC279" s="26"/>
      <c r="JD279" s="26"/>
      <c r="JE279" s="26"/>
      <c r="JF279" s="26"/>
      <c r="JG279" s="26"/>
      <c r="JH279" s="26"/>
      <c r="JI279" s="26"/>
      <c r="JJ279" s="26"/>
      <c r="JK279" s="26"/>
      <c r="JL279" s="26"/>
      <c r="JM279" s="26"/>
      <c r="JN279" s="26"/>
      <c r="JO279" s="26"/>
      <c r="JP279" s="26"/>
      <c r="JQ279" s="26"/>
      <c r="JR279" s="26"/>
      <c r="JS279" s="26"/>
      <c r="JT279" s="26"/>
      <c r="JU279" s="26"/>
      <c r="JV279" s="26"/>
      <c r="JW279" s="26"/>
      <c r="JX279" s="26"/>
      <c r="JY279" s="26"/>
      <c r="JZ279" s="26"/>
      <c r="KA279" s="26"/>
      <c r="KB279" s="26"/>
      <c r="KC279" s="26"/>
      <c r="KD279" s="26"/>
      <c r="KE279" s="26"/>
      <c r="KF279" s="26"/>
      <c r="KG279" s="26"/>
      <c r="KH279" s="26"/>
      <c r="KI279" s="26"/>
      <c r="KJ279" s="26"/>
      <c r="KK279" s="26"/>
      <c r="KL279" s="26"/>
      <c r="KM279" s="26"/>
      <c r="KN279" s="26"/>
      <c r="KO279" s="26"/>
      <c r="KP279" s="26"/>
      <c r="KQ279" s="26"/>
      <c r="KR279" s="26"/>
      <c r="KS279" s="26"/>
      <c r="KT279" s="26"/>
      <c r="KU279" s="26"/>
      <c r="KV279" s="26"/>
      <c r="KW279" s="26"/>
      <c r="KX279" s="26"/>
      <c r="KY279" s="26"/>
      <c r="KZ279" s="26"/>
      <c r="LA279" s="26"/>
      <c r="LB279" s="26"/>
      <c r="LC279" s="26"/>
      <c r="LD279" s="26"/>
      <c r="LE279" s="26"/>
      <c r="LF279" s="26"/>
      <c r="LG279" s="26"/>
      <c r="LH279" s="26"/>
      <c r="LI279" s="26"/>
      <c r="LJ279" s="26"/>
      <c r="LK279" s="26"/>
      <c r="LL279" s="26"/>
      <c r="LM279" s="26"/>
      <c r="LN279" s="26"/>
      <c r="LO279" s="26"/>
      <c r="LP279" s="26"/>
      <c r="LQ279" s="26"/>
      <c r="LR279" s="26"/>
      <c r="LS279" s="26"/>
      <c r="LT279" s="26"/>
      <c r="LU279" s="26"/>
      <c r="LV279" s="26"/>
      <c r="LW279" s="26"/>
      <c r="LX279" s="26"/>
      <c r="LY279" s="26"/>
      <c r="LZ279" s="26"/>
      <c r="MA279" s="26"/>
      <c r="MB279" s="26"/>
      <c r="MC279" s="26"/>
      <c r="MD279" s="26"/>
      <c r="ME279" s="26"/>
      <c r="MF279" s="26"/>
      <c r="MG279" s="26"/>
      <c r="MH279" s="26"/>
      <c r="MI279" s="26"/>
      <c r="MJ279" s="26"/>
      <c r="MK279" s="26"/>
      <c r="ML279" s="26"/>
      <c r="MM279" s="26"/>
      <c r="MN279" s="26"/>
      <c r="MO279" s="26"/>
      <c r="MP279" s="26"/>
      <c r="MQ279" s="26"/>
      <c r="MR279" s="26"/>
      <c r="MS279" s="26"/>
      <c r="MT279" s="26"/>
      <c r="MU279" s="26"/>
      <c r="MV279" s="26"/>
      <c r="MW279" s="26"/>
      <c r="MX279" s="26"/>
      <c r="MY279" s="26"/>
      <c r="MZ279" s="26"/>
      <c r="NA279" s="26"/>
      <c r="NB279" s="26"/>
      <c r="NC279" s="26"/>
      <c r="ND279" s="26"/>
      <c r="NE279" s="26"/>
      <c r="NF279" s="26"/>
      <c r="NG279" s="26"/>
      <c r="NH279" s="26"/>
      <c r="NI279" s="26"/>
      <c r="NJ279" s="26"/>
      <c r="NK279" s="26"/>
      <c r="NL279" s="26"/>
      <c r="NM279" s="26"/>
      <c r="NN279" s="26"/>
      <c r="NO279" s="26"/>
      <c r="NP279" s="26"/>
      <c r="NQ279" s="26"/>
      <c r="NR279" s="26"/>
      <c r="NS279" s="26"/>
      <c r="NT279" s="26"/>
      <c r="NU279" s="26"/>
      <c r="NV279" s="26"/>
      <c r="NW279" s="26"/>
      <c r="NX279" s="26"/>
      <c r="NY279" s="26"/>
      <c r="NZ279" s="26"/>
      <c r="OA279" s="26"/>
      <c r="OB279" s="26"/>
      <c r="OC279" s="26"/>
      <c r="OD279" s="26"/>
      <c r="OE279" s="26"/>
      <c r="OF279" s="26"/>
      <c r="OG279" s="26"/>
      <c r="OH279" s="26"/>
      <c r="OI279" s="26"/>
      <c r="OJ279" s="26"/>
      <c r="OK279" s="26"/>
      <c r="OL279" s="26"/>
      <c r="OM279" s="26"/>
      <c r="ON279" s="26"/>
      <c r="OO279" s="26"/>
      <c r="OP279" s="26"/>
      <c r="OQ279" s="26"/>
      <c r="OR279" s="26"/>
      <c r="OS279" s="26"/>
      <c r="OT279" s="26"/>
      <c r="OU279" s="26"/>
      <c r="OV279" s="26"/>
      <c r="OW279" s="26"/>
      <c r="OX279" s="26"/>
      <c r="OY279" s="26"/>
      <c r="OZ279" s="26"/>
      <c r="PA279" s="26"/>
      <c r="PB279" s="26"/>
      <c r="PC279" s="26"/>
      <c r="PD279" s="26"/>
      <c r="PE279" s="26"/>
      <c r="PF279" s="26"/>
      <c r="PG279" s="26"/>
      <c r="PH279" s="26"/>
      <c r="PI279" s="26"/>
      <c r="PJ279" s="26"/>
      <c r="PK279" s="26"/>
      <c r="PL279" s="26"/>
      <c r="PM279" s="26"/>
      <c r="PN279" s="26"/>
      <c r="PO279" s="26"/>
      <c r="PP279" s="26"/>
      <c r="PQ279" s="26"/>
      <c r="PR279" s="26"/>
      <c r="PS279" s="26"/>
      <c r="PT279" s="26"/>
      <c r="PU279" s="26"/>
      <c r="PV279" s="26"/>
      <c r="PW279" s="26"/>
      <c r="PX279" s="26"/>
      <c r="PY279" s="26"/>
      <c r="PZ279" s="26"/>
      <c r="QA279" s="26"/>
      <c r="QB279" s="26"/>
      <c r="QC279" s="26"/>
      <c r="QD279" s="26"/>
      <c r="QE279" s="26"/>
      <c r="QF279" s="26"/>
      <c r="QG279" s="26"/>
      <c r="QH279" s="26"/>
      <c r="QI279" s="26"/>
      <c r="QJ279" s="26"/>
      <c r="QK279" s="26"/>
      <c r="QL279" s="26"/>
      <c r="QM279" s="26"/>
      <c r="QN279" s="26"/>
      <c r="QO279" s="26"/>
      <c r="QP279" s="26"/>
      <c r="QQ279" s="26"/>
      <c r="QR279" s="26"/>
      <c r="QS279" s="26"/>
      <c r="QT279" s="26"/>
      <c r="QU279" s="26"/>
      <c r="QV279" s="26"/>
      <c r="QW279" s="26"/>
      <c r="QX279" s="26"/>
      <c r="QY279" s="26"/>
      <c r="QZ279" s="26"/>
      <c r="RA279" s="26"/>
      <c r="RB279" s="26"/>
      <c r="RC279" s="26"/>
      <c r="RD279" s="26"/>
      <c r="RE279" s="26"/>
      <c r="RF279" s="26"/>
      <c r="RG279" s="26"/>
      <c r="RH279" s="26"/>
      <c r="RI279" s="26"/>
      <c r="RJ279" s="26"/>
      <c r="RK279" s="26"/>
      <c r="RL279" s="26"/>
      <c r="RM279" s="26"/>
      <c r="RN279" s="26"/>
      <c r="RO279" s="26"/>
      <c r="RP279" s="26"/>
      <c r="RQ279" s="26"/>
      <c r="RR279" s="26"/>
      <c r="RS279" s="26"/>
      <c r="RT279" s="26"/>
      <c r="RU279" s="26"/>
      <c r="RV279" s="26"/>
      <c r="RW279" s="26"/>
      <c r="RX279" s="26"/>
      <c r="RY279" s="26"/>
      <c r="RZ279" s="26"/>
      <c r="SA279" s="26"/>
      <c r="SB279" s="26"/>
      <c r="SC279" s="26"/>
      <c r="SD279" s="26"/>
      <c r="SE279" s="26"/>
      <c r="SF279" s="26"/>
      <c r="SG279" s="26"/>
      <c r="SH279" s="26"/>
      <c r="SI279" s="26"/>
      <c r="SJ279" s="26"/>
      <c r="SK279" s="26"/>
      <c r="SL279" s="26"/>
      <c r="SM279" s="26"/>
      <c r="SN279" s="26"/>
      <c r="SO279" s="26"/>
      <c r="SP279" s="26"/>
      <c r="SQ279" s="26"/>
      <c r="SR279" s="26"/>
      <c r="SS279" s="26"/>
      <c r="ST279" s="26"/>
      <c r="SU279" s="26"/>
      <c r="SV279" s="26"/>
      <c r="SW279" s="26"/>
      <c r="SX279" s="26"/>
      <c r="SY279" s="26"/>
      <c r="SZ279" s="26"/>
      <c r="TA279" s="26"/>
      <c r="TB279" s="26"/>
      <c r="TC279" s="26"/>
      <c r="TD279" s="26"/>
      <c r="TE279" s="26"/>
      <c r="TF279" s="26"/>
      <c r="TG279" s="26"/>
      <c r="TH279" s="26"/>
      <c r="TI279" s="26"/>
      <c r="TJ279" s="26"/>
      <c r="TK279" s="26"/>
      <c r="TL279" s="26"/>
      <c r="TM279" s="26"/>
      <c r="TN279" s="26"/>
      <c r="TO279" s="26"/>
      <c r="TP279" s="26"/>
      <c r="TQ279" s="26"/>
      <c r="TR279" s="26"/>
      <c r="TS279" s="26"/>
      <c r="TT279" s="26"/>
      <c r="TU279" s="26"/>
      <c r="TV279" s="26"/>
      <c r="TW279" s="26"/>
      <c r="TX279" s="26"/>
      <c r="TY279" s="26"/>
      <c r="TZ279" s="26"/>
      <c r="UA279" s="26"/>
      <c r="UB279" s="26"/>
      <c r="UC279" s="26"/>
      <c r="UD279" s="26"/>
      <c r="UE279" s="26"/>
      <c r="UF279" s="26"/>
      <c r="UG279" s="26"/>
      <c r="UH279" s="26"/>
      <c r="UI279" s="26"/>
      <c r="UJ279" s="26"/>
      <c r="UK279" s="26"/>
      <c r="UL279" s="26"/>
      <c r="UM279" s="26"/>
      <c r="UN279" s="26"/>
      <c r="UO279" s="26"/>
      <c r="UP279" s="26"/>
      <c r="UQ279" s="26"/>
      <c r="UR279" s="26"/>
      <c r="US279" s="26"/>
      <c r="UT279" s="26"/>
      <c r="UU279" s="26"/>
      <c r="UV279" s="26"/>
      <c r="UW279" s="26"/>
      <c r="UX279" s="26"/>
      <c r="UY279" s="26"/>
      <c r="UZ279" s="26"/>
      <c r="VA279" s="26"/>
      <c r="VB279" s="26"/>
      <c r="VC279" s="26"/>
      <c r="VD279" s="26"/>
      <c r="VE279" s="26"/>
      <c r="VF279" s="26"/>
      <c r="VG279" s="26"/>
      <c r="VH279" s="26"/>
      <c r="VI279" s="26"/>
      <c r="VJ279" s="26"/>
      <c r="VK279" s="26"/>
      <c r="VL279" s="26"/>
      <c r="VM279" s="26"/>
      <c r="VN279" s="26"/>
      <c r="VO279" s="26"/>
      <c r="VP279" s="26"/>
      <c r="VQ279" s="26"/>
      <c r="VR279" s="26"/>
      <c r="VS279" s="26"/>
      <c r="VT279" s="26"/>
      <c r="VU279" s="26"/>
      <c r="VV279" s="26"/>
      <c r="VW279" s="26"/>
      <c r="VX279" s="26"/>
      <c r="VY279" s="26"/>
      <c r="VZ279" s="26"/>
      <c r="WA279" s="26"/>
      <c r="WB279" s="26"/>
      <c r="WC279" s="26"/>
      <c r="WD279" s="26"/>
      <c r="WE279" s="26"/>
      <c r="WF279" s="26"/>
      <c r="WG279" s="26"/>
      <c r="WH279" s="26"/>
      <c r="WI279" s="26"/>
      <c r="WJ279" s="26"/>
      <c r="WK279" s="26"/>
      <c r="WL279" s="26"/>
      <c r="WM279" s="26"/>
      <c r="WN279" s="26"/>
      <c r="WO279" s="26"/>
      <c r="WP279" s="26"/>
      <c r="WQ279" s="26"/>
      <c r="WR279" s="26"/>
      <c r="WS279" s="26"/>
      <c r="WT279" s="26"/>
      <c r="WU279" s="26"/>
      <c r="WV279" s="26"/>
      <c r="WW279" s="26"/>
      <c r="WX279" s="26"/>
      <c r="WY279" s="26"/>
      <c r="WZ279" s="26"/>
      <c r="XA279" s="26"/>
      <c r="XB279" s="26"/>
      <c r="XC279" s="26"/>
      <c r="XD279" s="26"/>
      <c r="XE279" s="26"/>
      <c r="XF279" s="26"/>
      <c r="XG279" s="26"/>
      <c r="XH279" s="26"/>
      <c r="XI279" s="26"/>
      <c r="XJ279" s="26"/>
      <c r="XK279" s="26"/>
      <c r="XL279" s="26"/>
      <c r="XM279" s="26"/>
      <c r="XN279" s="26"/>
      <c r="XO279" s="26"/>
      <c r="XP279" s="26"/>
      <c r="XQ279" s="26"/>
      <c r="XR279" s="26"/>
      <c r="XS279" s="26"/>
      <c r="XT279" s="26"/>
      <c r="XU279" s="26"/>
      <c r="XV279" s="26"/>
      <c r="XW279" s="26"/>
      <c r="XX279" s="26"/>
      <c r="XY279" s="26"/>
      <c r="XZ279" s="26"/>
      <c r="YA279" s="26"/>
      <c r="YB279" s="26"/>
      <c r="YC279" s="26"/>
      <c r="YD279" s="26"/>
      <c r="YE279" s="26"/>
      <c r="YF279" s="26"/>
      <c r="YG279" s="26"/>
      <c r="YH279" s="26"/>
      <c r="YI279" s="26"/>
      <c r="YJ279" s="26"/>
      <c r="YK279" s="26"/>
      <c r="YL279" s="26"/>
      <c r="YM279" s="26"/>
      <c r="YN279" s="26"/>
      <c r="YO279" s="26"/>
      <c r="YP279" s="26"/>
      <c r="YQ279" s="26"/>
      <c r="YR279" s="26"/>
      <c r="YS279" s="26"/>
      <c r="YT279" s="26"/>
      <c r="YU279" s="26"/>
      <c r="YV279" s="26"/>
      <c r="YW279" s="26"/>
      <c r="YX279" s="26"/>
      <c r="YY279" s="26"/>
      <c r="YZ279" s="26"/>
      <c r="ZA279" s="26"/>
      <c r="ZB279" s="26"/>
      <c r="ZC279" s="26"/>
      <c r="ZD279" s="26"/>
      <c r="ZE279" s="26"/>
      <c r="ZF279" s="26"/>
      <c r="ZG279" s="26"/>
      <c r="ZH279" s="26"/>
      <c r="ZI279" s="26"/>
      <c r="ZJ279" s="26"/>
      <c r="ZK279" s="26"/>
      <c r="ZL279" s="26"/>
      <c r="ZM279" s="26"/>
      <c r="ZN279" s="26"/>
      <c r="ZO279" s="26"/>
      <c r="ZP279" s="26"/>
      <c r="ZQ279" s="26"/>
      <c r="ZR279" s="26"/>
      <c r="ZS279" s="26"/>
      <c r="ZT279" s="26"/>
      <c r="ZU279" s="26"/>
      <c r="ZV279" s="26"/>
      <c r="ZW279" s="26"/>
      <c r="ZX279" s="26"/>
      <c r="ZY279" s="26"/>
      <c r="ZZ279" s="26"/>
      <c r="AAA279" s="26"/>
      <c r="AAB279" s="26"/>
      <c r="AAC279" s="26"/>
      <c r="AAD279" s="26"/>
      <c r="AAE279" s="26"/>
      <c r="AAF279" s="26"/>
      <c r="AAG279" s="26"/>
      <c r="AAH279" s="26"/>
      <c r="AAI279" s="26"/>
      <c r="AAJ279" s="26"/>
      <c r="AAK279" s="26"/>
      <c r="AAL279" s="26"/>
      <c r="AAM279" s="26"/>
      <c r="AAN279" s="26"/>
      <c r="AAO279" s="26"/>
      <c r="AAP279" s="26"/>
      <c r="AAQ279" s="26"/>
      <c r="AAR279" s="26"/>
      <c r="AAS279" s="26"/>
      <c r="AAT279" s="26"/>
      <c r="AAU279" s="26"/>
      <c r="AAV279" s="26"/>
      <c r="AAW279" s="26"/>
      <c r="AAX279" s="26"/>
      <c r="AAY279" s="26"/>
      <c r="AAZ279" s="26"/>
      <c r="ABA279" s="26"/>
      <c r="ABB279" s="26"/>
      <c r="ABC279" s="26"/>
      <c r="ABD279" s="26"/>
      <c r="ABE279" s="26"/>
      <c r="ABF279" s="26"/>
      <c r="ABG279" s="26"/>
      <c r="ABH279" s="26"/>
      <c r="ABI279" s="26"/>
      <c r="ABJ279" s="26"/>
      <c r="ABK279" s="26"/>
      <c r="ABL279" s="26"/>
      <c r="ABM279" s="26"/>
      <c r="ABN279" s="26"/>
      <c r="ABO279" s="26"/>
      <c r="ABP279" s="26"/>
      <c r="ABQ279" s="26"/>
      <c r="ABR279" s="26"/>
      <c r="ABS279" s="26"/>
      <c r="ABT279" s="26"/>
      <c r="ABU279" s="26"/>
      <c r="ABV279" s="26"/>
      <c r="ABW279" s="26"/>
      <c r="ABX279" s="26"/>
      <c r="ABY279" s="26"/>
      <c r="ABZ279" s="26"/>
      <c r="ACA279" s="26"/>
      <c r="ACB279" s="26"/>
      <c r="ACC279" s="26"/>
      <c r="ACD279" s="26"/>
      <c r="ACE279" s="26"/>
      <c r="ACF279" s="26"/>
      <c r="ACG279" s="26"/>
      <c r="ACH279" s="26"/>
      <c r="ACI279" s="26"/>
      <c r="ACJ279" s="26"/>
      <c r="ACK279" s="26"/>
      <c r="ACL279" s="26"/>
      <c r="ACM279" s="26"/>
      <c r="ACN279" s="26"/>
      <c r="ACO279" s="26"/>
      <c r="ACP279" s="26"/>
      <c r="ACQ279" s="26"/>
      <c r="ACR279" s="26"/>
      <c r="ACS279" s="26"/>
      <c r="ACT279" s="26"/>
      <c r="ACU279" s="26"/>
      <c r="ACV279" s="26"/>
      <c r="ACW279" s="26"/>
      <c r="ACX279" s="26"/>
      <c r="ACY279" s="26"/>
      <c r="ACZ279" s="26"/>
      <c r="ADA279" s="26"/>
      <c r="ADB279" s="26"/>
      <c r="ADC279" s="26"/>
      <c r="ADD279" s="26"/>
      <c r="ADE279" s="26"/>
      <c r="ADF279" s="26"/>
      <c r="ADG279" s="26"/>
      <c r="ADH279" s="26"/>
      <c r="ADI279" s="26"/>
      <c r="ADJ279" s="26"/>
      <c r="ADK279" s="26"/>
      <c r="ADL279" s="26"/>
      <c r="ADM279" s="26"/>
      <c r="ADN279" s="26"/>
      <c r="ADO279" s="26"/>
      <c r="ADP279" s="26"/>
      <c r="ADQ279" s="26"/>
      <c r="ADR279" s="26"/>
      <c r="ADS279" s="26"/>
      <c r="ADT279" s="26"/>
      <c r="ADU279" s="26"/>
      <c r="ADV279" s="26"/>
      <c r="ADW279" s="26"/>
      <c r="ADX279" s="26"/>
      <c r="ADY279" s="26"/>
      <c r="ADZ279" s="26"/>
      <c r="AEA279" s="26"/>
      <c r="AEB279" s="26"/>
      <c r="AEC279" s="26"/>
      <c r="AED279" s="26"/>
      <c r="AEE279" s="26"/>
      <c r="AEF279" s="26"/>
      <c r="AEG279" s="26"/>
      <c r="AEH279" s="26"/>
      <c r="AEI279" s="26"/>
      <c r="AEJ279" s="26"/>
      <c r="AEK279" s="26"/>
      <c r="AEL279" s="26"/>
      <c r="AEM279" s="26"/>
      <c r="AEN279" s="26"/>
      <c r="AEO279" s="26"/>
      <c r="AEP279" s="26"/>
      <c r="AEQ279" s="26"/>
      <c r="AER279" s="26"/>
      <c r="AES279" s="26"/>
      <c r="AET279" s="26"/>
      <c r="AEU279" s="26"/>
      <c r="AEV279" s="26"/>
      <c r="AEW279" s="26"/>
      <c r="AEX279" s="26"/>
      <c r="AEY279" s="26"/>
      <c r="AEZ279" s="26"/>
      <c r="AFA279" s="26"/>
      <c r="AFB279" s="26"/>
      <c r="AFC279" s="26"/>
      <c r="AFD279" s="26"/>
      <c r="AFE279" s="26"/>
      <c r="AFF279" s="26"/>
      <c r="AFG279" s="26"/>
      <c r="AFH279" s="26"/>
      <c r="AFI279" s="26"/>
      <c r="AFJ279" s="26"/>
      <c r="AFK279" s="26"/>
      <c r="AFL279" s="26"/>
      <c r="AFM279" s="26"/>
      <c r="AFN279" s="26"/>
      <c r="AFO279" s="26"/>
      <c r="AFP279" s="26"/>
      <c r="AFQ279" s="26"/>
      <c r="AFR279" s="26"/>
      <c r="AFS279" s="26"/>
      <c r="AFT279" s="26"/>
      <c r="AFU279" s="26"/>
      <c r="AFV279" s="26"/>
      <c r="AFW279" s="26"/>
      <c r="AFX279" s="26"/>
      <c r="AFY279" s="26"/>
      <c r="AFZ279" s="26"/>
      <c r="AGA279" s="26"/>
      <c r="AGB279" s="26"/>
      <c r="AGC279" s="26"/>
      <c r="AGD279" s="26"/>
      <c r="AGE279" s="26"/>
      <c r="AGF279" s="26"/>
      <c r="AGG279" s="26"/>
      <c r="AGH279" s="26"/>
      <c r="AGI279" s="26"/>
      <c r="AGJ279" s="26"/>
      <c r="AGK279" s="26"/>
      <c r="AGL279" s="26"/>
      <c r="AGM279" s="26"/>
      <c r="AGN279" s="26"/>
      <c r="AGO279" s="26"/>
      <c r="AGP279" s="26"/>
      <c r="AGQ279" s="26"/>
      <c r="AGR279" s="26"/>
      <c r="AGS279" s="26"/>
      <c r="AGT279" s="26"/>
      <c r="AGU279" s="26"/>
      <c r="AGV279" s="26"/>
      <c r="AGW279" s="26"/>
      <c r="AGX279" s="26"/>
      <c r="AGY279" s="26"/>
      <c r="AGZ279" s="26"/>
      <c r="AHA279" s="26"/>
      <c r="AHB279" s="26"/>
      <c r="AHC279" s="26"/>
      <c r="AHD279" s="26"/>
      <c r="AHE279" s="26"/>
      <c r="AHF279" s="26"/>
      <c r="AHG279" s="26"/>
      <c r="AHH279" s="26"/>
      <c r="AHI279" s="26"/>
      <c r="AHJ279" s="26"/>
      <c r="AHK279" s="26"/>
      <c r="AHL279" s="26"/>
      <c r="AHM279" s="26"/>
      <c r="AHN279" s="26"/>
      <c r="AHO279" s="26"/>
      <c r="AHP279" s="26"/>
      <c r="AHQ279" s="26"/>
      <c r="AHR279" s="26"/>
      <c r="AHS279" s="26"/>
      <c r="AHT279" s="26"/>
      <c r="AHU279" s="26"/>
      <c r="AHV279" s="26"/>
      <c r="AHW279" s="26"/>
      <c r="AHX279" s="26"/>
      <c r="AHY279" s="26"/>
      <c r="AHZ279" s="26"/>
      <c r="AIA279" s="26"/>
      <c r="AIB279" s="26"/>
      <c r="AIC279" s="26"/>
      <c r="AID279" s="26"/>
      <c r="AIE279" s="26"/>
      <c r="AIF279" s="26"/>
      <c r="AIG279" s="26"/>
      <c r="AIH279" s="26"/>
      <c r="AII279" s="26"/>
      <c r="AIJ279" s="26"/>
      <c r="AIK279" s="26"/>
      <c r="AIL279" s="26"/>
      <c r="AIM279" s="26"/>
      <c r="AIN279" s="26"/>
      <c r="AIO279" s="26"/>
      <c r="AIP279" s="26"/>
      <c r="AIQ279" s="26"/>
      <c r="AIR279" s="26"/>
      <c r="AIS279" s="26"/>
      <c r="AIT279" s="26"/>
      <c r="AIU279" s="26"/>
      <c r="AIV279" s="26"/>
      <c r="AIW279" s="26"/>
      <c r="AIX279" s="26"/>
      <c r="AIY279" s="26"/>
      <c r="AIZ279" s="26"/>
      <c r="AJA279" s="26"/>
      <c r="AJB279" s="26"/>
      <c r="AJC279" s="26"/>
      <c r="AJD279" s="26"/>
      <c r="AJE279" s="26"/>
      <c r="AJF279" s="26"/>
      <c r="AJG279" s="26"/>
      <c r="AJH279" s="26"/>
      <c r="AJI279" s="26"/>
      <c r="AJJ279" s="26"/>
      <c r="AJK279" s="26"/>
      <c r="AJL279" s="26"/>
      <c r="AJM279" s="26"/>
      <c r="AJN279" s="26"/>
      <c r="AJO279" s="26"/>
      <c r="AJP279" s="26"/>
      <c r="AJQ279" s="26"/>
      <c r="AJR279" s="26"/>
      <c r="AJS279" s="26"/>
      <c r="AJT279" s="26"/>
      <c r="AJU279" s="26"/>
      <c r="AJV279" s="26"/>
      <c r="AJW279" s="26"/>
      <c r="AJX279" s="26"/>
      <c r="AJY279" s="26"/>
      <c r="AJZ279" s="26"/>
      <c r="AKA279" s="26"/>
      <c r="AKB279" s="26"/>
      <c r="AKC279" s="26"/>
      <c r="AKD279" s="26"/>
      <c r="AKE279" s="26"/>
      <c r="AKF279" s="26"/>
      <c r="AKG279" s="26"/>
      <c r="AKH279" s="26"/>
      <c r="AKI279" s="26"/>
      <c r="AKJ279" s="26"/>
      <c r="AKK279" s="26"/>
      <c r="AKL279" s="26"/>
      <c r="AKM279" s="26"/>
      <c r="AKN279" s="26"/>
      <c r="AKO279" s="26"/>
      <c r="AKP279" s="26"/>
      <c r="AKQ279" s="26"/>
      <c r="AKR279" s="26"/>
      <c r="AKS279" s="26"/>
      <c r="AKT279" s="26"/>
      <c r="AKU279" s="26"/>
      <c r="AKV279" s="26"/>
      <c r="AKW279" s="26"/>
      <c r="AKX279" s="26"/>
      <c r="AKY279" s="26"/>
      <c r="AKZ279" s="26"/>
      <c r="ALA279" s="26"/>
      <c r="ALB279" s="26"/>
      <c r="ALC279" s="26"/>
      <c r="ALD279" s="26"/>
      <c r="ALE279" s="26"/>
      <c r="ALF279" s="26"/>
      <c r="ALG279" s="26"/>
      <c r="ALH279" s="26"/>
      <c r="ALI279" s="26"/>
      <c r="ALJ279" s="26"/>
      <c r="ALK279" s="26"/>
      <c r="ALL279" s="26"/>
      <c r="ALM279" s="26"/>
      <c r="ALN279" s="26"/>
      <c r="ALO279" s="26"/>
      <c r="ALP279" s="26"/>
      <c r="ALQ279" s="26"/>
      <c r="ALR279" s="26"/>
      <c r="ALS279" s="26"/>
      <c r="ALT279" s="26"/>
      <c r="ALU279" s="26"/>
      <c r="ALV279" s="26"/>
      <c r="ALW279" s="26"/>
      <c r="ALX279" s="26"/>
      <c r="ALY279" s="26"/>
      <c r="ALZ279" s="26"/>
      <c r="AMA279" s="26"/>
      <c r="AMB279" s="26"/>
      <c r="AMC279" s="26"/>
      <c r="AMD279" s="26"/>
      <c r="AME279" s="26"/>
      <c r="AMF279" s="26"/>
      <c r="AMG279" s="26"/>
      <c r="AMH279" s="26"/>
      <c r="AMI279" s="26"/>
      <c r="AMJ279" s="26"/>
      <c r="AMK279" s="26"/>
      <c r="AML279" s="26"/>
      <c r="AMM279" s="26"/>
      <c r="AMN279" s="26"/>
      <c r="AMO279" s="26"/>
      <c r="AMP279" s="26"/>
      <c r="AMQ279" s="26"/>
      <c r="AMR279" s="26"/>
      <c r="AMS279" s="26"/>
      <c r="AMT279" s="26"/>
      <c r="AMU279" s="26"/>
      <c r="AMV279" s="26"/>
      <c r="AMW279" s="26"/>
      <c r="AMX279" s="26"/>
      <c r="AMY279" s="26"/>
      <c r="AMZ279" s="26"/>
      <c r="ANA279" s="26"/>
      <c r="ANB279" s="26"/>
      <c r="ANC279" s="26"/>
      <c r="AND279" s="26"/>
      <c r="ANE279" s="26"/>
      <c r="ANF279" s="26"/>
      <c r="ANG279" s="26"/>
      <c r="ANH279" s="26"/>
      <c r="ANI279" s="26"/>
      <c r="ANJ279" s="26"/>
      <c r="ANK279" s="26"/>
      <c r="ANL279" s="26"/>
      <c r="ANM279" s="26"/>
      <c r="ANN279" s="26"/>
      <c r="ANO279" s="26"/>
      <c r="ANP279" s="26"/>
      <c r="ANQ279" s="26"/>
      <c r="ANR279" s="26"/>
      <c r="ANS279" s="26"/>
      <c r="ANT279" s="26"/>
      <c r="ANU279" s="26"/>
      <c r="ANV279" s="26"/>
      <c r="ANW279" s="26"/>
      <c r="ANX279" s="26"/>
      <c r="ANY279" s="26"/>
      <c r="ANZ279" s="26"/>
      <c r="AOA279" s="26"/>
      <c r="AOB279" s="26"/>
      <c r="AOC279" s="26"/>
      <c r="AOD279" s="26"/>
      <c r="AOE279" s="26"/>
      <c r="AOF279" s="26"/>
      <c r="AOG279" s="26"/>
      <c r="AOH279" s="26"/>
      <c r="AOI279" s="26"/>
      <c r="AOJ279" s="26"/>
      <c r="AOK279" s="26"/>
      <c r="AOL279" s="26"/>
      <c r="AOM279" s="26"/>
      <c r="AON279" s="26"/>
      <c r="AOO279" s="26"/>
      <c r="AOP279" s="26"/>
      <c r="AOQ279" s="26"/>
      <c r="AOR279" s="26"/>
      <c r="AOS279" s="26"/>
      <c r="AOT279" s="26"/>
      <c r="AOU279" s="26"/>
      <c r="AOV279" s="26"/>
      <c r="AOW279" s="26"/>
      <c r="AOX279" s="26"/>
      <c r="AOY279" s="26"/>
      <c r="AOZ279" s="26"/>
      <c r="APA279" s="26"/>
      <c r="APB279" s="26"/>
      <c r="APC279" s="26"/>
      <c r="APD279" s="26"/>
      <c r="APE279" s="26"/>
      <c r="APF279" s="26"/>
      <c r="APG279" s="26"/>
      <c r="APH279" s="26"/>
      <c r="API279" s="26"/>
      <c r="APJ279" s="26"/>
      <c r="APK279" s="26"/>
      <c r="APL279" s="26"/>
      <c r="APM279" s="26"/>
      <c r="APN279" s="26"/>
      <c r="APO279" s="26"/>
      <c r="APP279" s="26"/>
      <c r="APQ279" s="26"/>
      <c r="APR279" s="26"/>
      <c r="APS279" s="26"/>
      <c r="APT279" s="26"/>
      <c r="APU279" s="26"/>
      <c r="APV279" s="26"/>
      <c r="APW279" s="26"/>
      <c r="APX279" s="26"/>
      <c r="APY279" s="26"/>
      <c r="APZ279" s="26"/>
      <c r="AQA279" s="26"/>
      <c r="AQB279" s="26"/>
      <c r="AQC279" s="26"/>
      <c r="AQD279" s="26"/>
      <c r="AQE279" s="26"/>
      <c r="AQF279" s="26"/>
      <c r="AQG279" s="26"/>
      <c r="AQH279" s="26"/>
      <c r="AQI279" s="26"/>
      <c r="AQJ279" s="26"/>
      <c r="AQK279" s="26"/>
      <c r="AQL279" s="26"/>
      <c r="AQM279" s="26"/>
      <c r="AQN279" s="26"/>
      <c r="AQO279" s="26"/>
      <c r="AQP279" s="26"/>
      <c r="AQQ279" s="26"/>
      <c r="AQR279" s="26"/>
      <c r="AQS279" s="26"/>
      <c r="AQT279" s="26"/>
      <c r="AQU279" s="26"/>
      <c r="AQV279" s="26"/>
      <c r="AQW279" s="26"/>
      <c r="AQX279" s="26"/>
      <c r="AQY279" s="26"/>
      <c r="AQZ279" s="26"/>
      <c r="ARA279" s="26"/>
      <c r="ARB279" s="26"/>
      <c r="ARC279" s="26"/>
      <c r="ARD279" s="26"/>
      <c r="ARE279" s="26"/>
      <c r="ARF279" s="26"/>
      <c r="ARG279" s="26"/>
      <c r="ARH279" s="26"/>
      <c r="ARI279" s="26"/>
      <c r="ARJ279" s="26"/>
      <c r="ARK279" s="26"/>
      <c r="ARL279" s="26"/>
      <c r="ARM279" s="26"/>
      <c r="ARN279" s="26"/>
      <c r="ARO279" s="26"/>
      <c r="ARP279" s="26"/>
      <c r="ARQ279" s="26"/>
      <c r="ARR279" s="26"/>
      <c r="ARS279" s="26"/>
      <c r="ART279" s="26"/>
      <c r="ARU279" s="26"/>
      <c r="ARV279" s="26"/>
      <c r="ARW279" s="26"/>
      <c r="ARX279" s="26"/>
      <c r="ARY279" s="26"/>
      <c r="ARZ279" s="26"/>
      <c r="ASA279" s="26"/>
      <c r="ASB279" s="26"/>
      <c r="ASC279" s="26"/>
      <c r="ASD279" s="26"/>
      <c r="ASE279" s="26"/>
      <c r="ASF279" s="26"/>
      <c r="ASG279" s="26"/>
      <c r="ASH279" s="26"/>
      <c r="ASI279" s="26"/>
      <c r="ASJ279" s="26"/>
      <c r="ASK279" s="26"/>
      <c r="ASL279" s="26"/>
      <c r="ASM279" s="26"/>
      <c r="ASN279" s="26"/>
      <c r="ASO279" s="26"/>
      <c r="ASP279" s="26"/>
      <c r="ASQ279" s="26"/>
      <c r="ASR279" s="26"/>
      <c r="ASS279" s="26"/>
      <c r="AST279" s="26"/>
      <c r="ASU279" s="26"/>
      <c r="ASV279" s="26"/>
      <c r="ASW279" s="26"/>
      <c r="ASX279" s="26"/>
      <c r="ASY279" s="26"/>
      <c r="ASZ279" s="26"/>
      <c r="ATA279" s="26"/>
      <c r="ATB279" s="26"/>
      <c r="ATC279" s="26"/>
      <c r="ATD279" s="26"/>
      <c r="ATE279" s="26"/>
      <c r="ATF279" s="26"/>
      <c r="ATG279" s="26"/>
      <c r="ATH279" s="26"/>
      <c r="ATI279" s="26"/>
      <c r="ATJ279" s="26"/>
      <c r="ATK279" s="26"/>
      <c r="ATL279" s="26"/>
      <c r="ATM279" s="26"/>
      <c r="ATN279" s="26"/>
      <c r="ATO279" s="26"/>
      <c r="ATP279" s="26"/>
      <c r="ATQ279" s="26"/>
      <c r="ATR279" s="26"/>
      <c r="ATS279" s="26"/>
      <c r="ATT279" s="26"/>
      <c r="ATU279" s="26"/>
      <c r="ATV279" s="26"/>
      <c r="ATW279" s="26"/>
      <c r="ATX279" s="26"/>
      <c r="ATY279" s="26"/>
      <c r="ATZ279" s="26"/>
      <c r="AUA279" s="26"/>
      <c r="AUB279" s="26"/>
      <c r="AUC279" s="26"/>
      <c r="AUD279" s="26"/>
      <c r="AUE279" s="26"/>
      <c r="AUF279" s="26"/>
      <c r="AUG279" s="26"/>
      <c r="AUH279" s="26"/>
      <c r="AUI279" s="26"/>
      <c r="AUJ279" s="26"/>
      <c r="AUK279" s="26"/>
      <c r="AUL279" s="26"/>
      <c r="AUM279" s="26"/>
      <c r="AUN279" s="26"/>
      <c r="AUO279" s="26"/>
      <c r="AUP279" s="26"/>
      <c r="AUQ279" s="26"/>
      <c r="AUR279" s="26"/>
      <c r="AUS279" s="26"/>
      <c r="AUT279" s="26"/>
      <c r="AUU279" s="26"/>
      <c r="AUV279" s="26"/>
      <c r="AUW279" s="26"/>
      <c r="AUX279" s="26"/>
      <c r="AUY279" s="26"/>
      <c r="AUZ279" s="26"/>
      <c r="AVA279" s="26"/>
      <c r="AVB279" s="26"/>
      <c r="AVC279" s="26"/>
      <c r="AVD279" s="26"/>
      <c r="AVE279" s="26"/>
      <c r="AVF279" s="26"/>
      <c r="AVG279" s="26"/>
      <c r="AVH279" s="26"/>
      <c r="AVI279" s="26"/>
      <c r="AVJ279" s="26"/>
      <c r="AVK279" s="26"/>
      <c r="AVL279" s="26"/>
      <c r="AVM279" s="26"/>
      <c r="AVN279" s="26"/>
      <c r="AVO279" s="26"/>
      <c r="AVP279" s="26"/>
      <c r="AVQ279" s="26"/>
      <c r="AVR279" s="26"/>
      <c r="AVS279" s="26"/>
      <c r="AVT279" s="26"/>
      <c r="AVU279" s="26"/>
      <c r="AVV279" s="26"/>
      <c r="AVW279" s="26"/>
      <c r="AVX279" s="26"/>
      <c r="AVY279" s="26"/>
      <c r="AVZ279" s="26"/>
      <c r="AWA279" s="26"/>
      <c r="AWB279" s="26"/>
      <c r="AWC279" s="26"/>
      <c r="AWD279" s="26"/>
      <c r="AWE279" s="26"/>
      <c r="AWF279" s="26"/>
      <c r="AWG279" s="26"/>
      <c r="AWH279" s="26"/>
      <c r="AWI279" s="26"/>
      <c r="AWJ279" s="26"/>
      <c r="AWK279" s="26"/>
      <c r="AWL279" s="26"/>
      <c r="AWM279" s="26"/>
      <c r="AWN279" s="26"/>
      <c r="AWO279" s="26"/>
      <c r="AWP279" s="26"/>
      <c r="AWQ279" s="26"/>
      <c r="AWR279" s="26"/>
      <c r="AWS279" s="26"/>
      <c r="AWT279" s="26"/>
      <c r="AWU279" s="26"/>
      <c r="AWV279" s="26"/>
      <c r="AWW279" s="26"/>
      <c r="AWX279" s="26"/>
      <c r="AWY279" s="26"/>
      <c r="AWZ279" s="26"/>
      <c r="AXA279" s="26"/>
      <c r="AXB279" s="26"/>
      <c r="AXC279" s="26"/>
      <c r="AXD279" s="26"/>
      <c r="AXE279" s="26"/>
      <c r="AXF279" s="26"/>
      <c r="AXG279" s="26"/>
      <c r="AXH279" s="26"/>
      <c r="AXI279" s="26"/>
      <c r="AXJ279" s="26"/>
      <c r="AXK279" s="26"/>
      <c r="AXL279" s="26"/>
      <c r="AXM279" s="26"/>
      <c r="AXN279" s="26"/>
      <c r="AXO279" s="26"/>
      <c r="AXP279" s="26"/>
      <c r="AXQ279" s="26"/>
      <c r="AXR279" s="26"/>
      <c r="AXS279" s="26"/>
      <c r="AXT279" s="26"/>
      <c r="AXU279" s="26"/>
      <c r="AXV279" s="26"/>
      <c r="AXW279" s="26"/>
      <c r="AXX279" s="26"/>
      <c r="AXY279" s="26"/>
      <c r="AXZ279" s="26"/>
      <c r="AYA279" s="26"/>
      <c r="AYB279" s="26"/>
      <c r="AYC279" s="26"/>
      <c r="AYD279" s="26"/>
      <c r="AYE279" s="26"/>
      <c r="AYF279" s="26"/>
      <c r="AYG279" s="26"/>
      <c r="AYH279" s="26"/>
      <c r="AYI279" s="26"/>
      <c r="AYJ279" s="26"/>
      <c r="AYK279" s="26"/>
      <c r="AYL279" s="26"/>
      <c r="AYM279" s="26"/>
      <c r="AYN279" s="26"/>
      <c r="AYO279" s="26"/>
      <c r="AYP279" s="26"/>
      <c r="AYQ279" s="26"/>
      <c r="AYR279" s="26"/>
      <c r="AYS279" s="26"/>
      <c r="AYT279" s="26"/>
      <c r="AYU279" s="26"/>
      <c r="AYV279" s="26"/>
      <c r="AYW279" s="26"/>
      <c r="AYX279" s="26"/>
      <c r="AYY279" s="26"/>
      <c r="AYZ279" s="26"/>
      <c r="AZA279" s="26"/>
      <c r="AZB279" s="26"/>
      <c r="AZC279" s="26"/>
      <c r="AZD279" s="26"/>
      <c r="AZE279" s="26"/>
      <c r="AZF279" s="26"/>
      <c r="AZG279" s="26"/>
      <c r="AZH279" s="26"/>
      <c r="AZI279" s="26"/>
      <c r="AZJ279" s="26"/>
      <c r="AZK279" s="26"/>
      <c r="AZL279" s="26"/>
      <c r="AZM279" s="26"/>
      <c r="AZN279" s="26"/>
      <c r="AZO279" s="26"/>
      <c r="AZP279" s="26"/>
      <c r="AZQ279" s="26"/>
      <c r="AZR279" s="26"/>
      <c r="AZS279" s="26"/>
      <c r="AZT279" s="26"/>
      <c r="AZU279" s="26"/>
      <c r="AZV279" s="26"/>
      <c r="AZW279" s="26"/>
      <c r="AZX279" s="26"/>
      <c r="AZY279" s="26"/>
      <c r="AZZ279" s="26"/>
      <c r="BAA279" s="26"/>
      <c r="BAB279" s="26"/>
      <c r="BAC279" s="26"/>
      <c r="BAD279" s="26"/>
      <c r="BAE279" s="26"/>
      <c r="BAF279" s="26"/>
      <c r="BAG279" s="26"/>
      <c r="BAH279" s="26"/>
      <c r="BAI279" s="26"/>
      <c r="BAJ279" s="26"/>
      <c r="BAK279" s="26"/>
      <c r="BAL279" s="26"/>
      <c r="BAM279" s="26"/>
      <c r="BAN279" s="26"/>
      <c r="BAO279" s="26"/>
      <c r="BAP279" s="26"/>
      <c r="BAQ279" s="26"/>
      <c r="BAR279" s="26"/>
      <c r="BAS279" s="26"/>
      <c r="BAT279" s="26"/>
      <c r="BAU279" s="26"/>
      <c r="BAV279" s="26"/>
      <c r="BAW279" s="26"/>
      <c r="BAX279" s="26"/>
      <c r="BAY279" s="26"/>
      <c r="BAZ279" s="26"/>
      <c r="BBA279" s="26"/>
      <c r="BBB279" s="26"/>
      <c r="BBC279" s="26"/>
      <c r="BBD279" s="26"/>
      <c r="BBE279" s="26"/>
      <c r="BBF279" s="26"/>
      <c r="BBG279" s="26"/>
      <c r="BBH279" s="26"/>
      <c r="BBI279" s="26"/>
      <c r="BBJ279" s="26"/>
      <c r="BBK279" s="26"/>
      <c r="BBL279" s="26"/>
      <c r="BBM279" s="26"/>
      <c r="BBN279" s="26"/>
      <c r="BBO279" s="26"/>
      <c r="BBP279" s="26"/>
      <c r="BBQ279" s="26"/>
      <c r="BBR279" s="26"/>
      <c r="BBS279" s="26"/>
      <c r="BBT279" s="26"/>
      <c r="BBU279" s="26"/>
      <c r="BBV279" s="26"/>
      <c r="BBW279" s="26"/>
      <c r="BBX279" s="26"/>
      <c r="BBY279" s="26"/>
      <c r="BBZ279" s="26"/>
      <c r="BCA279" s="26"/>
      <c r="BCB279" s="26"/>
      <c r="BCC279" s="26"/>
      <c r="BCD279" s="26"/>
      <c r="BCE279" s="26"/>
      <c r="BCF279" s="26"/>
      <c r="BCG279" s="26"/>
      <c r="BCH279" s="26"/>
      <c r="BCI279" s="26"/>
      <c r="BCJ279" s="26"/>
      <c r="BCK279" s="26"/>
      <c r="BCL279" s="26"/>
      <c r="BCM279" s="26"/>
      <c r="BCN279" s="26"/>
      <c r="BCO279" s="26"/>
      <c r="BCP279" s="26"/>
      <c r="BCQ279" s="26"/>
      <c r="BCR279" s="26"/>
      <c r="BCS279" s="26"/>
      <c r="BCT279" s="26"/>
      <c r="BCU279" s="26"/>
      <c r="BCV279" s="26"/>
      <c r="BCW279" s="26"/>
      <c r="BCX279" s="26"/>
      <c r="BCY279" s="26"/>
      <c r="BCZ279" s="26"/>
      <c r="BDA279" s="26"/>
      <c r="BDB279" s="26"/>
      <c r="BDC279" s="26"/>
      <c r="BDD279" s="26"/>
      <c r="BDE279" s="26"/>
      <c r="BDF279" s="26"/>
      <c r="BDG279" s="26"/>
      <c r="BDH279" s="26"/>
      <c r="BDI279" s="26"/>
      <c r="BDJ279" s="26"/>
      <c r="BDK279" s="26"/>
      <c r="BDL279" s="26"/>
      <c r="BDM279" s="26"/>
      <c r="BDN279" s="26"/>
      <c r="BDO279" s="26"/>
      <c r="BDP279" s="26"/>
      <c r="BDQ279" s="26"/>
      <c r="BDR279" s="26"/>
      <c r="BDS279" s="26"/>
      <c r="BDT279" s="26"/>
      <c r="BDU279" s="26"/>
      <c r="BDV279" s="26"/>
      <c r="BDW279" s="26"/>
      <c r="BDX279" s="26"/>
      <c r="BDY279" s="26"/>
      <c r="BDZ279" s="26"/>
      <c r="BEA279" s="26"/>
      <c r="BEB279" s="26"/>
      <c r="BEC279" s="26"/>
      <c r="BED279" s="26"/>
      <c r="BEE279" s="26"/>
      <c r="BEF279" s="26"/>
      <c r="BEG279" s="26"/>
      <c r="BEH279" s="26"/>
      <c r="BEI279" s="26"/>
      <c r="BEJ279" s="26"/>
      <c r="BEK279" s="26"/>
      <c r="BEL279" s="26"/>
      <c r="BEM279" s="26"/>
      <c r="BEN279" s="26"/>
      <c r="BEO279" s="26"/>
      <c r="BEP279" s="26"/>
      <c r="BEQ279" s="26"/>
      <c r="BER279" s="26"/>
      <c r="BES279" s="26"/>
      <c r="BET279" s="26"/>
      <c r="BEU279" s="26"/>
      <c r="BEV279" s="26"/>
      <c r="BEW279" s="26"/>
      <c r="BEX279" s="26"/>
      <c r="BEY279" s="26"/>
      <c r="BEZ279" s="26"/>
      <c r="BFA279" s="26"/>
      <c r="BFB279" s="26"/>
      <c r="BFC279" s="26"/>
      <c r="BFD279" s="26"/>
      <c r="BFE279" s="26"/>
      <c r="BFF279" s="26"/>
      <c r="BFG279" s="26"/>
      <c r="BFH279" s="26"/>
      <c r="BFI279" s="26"/>
      <c r="BFJ279" s="26"/>
      <c r="BFK279" s="26"/>
      <c r="BFL279" s="26"/>
      <c r="BFM279" s="26"/>
      <c r="BFN279" s="26"/>
      <c r="BFO279" s="26"/>
      <c r="BFP279" s="26"/>
      <c r="BFQ279" s="26"/>
      <c r="BFR279" s="26"/>
      <c r="BFS279" s="26"/>
      <c r="BFT279" s="26"/>
      <c r="BFU279" s="26"/>
      <c r="BFV279" s="26"/>
      <c r="BFW279" s="26"/>
      <c r="BFX279" s="26"/>
      <c r="BFY279" s="26"/>
      <c r="BFZ279" s="26"/>
      <c r="BGA279" s="26"/>
      <c r="BGB279" s="26"/>
      <c r="BGC279" s="26"/>
      <c r="BGD279" s="26"/>
      <c r="BGE279" s="26"/>
      <c r="BGF279" s="26"/>
      <c r="BGG279" s="26"/>
      <c r="BGH279" s="26"/>
      <c r="BGI279" s="26"/>
      <c r="BGJ279" s="26"/>
      <c r="BGK279" s="26"/>
      <c r="BGL279" s="26"/>
      <c r="BGM279" s="26"/>
      <c r="BGN279" s="26"/>
      <c r="BGO279" s="26"/>
      <c r="BGP279" s="26"/>
      <c r="BGQ279" s="26"/>
      <c r="BGR279" s="26"/>
      <c r="BGS279" s="26"/>
      <c r="BGT279" s="26"/>
      <c r="BGU279" s="26"/>
      <c r="BGV279" s="26"/>
      <c r="BGW279" s="26"/>
      <c r="BGX279" s="26"/>
      <c r="BGY279" s="26"/>
      <c r="BGZ279" s="26"/>
      <c r="BHA279" s="26"/>
      <c r="BHB279" s="26"/>
      <c r="BHC279" s="26"/>
      <c r="BHD279" s="26"/>
      <c r="BHE279" s="26"/>
      <c r="BHF279" s="26"/>
      <c r="BHG279" s="26"/>
      <c r="BHH279" s="26"/>
      <c r="BHI279" s="26"/>
      <c r="BHJ279" s="26"/>
      <c r="BHK279" s="26"/>
      <c r="BHL279" s="26"/>
      <c r="BHM279" s="26"/>
      <c r="BHN279" s="26"/>
      <c r="BHO279" s="26"/>
      <c r="BHP279" s="26"/>
      <c r="BHQ279" s="26"/>
      <c r="BHR279" s="26"/>
      <c r="BHS279" s="26"/>
      <c r="BHT279" s="26"/>
      <c r="BHU279" s="26"/>
      <c r="BHV279" s="26"/>
      <c r="BHW279" s="26"/>
      <c r="BHX279" s="26"/>
      <c r="BHY279" s="26"/>
      <c r="BHZ279" s="26"/>
      <c r="BIA279" s="26"/>
      <c r="BIB279" s="26"/>
      <c r="BIC279" s="26"/>
      <c r="BID279" s="26"/>
      <c r="BIE279" s="26"/>
      <c r="BIF279" s="26"/>
      <c r="BIG279" s="26"/>
      <c r="BIH279" s="26"/>
      <c r="BII279" s="26"/>
      <c r="BIJ279" s="26"/>
      <c r="BIK279" s="26"/>
      <c r="BIL279" s="26"/>
      <c r="BIM279" s="26"/>
      <c r="BIN279" s="26"/>
      <c r="BIO279" s="26"/>
      <c r="BIP279" s="26"/>
      <c r="BIQ279" s="26"/>
      <c r="BIR279" s="26"/>
      <c r="BIS279" s="26"/>
      <c r="BIT279" s="26"/>
      <c r="BIU279" s="26"/>
      <c r="BIV279" s="26"/>
      <c r="BIW279" s="26"/>
      <c r="BIX279" s="26"/>
      <c r="BIY279" s="26"/>
      <c r="BIZ279" s="26"/>
      <c r="BJA279" s="26"/>
      <c r="BJB279" s="26"/>
      <c r="BJC279" s="26"/>
      <c r="BJD279" s="26"/>
      <c r="BJE279" s="26"/>
      <c r="BJF279" s="26"/>
      <c r="BJG279" s="26"/>
      <c r="BJH279" s="26"/>
      <c r="BJI279" s="26"/>
      <c r="BJJ279" s="26"/>
      <c r="BJK279" s="26"/>
      <c r="BJL279" s="26"/>
      <c r="BJM279" s="26"/>
      <c r="BJN279" s="26"/>
      <c r="BJO279" s="26"/>
      <c r="BJP279" s="26"/>
      <c r="BJQ279" s="26"/>
      <c r="BJR279" s="26"/>
      <c r="BJS279" s="26"/>
      <c r="BJT279" s="26"/>
      <c r="BJU279" s="26"/>
      <c r="BJV279" s="26"/>
      <c r="BJW279" s="26"/>
      <c r="BJX279" s="26"/>
      <c r="BJY279" s="26"/>
      <c r="BJZ279" s="26"/>
      <c r="BKA279" s="26"/>
      <c r="BKB279" s="26"/>
      <c r="BKC279" s="26"/>
      <c r="BKD279" s="26"/>
      <c r="BKE279" s="26"/>
      <c r="BKF279" s="26"/>
      <c r="BKG279" s="26"/>
      <c r="BKH279" s="26"/>
      <c r="BKI279" s="26"/>
      <c r="BKJ279" s="26"/>
      <c r="BKK279" s="26"/>
      <c r="BKL279" s="26"/>
      <c r="BKM279" s="26"/>
      <c r="BKN279" s="26"/>
      <c r="BKO279" s="26"/>
      <c r="BKP279" s="26"/>
      <c r="BKQ279" s="26"/>
      <c r="BKR279" s="26"/>
      <c r="BKS279" s="26"/>
      <c r="BKT279" s="26"/>
      <c r="BKU279" s="26"/>
      <c r="BKV279" s="26"/>
      <c r="BKW279" s="26"/>
      <c r="BKX279" s="26"/>
      <c r="BKY279" s="26"/>
      <c r="BKZ279" s="26"/>
      <c r="BLA279" s="26"/>
      <c r="BLB279" s="26"/>
      <c r="BLC279" s="26"/>
      <c r="BLD279" s="26"/>
      <c r="BLE279" s="26"/>
      <c r="BLF279" s="26"/>
      <c r="BLG279" s="26"/>
      <c r="BLH279" s="26"/>
      <c r="BLI279" s="26"/>
      <c r="BLJ279" s="26"/>
      <c r="BLK279" s="26"/>
      <c r="BLL279" s="26"/>
      <c r="BLM279" s="26"/>
      <c r="BLN279" s="26"/>
      <c r="BLO279" s="26"/>
      <c r="BLP279" s="26"/>
      <c r="BLQ279" s="26"/>
      <c r="BLR279" s="26"/>
      <c r="BLS279" s="26"/>
      <c r="BLT279" s="26"/>
      <c r="BLU279" s="26"/>
      <c r="BLV279" s="26"/>
      <c r="BLW279" s="26"/>
      <c r="BLX279" s="26"/>
      <c r="BLY279" s="26"/>
      <c r="BLZ279" s="26"/>
      <c r="BMA279" s="26"/>
      <c r="BMB279" s="26"/>
      <c r="BMC279" s="26"/>
      <c r="BMD279" s="26"/>
      <c r="BME279" s="26"/>
      <c r="BMF279" s="26"/>
      <c r="BMG279" s="26"/>
      <c r="BMH279" s="26"/>
      <c r="BMI279" s="26"/>
      <c r="BMJ279" s="26"/>
      <c r="BMK279" s="26"/>
      <c r="BML279" s="26"/>
      <c r="BMM279" s="26"/>
      <c r="BMN279" s="26"/>
      <c r="BMO279" s="26"/>
      <c r="BMP279" s="26"/>
      <c r="BMQ279" s="26"/>
      <c r="BMR279" s="26"/>
      <c r="BMS279" s="26"/>
      <c r="BMT279" s="26"/>
      <c r="BMU279" s="26"/>
      <c r="BMV279" s="26"/>
      <c r="BMW279" s="26"/>
      <c r="BMX279" s="26"/>
      <c r="BMY279" s="26"/>
      <c r="BMZ279" s="26"/>
      <c r="BNA279" s="26"/>
      <c r="BNB279" s="26"/>
      <c r="BNC279" s="26"/>
      <c r="BND279" s="26"/>
      <c r="BNE279" s="26"/>
      <c r="BNF279" s="26"/>
      <c r="BNG279" s="26"/>
      <c r="BNH279" s="26"/>
      <c r="BNI279" s="26"/>
      <c r="BNJ279" s="26"/>
      <c r="BNK279" s="26"/>
      <c r="BNL279" s="26"/>
      <c r="BNM279" s="26"/>
      <c r="BNN279" s="26"/>
      <c r="BNO279" s="26"/>
      <c r="BNP279" s="26"/>
      <c r="BNQ279" s="26"/>
      <c r="BNR279" s="26"/>
      <c r="BNS279" s="26"/>
      <c r="BNT279" s="26"/>
      <c r="BNU279" s="26"/>
      <c r="BNV279" s="26"/>
      <c r="BNW279" s="26"/>
      <c r="BNX279" s="26"/>
      <c r="BNY279" s="26"/>
      <c r="BNZ279" s="26"/>
      <c r="BOA279" s="26"/>
      <c r="BOB279" s="26"/>
      <c r="BOC279" s="26"/>
      <c r="BOD279" s="26"/>
      <c r="BOE279" s="26"/>
      <c r="BOF279" s="26"/>
      <c r="BOG279" s="26"/>
      <c r="BOH279" s="26"/>
      <c r="BOI279" s="26"/>
      <c r="BOJ279" s="26"/>
      <c r="BOK279" s="26"/>
      <c r="BOL279" s="26"/>
      <c r="BOM279" s="26"/>
      <c r="BON279" s="26"/>
      <c r="BOO279" s="26"/>
      <c r="BOP279" s="26"/>
      <c r="BOQ279" s="26"/>
      <c r="BOR279" s="26"/>
      <c r="BOS279" s="26"/>
      <c r="BOT279" s="26"/>
      <c r="BOU279" s="26"/>
      <c r="BOV279" s="26"/>
      <c r="BOW279" s="26"/>
      <c r="BOX279" s="26"/>
      <c r="BOY279" s="26"/>
      <c r="BOZ279" s="26"/>
      <c r="BPA279" s="26"/>
      <c r="BPB279" s="26"/>
      <c r="BPC279" s="26"/>
      <c r="BPD279" s="26"/>
      <c r="BPE279" s="26"/>
      <c r="BPF279" s="26"/>
      <c r="BPG279" s="26"/>
      <c r="BPH279" s="26"/>
      <c r="BPI279" s="26"/>
      <c r="BPJ279" s="26"/>
      <c r="BPK279" s="26"/>
      <c r="BPL279" s="26"/>
      <c r="BPM279" s="26"/>
      <c r="BPN279" s="26"/>
      <c r="BPO279" s="26"/>
      <c r="BPP279" s="26"/>
      <c r="BPQ279" s="26"/>
      <c r="BPR279" s="26"/>
      <c r="BPS279" s="26"/>
      <c r="BPT279" s="26"/>
      <c r="BPU279" s="26"/>
      <c r="BPV279" s="26"/>
      <c r="BPW279" s="26"/>
      <c r="BPX279" s="26"/>
      <c r="BPY279" s="26"/>
      <c r="BPZ279" s="26"/>
      <c r="BQA279" s="26"/>
      <c r="BQB279" s="26"/>
      <c r="BQC279" s="26"/>
      <c r="BQD279" s="26"/>
      <c r="BQE279" s="26"/>
      <c r="BQF279" s="26"/>
      <c r="BQG279" s="26"/>
      <c r="BQH279" s="26"/>
      <c r="BQI279" s="26"/>
      <c r="BQJ279" s="26"/>
      <c r="BQK279" s="26"/>
      <c r="BQL279" s="26"/>
      <c r="BQM279" s="26"/>
      <c r="BQN279" s="26"/>
      <c r="BQO279" s="26"/>
      <c r="BQP279" s="26"/>
      <c r="BQQ279" s="26"/>
      <c r="BQR279" s="26"/>
      <c r="BQS279" s="26"/>
      <c r="BQT279" s="26"/>
      <c r="BQU279" s="26"/>
      <c r="BQV279" s="26"/>
      <c r="BQW279" s="26"/>
      <c r="BQX279" s="26"/>
      <c r="BQY279" s="26"/>
      <c r="BQZ279" s="26"/>
      <c r="BRA279" s="26"/>
      <c r="BRB279" s="26"/>
      <c r="BRC279" s="26"/>
      <c r="BRD279" s="26"/>
      <c r="BRE279" s="26"/>
      <c r="BRF279" s="26"/>
      <c r="BRG279" s="26"/>
      <c r="BRH279" s="26"/>
      <c r="BRI279" s="26"/>
      <c r="BRJ279" s="26"/>
      <c r="BRK279" s="26"/>
      <c r="BRL279" s="26"/>
      <c r="BRM279" s="26"/>
      <c r="BRN279" s="26"/>
      <c r="BRO279" s="26"/>
      <c r="BRP279" s="26"/>
      <c r="BRQ279" s="26"/>
      <c r="BRR279" s="26"/>
      <c r="BRS279" s="26"/>
      <c r="BRT279" s="26"/>
      <c r="BRU279" s="26"/>
      <c r="BRV279" s="26"/>
      <c r="BRW279" s="26"/>
      <c r="BRX279" s="26"/>
      <c r="BRY279" s="26"/>
      <c r="BRZ279" s="26"/>
      <c r="BSA279" s="26"/>
      <c r="BSB279" s="26"/>
      <c r="BSC279" s="26"/>
      <c r="BSD279" s="26"/>
      <c r="BSE279" s="26"/>
      <c r="BSF279" s="26"/>
      <c r="BSG279" s="26"/>
      <c r="BSH279" s="26"/>
      <c r="BSI279" s="26"/>
      <c r="BSJ279" s="26"/>
      <c r="BSK279" s="26"/>
      <c r="BSL279" s="26"/>
      <c r="BSM279" s="26"/>
      <c r="BSN279" s="26"/>
      <c r="BSO279" s="26"/>
      <c r="BSP279" s="26"/>
      <c r="BSQ279" s="26"/>
      <c r="BSR279" s="26"/>
      <c r="BSS279" s="26"/>
      <c r="BST279" s="26"/>
      <c r="BSU279" s="26"/>
      <c r="BSV279" s="26"/>
      <c r="BSW279" s="26"/>
      <c r="BSX279" s="26"/>
      <c r="BSY279" s="26"/>
      <c r="BSZ279" s="26"/>
      <c r="BTA279" s="26"/>
      <c r="BTB279" s="26"/>
      <c r="BTC279" s="26"/>
      <c r="BTD279" s="26"/>
      <c r="BTE279" s="26"/>
      <c r="BTF279" s="26"/>
      <c r="BTG279" s="26"/>
      <c r="BTH279" s="26"/>
      <c r="BTI279" s="26"/>
      <c r="BTJ279" s="26"/>
      <c r="BTK279" s="26"/>
      <c r="BTL279" s="26"/>
      <c r="BTM279" s="26"/>
      <c r="BTN279" s="26"/>
      <c r="BTO279" s="26"/>
      <c r="BTP279" s="26"/>
      <c r="BTQ279" s="26"/>
      <c r="BTR279" s="26"/>
      <c r="BTS279" s="26"/>
      <c r="BTT279" s="26"/>
      <c r="BTU279" s="26"/>
      <c r="BTV279" s="26"/>
      <c r="BTW279" s="26"/>
      <c r="BTX279" s="26"/>
      <c r="BTY279" s="26"/>
      <c r="BTZ279" s="26"/>
      <c r="BUA279" s="26"/>
      <c r="BUB279" s="26"/>
      <c r="BUC279" s="26"/>
      <c r="BUD279" s="26"/>
      <c r="BUE279" s="26"/>
      <c r="BUF279" s="26"/>
      <c r="BUG279" s="26"/>
      <c r="BUH279" s="26"/>
      <c r="BUI279" s="26"/>
      <c r="BUJ279" s="26"/>
      <c r="BUK279" s="26"/>
      <c r="BUL279" s="26"/>
      <c r="BUM279" s="26"/>
      <c r="BUN279" s="26"/>
      <c r="BUO279" s="26"/>
      <c r="BUP279" s="26"/>
      <c r="BUQ279" s="26"/>
      <c r="BUR279" s="26"/>
      <c r="BUS279" s="26"/>
      <c r="BUT279" s="26"/>
      <c r="BUU279" s="26"/>
      <c r="BUV279" s="26"/>
      <c r="BUW279" s="26"/>
      <c r="BUX279" s="26"/>
      <c r="BUY279" s="26"/>
      <c r="BUZ279" s="26"/>
      <c r="BVA279" s="26"/>
      <c r="BVB279" s="26"/>
      <c r="BVC279" s="26"/>
      <c r="BVD279" s="26"/>
      <c r="BVE279" s="26"/>
      <c r="BVF279" s="26"/>
      <c r="BVG279" s="26"/>
      <c r="BVH279" s="26"/>
      <c r="BVI279" s="26"/>
      <c r="BVJ279" s="26"/>
      <c r="BVK279" s="26"/>
      <c r="BVL279" s="26"/>
      <c r="BVM279" s="26"/>
      <c r="BVN279" s="26"/>
      <c r="BVO279" s="26"/>
      <c r="BVP279" s="26"/>
      <c r="BVQ279" s="26"/>
      <c r="BVR279" s="26"/>
      <c r="BVS279" s="26"/>
      <c r="BVT279" s="26"/>
      <c r="BVU279" s="26"/>
      <c r="BVV279" s="26"/>
      <c r="BVW279" s="26"/>
      <c r="BVX279" s="26"/>
      <c r="BVY279" s="26"/>
      <c r="BVZ279" s="26"/>
      <c r="BWA279" s="26"/>
      <c r="BWB279" s="26"/>
      <c r="BWC279" s="26"/>
      <c r="BWD279" s="26"/>
      <c r="BWE279" s="26"/>
      <c r="BWF279" s="26"/>
      <c r="BWG279" s="26"/>
      <c r="BWH279" s="26"/>
      <c r="BWI279" s="26"/>
      <c r="BWJ279" s="26"/>
      <c r="BWK279" s="26"/>
      <c r="BWL279" s="26"/>
      <c r="BWM279" s="26"/>
      <c r="BWN279" s="26"/>
      <c r="BWO279" s="26"/>
      <c r="BWP279" s="26"/>
      <c r="BWQ279" s="26"/>
      <c r="BWR279" s="26"/>
      <c r="BWS279" s="26"/>
      <c r="BWT279" s="26"/>
      <c r="BWU279" s="26"/>
      <c r="BWV279" s="26"/>
      <c r="BWW279" s="26"/>
      <c r="BWX279" s="26"/>
      <c r="BWY279" s="26"/>
      <c r="BWZ279" s="26"/>
      <c r="BXA279" s="26"/>
      <c r="BXB279" s="26"/>
      <c r="BXC279" s="26"/>
      <c r="BXD279" s="26"/>
      <c r="BXE279" s="26"/>
      <c r="BXF279" s="26"/>
      <c r="BXG279" s="26"/>
      <c r="BXH279" s="26"/>
      <c r="BXI279" s="26"/>
      <c r="BXJ279" s="26"/>
      <c r="BXK279" s="26"/>
      <c r="BXL279" s="26"/>
      <c r="BXM279" s="26"/>
      <c r="BXN279" s="26"/>
      <c r="BXO279" s="26"/>
      <c r="BXP279" s="26"/>
      <c r="BXQ279" s="26"/>
      <c r="BXR279" s="26"/>
      <c r="BXS279" s="26"/>
      <c r="BXT279" s="26"/>
      <c r="BXU279" s="26"/>
      <c r="BXV279" s="26"/>
      <c r="BXW279" s="26"/>
      <c r="BXX279" s="26"/>
      <c r="BXY279" s="26"/>
      <c r="BXZ279" s="26"/>
      <c r="BYA279" s="26"/>
      <c r="BYB279" s="26"/>
      <c r="BYC279" s="26"/>
      <c r="BYD279" s="26"/>
      <c r="BYE279" s="26"/>
      <c r="BYF279" s="26"/>
      <c r="BYG279" s="26"/>
      <c r="BYH279" s="26"/>
      <c r="BYI279" s="26"/>
      <c r="BYJ279" s="26"/>
      <c r="BYK279" s="26"/>
      <c r="BYL279" s="26"/>
      <c r="BYM279" s="26"/>
      <c r="BYN279" s="26"/>
      <c r="BYO279" s="26"/>
      <c r="BYP279" s="26"/>
      <c r="BYQ279" s="26"/>
      <c r="BYR279" s="26"/>
      <c r="BYS279" s="26"/>
      <c r="BYT279" s="26"/>
      <c r="BYU279" s="26"/>
      <c r="BYV279" s="26"/>
      <c r="BYW279" s="26"/>
      <c r="BYX279" s="26"/>
      <c r="BYY279" s="26"/>
      <c r="BYZ279" s="26"/>
      <c r="BZA279" s="26"/>
      <c r="BZB279" s="26"/>
      <c r="BZC279" s="26"/>
      <c r="BZD279" s="26"/>
      <c r="BZE279" s="26"/>
      <c r="BZF279" s="26"/>
      <c r="BZG279" s="26"/>
      <c r="BZH279" s="26"/>
      <c r="BZI279" s="26"/>
      <c r="BZJ279" s="26"/>
      <c r="BZK279" s="26"/>
      <c r="BZL279" s="26"/>
      <c r="BZM279" s="26"/>
      <c r="BZN279" s="26"/>
      <c r="BZO279" s="26"/>
      <c r="BZP279" s="26"/>
      <c r="BZQ279" s="26"/>
      <c r="BZR279" s="26"/>
      <c r="BZS279" s="26"/>
      <c r="BZT279" s="26"/>
      <c r="BZU279" s="26"/>
      <c r="BZV279" s="26"/>
      <c r="BZW279" s="26"/>
      <c r="BZX279" s="26"/>
      <c r="BZY279" s="26"/>
      <c r="BZZ279" s="26"/>
      <c r="CAA279" s="26"/>
      <c r="CAB279" s="26"/>
      <c r="CAC279" s="26"/>
      <c r="CAD279" s="26"/>
      <c r="CAE279" s="26"/>
      <c r="CAF279" s="26"/>
      <c r="CAG279" s="26"/>
      <c r="CAH279" s="26"/>
      <c r="CAI279" s="26"/>
      <c r="CAJ279" s="26"/>
      <c r="CAK279" s="26"/>
      <c r="CAL279" s="26"/>
      <c r="CAM279" s="26"/>
      <c r="CAN279" s="26"/>
      <c r="CAO279" s="26"/>
      <c r="CAP279" s="26"/>
      <c r="CAQ279" s="26"/>
      <c r="CAR279" s="26"/>
      <c r="CAS279" s="26"/>
      <c r="CAT279" s="26"/>
      <c r="CAU279" s="26"/>
      <c r="CAV279" s="26"/>
      <c r="CAW279" s="26"/>
      <c r="CAX279" s="26"/>
      <c r="CAY279" s="26"/>
      <c r="CAZ279" s="26"/>
      <c r="CBA279" s="26"/>
      <c r="CBB279" s="26"/>
      <c r="CBC279" s="26"/>
      <c r="CBD279" s="26"/>
      <c r="CBE279" s="26"/>
      <c r="CBF279" s="26"/>
      <c r="CBG279" s="26"/>
      <c r="CBH279" s="26"/>
      <c r="CBI279" s="26"/>
    </row>
    <row r="280" spans="1:2089" ht="14" customHeight="1">
      <c r="A280" s="27">
        <v>279</v>
      </c>
      <c r="B280" s="27" t="s">
        <v>407</v>
      </c>
      <c r="C280" s="37">
        <v>2013</v>
      </c>
      <c r="D280" s="26" t="s">
        <v>38</v>
      </c>
      <c r="E280" s="26" t="s">
        <v>566</v>
      </c>
      <c r="F280" s="77" t="s">
        <v>175</v>
      </c>
      <c r="G280" s="2" t="s">
        <v>105</v>
      </c>
      <c r="H280" s="2" t="s">
        <v>30</v>
      </c>
      <c r="I280" s="2" t="s">
        <v>548</v>
      </c>
      <c r="J280" s="2" t="s">
        <v>604</v>
      </c>
      <c r="K280" s="2" t="s">
        <v>548</v>
      </c>
      <c r="L280" s="2" t="s">
        <v>548</v>
      </c>
      <c r="M280" s="2" t="s">
        <v>548</v>
      </c>
      <c r="N280" s="2" t="s">
        <v>70</v>
      </c>
      <c r="O280" s="2" t="s">
        <v>209</v>
      </c>
      <c r="P280" s="2" t="s">
        <v>61</v>
      </c>
      <c r="Q280" s="2" t="s">
        <v>42</v>
      </c>
      <c r="R280" s="102" t="s">
        <v>614</v>
      </c>
      <c r="S280" s="2" t="s">
        <v>70</v>
      </c>
      <c r="T280" s="26">
        <v>20</v>
      </c>
      <c r="U280" s="77">
        <v>1</v>
      </c>
      <c r="V280" s="26">
        <v>0</v>
      </c>
      <c r="W280" s="26">
        <v>1</v>
      </c>
      <c r="X280" s="26">
        <v>0</v>
      </c>
      <c r="Y280" s="26">
        <v>1</v>
      </c>
      <c r="Z280" s="26">
        <v>1</v>
      </c>
      <c r="AA280" s="26">
        <v>0</v>
      </c>
      <c r="AB280" s="26">
        <v>0</v>
      </c>
      <c r="AC280" s="26" t="s">
        <v>70</v>
      </c>
      <c r="AD280" s="26" t="s">
        <v>70</v>
      </c>
      <c r="AE280" s="26" t="s">
        <v>70</v>
      </c>
      <c r="AF280" s="26" t="s">
        <v>70</v>
      </c>
      <c r="AG280" s="33">
        <v>0.1</v>
      </c>
      <c r="AH280" s="26" t="s">
        <v>70</v>
      </c>
      <c r="AI280" s="26" t="s">
        <v>70</v>
      </c>
      <c r="AJ280" s="26" t="s">
        <v>70</v>
      </c>
      <c r="AK280" s="26" t="s">
        <v>70</v>
      </c>
      <c r="AL280" s="26" t="s">
        <v>70</v>
      </c>
      <c r="AM280" s="26" t="s">
        <v>548</v>
      </c>
      <c r="AN280" s="26" t="s">
        <v>274</v>
      </c>
      <c r="AO280" s="35" t="s">
        <v>548</v>
      </c>
      <c r="AP280" s="35" t="s">
        <v>548</v>
      </c>
      <c r="AQ280" s="35" t="s">
        <v>548</v>
      </c>
      <c r="AR280" s="35" t="s">
        <v>548</v>
      </c>
      <c r="AS280" s="26" t="s">
        <v>175</v>
      </c>
      <c r="AT280" s="26" t="s">
        <v>70</v>
      </c>
      <c r="AU280" s="26" t="s">
        <v>70</v>
      </c>
      <c r="AV280" s="26">
        <v>5</v>
      </c>
    </row>
    <row r="281" spans="1:2089" ht="14" customHeight="1">
      <c r="A281" s="27">
        <v>280</v>
      </c>
      <c r="B281" s="27" t="s">
        <v>407</v>
      </c>
      <c r="C281" s="37">
        <v>2013</v>
      </c>
      <c r="D281" s="26" t="s">
        <v>38</v>
      </c>
      <c r="E281" s="26" t="s">
        <v>566</v>
      </c>
      <c r="F281" s="77" t="s">
        <v>175</v>
      </c>
      <c r="G281" s="2" t="s">
        <v>105</v>
      </c>
      <c r="H281" s="2" t="s">
        <v>30</v>
      </c>
      <c r="I281" s="2" t="s">
        <v>548</v>
      </c>
      <c r="J281" s="2" t="s">
        <v>604</v>
      </c>
      <c r="K281" s="2" t="s">
        <v>548</v>
      </c>
      <c r="L281" s="2" t="s">
        <v>548</v>
      </c>
      <c r="M281" s="2" t="s">
        <v>548</v>
      </c>
      <c r="N281" s="2" t="s">
        <v>167</v>
      </c>
      <c r="O281" s="2" t="s">
        <v>60</v>
      </c>
      <c r="P281" s="2" t="s">
        <v>167</v>
      </c>
      <c r="Q281" s="2" t="s">
        <v>42</v>
      </c>
      <c r="R281" s="102" t="s">
        <v>614</v>
      </c>
      <c r="S281" s="2" t="s">
        <v>70</v>
      </c>
      <c r="T281" s="26">
        <v>20</v>
      </c>
      <c r="U281" s="77">
        <v>1</v>
      </c>
      <c r="V281" s="26">
        <v>0</v>
      </c>
      <c r="W281" s="26">
        <v>1</v>
      </c>
      <c r="X281" s="26">
        <v>0</v>
      </c>
      <c r="Y281" s="26">
        <v>1</v>
      </c>
      <c r="Z281" s="26">
        <v>1</v>
      </c>
      <c r="AA281" s="26">
        <v>0</v>
      </c>
      <c r="AB281" s="26">
        <v>0</v>
      </c>
      <c r="AC281" s="26" t="s">
        <v>70</v>
      </c>
      <c r="AD281" s="26" t="s">
        <v>70</v>
      </c>
      <c r="AE281" s="26" t="s">
        <v>70</v>
      </c>
      <c r="AF281" s="26" t="s">
        <v>70</v>
      </c>
      <c r="AG281" s="33">
        <v>0.8</v>
      </c>
      <c r="AH281" s="26" t="s">
        <v>70</v>
      </c>
      <c r="AI281" s="26" t="s">
        <v>70</v>
      </c>
      <c r="AJ281" s="26" t="s">
        <v>70</v>
      </c>
      <c r="AK281" s="26" t="s">
        <v>70</v>
      </c>
      <c r="AL281" s="26" t="s">
        <v>70</v>
      </c>
      <c r="AM281" s="26" t="s">
        <v>548</v>
      </c>
      <c r="AN281" s="26" t="s">
        <v>274</v>
      </c>
      <c r="AO281" s="35" t="s">
        <v>548</v>
      </c>
      <c r="AP281" s="35" t="s">
        <v>548</v>
      </c>
      <c r="AQ281" s="35" t="s">
        <v>548</v>
      </c>
      <c r="AR281" s="35" t="s">
        <v>548</v>
      </c>
      <c r="AS281" s="26" t="s">
        <v>175</v>
      </c>
      <c r="AT281" s="26" t="s">
        <v>70</v>
      </c>
      <c r="AU281" s="26" t="s">
        <v>70</v>
      </c>
      <c r="AV281" s="26">
        <v>5</v>
      </c>
    </row>
    <row r="282" spans="1:2089" ht="14" customHeight="1">
      <c r="A282" s="27">
        <v>281</v>
      </c>
      <c r="B282" s="27" t="s">
        <v>408</v>
      </c>
      <c r="C282" s="27">
        <v>2005</v>
      </c>
      <c r="D282" s="26" t="s">
        <v>240</v>
      </c>
      <c r="E282" s="26" t="s">
        <v>566</v>
      </c>
      <c r="F282" s="77" t="s">
        <v>175</v>
      </c>
      <c r="G282" s="2" t="s">
        <v>105</v>
      </c>
      <c r="H282" s="2" t="s">
        <v>30</v>
      </c>
      <c r="I282" s="2" t="s">
        <v>548</v>
      </c>
      <c r="J282" s="2" t="s">
        <v>183</v>
      </c>
      <c r="K282" s="2" t="s">
        <v>548</v>
      </c>
      <c r="L282" s="2" t="s">
        <v>548</v>
      </c>
      <c r="M282" s="2" t="s">
        <v>175</v>
      </c>
      <c r="N282" s="2" t="s">
        <v>62</v>
      </c>
      <c r="O282" s="2" t="s">
        <v>43</v>
      </c>
      <c r="P282" s="2" t="s">
        <v>621</v>
      </c>
      <c r="Q282" s="2" t="s">
        <v>42</v>
      </c>
      <c r="R282" s="102" t="s">
        <v>614</v>
      </c>
      <c r="S282" s="90">
        <v>0.5</v>
      </c>
      <c r="T282" s="26">
        <v>35</v>
      </c>
      <c r="U282" s="77">
        <v>1</v>
      </c>
      <c r="V282" s="26">
        <v>0</v>
      </c>
      <c r="W282" s="26">
        <v>1</v>
      </c>
      <c r="X282" s="26">
        <v>1</v>
      </c>
      <c r="Y282" s="26">
        <v>1</v>
      </c>
      <c r="Z282" s="26">
        <v>1</v>
      </c>
      <c r="AA282" s="26">
        <v>0</v>
      </c>
      <c r="AB282" s="26">
        <v>0</v>
      </c>
      <c r="AC282" s="26" t="s">
        <v>70</v>
      </c>
      <c r="AD282" s="26" t="s">
        <v>70</v>
      </c>
      <c r="AE282" s="26" t="s">
        <v>70</v>
      </c>
      <c r="AF282" s="26" t="s">
        <v>70</v>
      </c>
      <c r="AG282" s="33" t="s">
        <v>70</v>
      </c>
      <c r="AH282" s="33" t="s">
        <v>70</v>
      </c>
      <c r="AI282" s="33" t="s">
        <v>70</v>
      </c>
      <c r="AJ282" s="26" t="s">
        <v>70</v>
      </c>
      <c r="AK282" s="33" t="s">
        <v>70</v>
      </c>
      <c r="AL282" s="33" t="s">
        <v>70</v>
      </c>
      <c r="AM282" s="35" t="s">
        <v>175</v>
      </c>
      <c r="AN282" s="26" t="s">
        <v>274</v>
      </c>
      <c r="AO282" s="35" t="s">
        <v>548</v>
      </c>
      <c r="AP282" s="35" t="s">
        <v>548</v>
      </c>
      <c r="AQ282" s="35" t="s">
        <v>548</v>
      </c>
      <c r="AR282" s="35" t="s">
        <v>548</v>
      </c>
      <c r="AS282" s="26" t="s">
        <v>175</v>
      </c>
      <c r="AT282" s="26" t="s">
        <v>70</v>
      </c>
      <c r="AU282" s="26" t="s">
        <v>70</v>
      </c>
      <c r="AV282" s="26">
        <v>8</v>
      </c>
    </row>
    <row r="283" spans="1:2089" ht="14" customHeight="1">
      <c r="A283" s="27">
        <v>282</v>
      </c>
      <c r="B283" s="27" t="s">
        <v>409</v>
      </c>
      <c r="C283" s="26">
        <v>2010</v>
      </c>
      <c r="D283" s="26" t="s">
        <v>49</v>
      </c>
      <c r="E283" s="26" t="s">
        <v>566</v>
      </c>
      <c r="F283" s="2" t="s">
        <v>175</v>
      </c>
      <c r="G283" s="2" t="s">
        <v>84</v>
      </c>
      <c r="H283" s="2" t="s">
        <v>30</v>
      </c>
      <c r="I283" s="2" t="s">
        <v>175</v>
      </c>
      <c r="J283" s="2" t="s">
        <v>603</v>
      </c>
      <c r="K283" s="2" t="s">
        <v>548</v>
      </c>
      <c r="L283" s="2" t="s">
        <v>548</v>
      </c>
      <c r="M283" s="2" t="s">
        <v>175</v>
      </c>
      <c r="N283" s="2" t="s">
        <v>62</v>
      </c>
      <c r="O283" s="2" t="s">
        <v>43</v>
      </c>
      <c r="P283" s="2" t="s">
        <v>621</v>
      </c>
      <c r="Q283" s="26" t="s">
        <v>606</v>
      </c>
      <c r="R283" s="79" t="s">
        <v>613</v>
      </c>
      <c r="S283" s="88">
        <v>0.56999999999999995</v>
      </c>
      <c r="T283" s="61">
        <v>938</v>
      </c>
      <c r="U283" s="2">
        <v>1</v>
      </c>
      <c r="V283" s="26">
        <v>1</v>
      </c>
      <c r="W283" s="26">
        <v>1</v>
      </c>
      <c r="X283" s="26">
        <v>1</v>
      </c>
      <c r="Y283" s="26">
        <v>0</v>
      </c>
      <c r="Z283" s="26">
        <v>0</v>
      </c>
      <c r="AA283" s="26">
        <v>0</v>
      </c>
      <c r="AB283" s="26">
        <v>0</v>
      </c>
      <c r="AC283" s="70" t="s">
        <v>70</v>
      </c>
      <c r="AD283" s="70" t="s">
        <v>70</v>
      </c>
      <c r="AE283" s="70" t="s">
        <v>70</v>
      </c>
      <c r="AF283" s="70" t="s">
        <v>70</v>
      </c>
      <c r="AG283" s="70" t="s">
        <v>70</v>
      </c>
      <c r="AH283" s="70" t="s">
        <v>70</v>
      </c>
      <c r="AI283" s="70" t="s">
        <v>70</v>
      </c>
      <c r="AJ283" s="70" t="s">
        <v>70</v>
      </c>
      <c r="AK283" s="70" t="s">
        <v>70</v>
      </c>
      <c r="AL283" s="70" t="s">
        <v>70</v>
      </c>
      <c r="AM283" s="61" t="s">
        <v>175</v>
      </c>
      <c r="AN283" s="32" t="s">
        <v>9</v>
      </c>
      <c r="AO283" s="26" t="s">
        <v>175</v>
      </c>
      <c r="AP283" s="26" t="s">
        <v>548</v>
      </c>
      <c r="AQ283" s="26" t="s">
        <v>175</v>
      </c>
      <c r="AR283" s="26" t="s">
        <v>548</v>
      </c>
      <c r="AS283" s="26" t="s">
        <v>175</v>
      </c>
      <c r="AT283" s="26" t="s">
        <v>548</v>
      </c>
      <c r="AU283" s="40" t="s">
        <v>548</v>
      </c>
      <c r="AV283" s="26">
        <v>8</v>
      </c>
    </row>
    <row r="284" spans="1:2089" ht="14" customHeight="1">
      <c r="A284" s="27">
        <v>283</v>
      </c>
      <c r="B284" s="27" t="s">
        <v>410</v>
      </c>
      <c r="C284" s="27">
        <v>2006</v>
      </c>
      <c r="D284" s="26" t="s">
        <v>142</v>
      </c>
      <c r="E284" s="26" t="s">
        <v>563</v>
      </c>
      <c r="F284" s="77" t="s">
        <v>175</v>
      </c>
      <c r="G284" s="2" t="s">
        <v>105</v>
      </c>
      <c r="H284" s="2" t="s">
        <v>24</v>
      </c>
      <c r="I284" s="2" t="s">
        <v>548</v>
      </c>
      <c r="J284" s="2" t="s">
        <v>604</v>
      </c>
      <c r="K284" s="2" t="s">
        <v>548</v>
      </c>
      <c r="L284" s="2" t="s">
        <v>548</v>
      </c>
      <c r="M284" s="2" t="s">
        <v>548</v>
      </c>
      <c r="N284" s="2" t="s">
        <v>210</v>
      </c>
      <c r="O284" s="2" t="s">
        <v>43</v>
      </c>
      <c r="P284" s="2" t="s">
        <v>210</v>
      </c>
      <c r="Q284" s="2" t="s">
        <v>42</v>
      </c>
      <c r="R284" s="79" t="s">
        <v>613</v>
      </c>
      <c r="S284" s="2">
        <f>2/T284</f>
        <v>0.15384615384615385</v>
      </c>
      <c r="T284" s="26">
        <v>13</v>
      </c>
      <c r="U284" s="77">
        <v>1</v>
      </c>
      <c r="V284" s="26">
        <v>0</v>
      </c>
      <c r="W284" s="26">
        <v>1</v>
      </c>
      <c r="X284" s="26">
        <v>0</v>
      </c>
      <c r="Y284" s="26">
        <v>0</v>
      </c>
      <c r="Z284" s="26">
        <v>0</v>
      </c>
      <c r="AA284" s="26">
        <v>0</v>
      </c>
      <c r="AB284" s="26">
        <v>0</v>
      </c>
      <c r="AC284" s="33" t="s">
        <v>70</v>
      </c>
      <c r="AD284" s="33" t="s">
        <v>70</v>
      </c>
      <c r="AE284" s="33" t="s">
        <v>70</v>
      </c>
      <c r="AF284" s="33" t="s">
        <v>70</v>
      </c>
      <c r="AG284" s="33" t="s">
        <v>70</v>
      </c>
      <c r="AH284" s="33" t="s">
        <v>70</v>
      </c>
      <c r="AI284" s="33" t="s">
        <v>70</v>
      </c>
      <c r="AJ284" s="33" t="s">
        <v>70</v>
      </c>
      <c r="AK284" s="33" t="s">
        <v>70</v>
      </c>
      <c r="AL284" s="33" t="s">
        <v>70</v>
      </c>
      <c r="AM284" s="35" t="s">
        <v>175</v>
      </c>
      <c r="AN284" s="26" t="s">
        <v>274</v>
      </c>
      <c r="AO284" s="35" t="s">
        <v>548</v>
      </c>
      <c r="AP284" s="35" t="s">
        <v>175</v>
      </c>
      <c r="AQ284" s="35" t="s">
        <v>548</v>
      </c>
      <c r="AR284" s="35" t="s">
        <v>548</v>
      </c>
      <c r="AS284" s="26" t="s">
        <v>548</v>
      </c>
      <c r="AT284" s="26" t="s">
        <v>548</v>
      </c>
      <c r="AU284" s="40" t="s">
        <v>548</v>
      </c>
      <c r="AV284" s="26">
        <v>3</v>
      </c>
    </row>
    <row r="285" spans="1:2089" ht="14" customHeight="1">
      <c r="A285" s="27">
        <v>284</v>
      </c>
      <c r="B285" s="27" t="s">
        <v>410</v>
      </c>
      <c r="C285" s="27">
        <v>2006</v>
      </c>
      <c r="D285" s="26" t="s">
        <v>142</v>
      </c>
      <c r="E285" s="26" t="s">
        <v>563</v>
      </c>
      <c r="F285" s="77" t="s">
        <v>175</v>
      </c>
      <c r="G285" s="2" t="s">
        <v>105</v>
      </c>
      <c r="H285" s="2" t="s">
        <v>24</v>
      </c>
      <c r="I285" s="2" t="s">
        <v>548</v>
      </c>
      <c r="J285" s="2" t="s">
        <v>604</v>
      </c>
      <c r="K285" s="2" t="s">
        <v>548</v>
      </c>
      <c r="L285" s="2" t="s">
        <v>548</v>
      </c>
      <c r="M285" s="2" t="s">
        <v>548</v>
      </c>
      <c r="N285" s="2" t="s">
        <v>51</v>
      </c>
      <c r="O285" s="2" t="s">
        <v>43</v>
      </c>
      <c r="P285" s="2" t="s">
        <v>51</v>
      </c>
      <c r="Q285" s="2" t="s">
        <v>42</v>
      </c>
      <c r="R285" s="79" t="s">
        <v>613</v>
      </c>
      <c r="S285" s="2">
        <f>16/T285</f>
        <v>0.5161290322580645</v>
      </c>
      <c r="T285" s="26">
        <v>31</v>
      </c>
      <c r="U285" s="77">
        <v>1</v>
      </c>
      <c r="V285" s="26">
        <v>0</v>
      </c>
      <c r="W285" s="26">
        <v>1</v>
      </c>
      <c r="X285" s="26">
        <v>0</v>
      </c>
      <c r="Y285" s="26">
        <v>0</v>
      </c>
      <c r="Z285" s="26">
        <v>0</v>
      </c>
      <c r="AA285" s="26">
        <v>0</v>
      </c>
      <c r="AB285" s="26">
        <v>0</v>
      </c>
      <c r="AC285" s="33" t="s">
        <v>70</v>
      </c>
      <c r="AD285" s="33" t="s">
        <v>70</v>
      </c>
      <c r="AE285" s="33" t="s">
        <v>70</v>
      </c>
      <c r="AF285" s="33" t="s">
        <v>70</v>
      </c>
      <c r="AG285" s="33" t="s">
        <v>70</v>
      </c>
      <c r="AH285" s="33" t="s">
        <v>70</v>
      </c>
      <c r="AI285" s="33" t="s">
        <v>70</v>
      </c>
      <c r="AJ285" s="33" t="s">
        <v>70</v>
      </c>
      <c r="AK285" s="33" t="s">
        <v>70</v>
      </c>
      <c r="AL285" s="33" t="s">
        <v>70</v>
      </c>
      <c r="AM285" s="35" t="s">
        <v>175</v>
      </c>
      <c r="AN285" s="26" t="s">
        <v>274</v>
      </c>
      <c r="AO285" s="35" t="s">
        <v>548</v>
      </c>
      <c r="AP285" s="35" t="s">
        <v>175</v>
      </c>
      <c r="AQ285" s="35" t="s">
        <v>548</v>
      </c>
      <c r="AR285" s="35" t="s">
        <v>548</v>
      </c>
      <c r="AS285" s="26" t="s">
        <v>548</v>
      </c>
      <c r="AT285" s="26" t="s">
        <v>548</v>
      </c>
      <c r="AU285" s="40" t="s">
        <v>548</v>
      </c>
      <c r="AV285" s="26">
        <v>3</v>
      </c>
    </row>
    <row r="286" spans="1:2089" ht="14" customHeight="1">
      <c r="A286" s="27">
        <v>285</v>
      </c>
      <c r="B286" s="27" t="s">
        <v>410</v>
      </c>
      <c r="C286" s="27">
        <v>2006</v>
      </c>
      <c r="D286" s="26" t="s">
        <v>142</v>
      </c>
      <c r="E286" s="26" t="s">
        <v>563</v>
      </c>
      <c r="F286" s="77" t="s">
        <v>175</v>
      </c>
      <c r="G286" s="2" t="s">
        <v>105</v>
      </c>
      <c r="H286" s="2" t="s">
        <v>24</v>
      </c>
      <c r="I286" s="2" t="s">
        <v>548</v>
      </c>
      <c r="J286" s="2" t="s">
        <v>604</v>
      </c>
      <c r="K286" s="2" t="s">
        <v>548</v>
      </c>
      <c r="L286" s="2" t="s">
        <v>548</v>
      </c>
      <c r="M286" s="2" t="s">
        <v>548</v>
      </c>
      <c r="N286" s="2" t="s">
        <v>609</v>
      </c>
      <c r="O286" s="2" t="s">
        <v>60</v>
      </c>
      <c r="P286" s="2" t="s">
        <v>609</v>
      </c>
      <c r="Q286" s="2" t="s">
        <v>42</v>
      </c>
      <c r="R286" s="79" t="s">
        <v>613</v>
      </c>
      <c r="S286" s="2">
        <v>1</v>
      </c>
      <c r="T286" s="26">
        <v>13</v>
      </c>
      <c r="U286" s="77">
        <v>1</v>
      </c>
      <c r="V286" s="26">
        <v>0</v>
      </c>
      <c r="W286" s="26">
        <v>1</v>
      </c>
      <c r="X286" s="26">
        <v>0</v>
      </c>
      <c r="Y286" s="26">
        <v>0</v>
      </c>
      <c r="Z286" s="26">
        <v>0</v>
      </c>
      <c r="AA286" s="26">
        <v>0</v>
      </c>
      <c r="AB286" s="26">
        <v>0</v>
      </c>
      <c r="AC286" s="33" t="s">
        <v>70</v>
      </c>
      <c r="AD286" s="33" t="s">
        <v>70</v>
      </c>
      <c r="AE286" s="33" t="s">
        <v>70</v>
      </c>
      <c r="AF286" s="33" t="s">
        <v>70</v>
      </c>
      <c r="AG286" s="33" t="s">
        <v>70</v>
      </c>
      <c r="AH286" s="33" t="s">
        <v>70</v>
      </c>
      <c r="AI286" s="33" t="s">
        <v>70</v>
      </c>
      <c r="AJ286" s="33" t="s">
        <v>70</v>
      </c>
      <c r="AK286" s="33" t="s">
        <v>70</v>
      </c>
      <c r="AL286" s="33" t="s">
        <v>70</v>
      </c>
      <c r="AM286" s="35" t="s">
        <v>175</v>
      </c>
      <c r="AN286" s="26" t="s">
        <v>274</v>
      </c>
      <c r="AO286" s="35" t="s">
        <v>548</v>
      </c>
      <c r="AP286" s="35" t="s">
        <v>175</v>
      </c>
      <c r="AQ286" s="35" t="s">
        <v>548</v>
      </c>
      <c r="AR286" s="35" t="s">
        <v>548</v>
      </c>
      <c r="AS286" s="26" t="s">
        <v>548</v>
      </c>
      <c r="AT286" s="26" t="s">
        <v>548</v>
      </c>
      <c r="AU286" s="40" t="s">
        <v>548</v>
      </c>
      <c r="AV286" s="26">
        <v>3</v>
      </c>
    </row>
    <row r="287" spans="1:2089" s="41" customFormat="1" ht="14" customHeight="1">
      <c r="A287" s="27">
        <v>286</v>
      </c>
      <c r="B287" s="27" t="s">
        <v>411</v>
      </c>
      <c r="C287" s="37">
        <v>2007</v>
      </c>
      <c r="D287" s="26" t="s">
        <v>49</v>
      </c>
      <c r="E287" s="26" t="s">
        <v>566</v>
      </c>
      <c r="F287" s="77" t="s">
        <v>175</v>
      </c>
      <c r="G287" s="2" t="s">
        <v>84</v>
      </c>
      <c r="H287" s="2" t="s">
        <v>30</v>
      </c>
      <c r="I287" s="2" t="s">
        <v>548</v>
      </c>
      <c r="J287" s="2" t="s">
        <v>604</v>
      </c>
      <c r="K287" s="2" t="s">
        <v>548</v>
      </c>
      <c r="L287" s="2" t="s">
        <v>548</v>
      </c>
      <c r="M287" s="2" t="s">
        <v>175</v>
      </c>
      <c r="N287" s="2" t="s">
        <v>609</v>
      </c>
      <c r="O287" s="2" t="s">
        <v>60</v>
      </c>
      <c r="P287" s="2" t="s">
        <v>609</v>
      </c>
      <c r="Q287" s="2" t="s">
        <v>42</v>
      </c>
      <c r="R287" s="79" t="s">
        <v>613</v>
      </c>
      <c r="S287" s="2">
        <v>0.60899999999999999</v>
      </c>
      <c r="T287" s="26">
        <v>115</v>
      </c>
      <c r="U287" s="77">
        <v>1</v>
      </c>
      <c r="V287" s="26">
        <v>0</v>
      </c>
      <c r="W287" s="26">
        <v>1</v>
      </c>
      <c r="X287" s="26">
        <v>0</v>
      </c>
      <c r="Y287" s="26">
        <v>1</v>
      </c>
      <c r="Z287" s="26">
        <v>0</v>
      </c>
      <c r="AA287" s="26">
        <v>0</v>
      </c>
      <c r="AB287" s="26">
        <v>0</v>
      </c>
      <c r="AC287" s="26" t="s">
        <v>70</v>
      </c>
      <c r="AD287" s="26" t="s">
        <v>70</v>
      </c>
      <c r="AE287" s="26" t="s">
        <v>70</v>
      </c>
      <c r="AF287" s="26" t="s">
        <v>70</v>
      </c>
      <c r="AG287" s="33">
        <v>151.4</v>
      </c>
      <c r="AH287" s="26" t="s">
        <v>70</v>
      </c>
      <c r="AI287" s="26" t="s">
        <v>70</v>
      </c>
      <c r="AJ287" s="26" t="s">
        <v>196</v>
      </c>
      <c r="AK287" s="26" t="s">
        <v>70</v>
      </c>
      <c r="AL287" s="26" t="s">
        <v>70</v>
      </c>
      <c r="AM287" s="35" t="s">
        <v>175</v>
      </c>
      <c r="AN287" s="26" t="s">
        <v>274</v>
      </c>
      <c r="AO287" s="35" t="s">
        <v>548</v>
      </c>
      <c r="AP287" s="35" t="s">
        <v>548</v>
      </c>
      <c r="AQ287" s="35" t="s">
        <v>548</v>
      </c>
      <c r="AR287" s="35" t="s">
        <v>548</v>
      </c>
      <c r="AS287" s="26" t="s">
        <v>175</v>
      </c>
      <c r="AT287" s="26" t="s">
        <v>70</v>
      </c>
      <c r="AU287" s="26" t="s">
        <v>70</v>
      </c>
      <c r="AV287" s="26">
        <v>6</v>
      </c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  <c r="GR287" s="26"/>
      <c r="GS287" s="26"/>
      <c r="GT287" s="26"/>
      <c r="GU287" s="26"/>
      <c r="GV287" s="26"/>
      <c r="GW287" s="26"/>
      <c r="GX287" s="26"/>
      <c r="GY287" s="26"/>
      <c r="GZ287" s="26"/>
      <c r="HA287" s="26"/>
      <c r="HB287" s="26"/>
      <c r="HC287" s="26"/>
      <c r="HD287" s="26"/>
      <c r="HE287" s="26"/>
      <c r="HF287" s="26"/>
      <c r="HG287" s="26"/>
      <c r="HH287" s="26"/>
      <c r="HI287" s="26"/>
      <c r="HJ287" s="26"/>
      <c r="HK287" s="26"/>
      <c r="HL287" s="26"/>
      <c r="HM287" s="26"/>
      <c r="HN287" s="26"/>
      <c r="HO287" s="26"/>
      <c r="HP287" s="26"/>
      <c r="HQ287" s="26"/>
      <c r="HR287" s="26"/>
      <c r="HS287" s="26"/>
      <c r="HT287" s="26"/>
      <c r="HU287" s="26"/>
      <c r="HV287" s="26"/>
      <c r="HW287" s="26"/>
      <c r="HX287" s="26"/>
      <c r="HY287" s="26"/>
      <c r="HZ287" s="26"/>
      <c r="IA287" s="26"/>
      <c r="IB287" s="26"/>
      <c r="IC287" s="26"/>
      <c r="ID287" s="26"/>
      <c r="IE287" s="26"/>
      <c r="IF287" s="26"/>
      <c r="IG287" s="26"/>
      <c r="IH287" s="26"/>
      <c r="II287" s="26"/>
      <c r="IJ287" s="26"/>
      <c r="IK287" s="26"/>
      <c r="IL287" s="26"/>
      <c r="IM287" s="26"/>
      <c r="IN287" s="26"/>
      <c r="IO287" s="26"/>
      <c r="IP287" s="26"/>
      <c r="IQ287" s="26"/>
      <c r="IR287" s="26"/>
      <c r="IS287" s="26"/>
      <c r="IT287" s="26"/>
      <c r="IU287" s="26"/>
      <c r="IV287" s="26"/>
      <c r="IW287" s="26"/>
      <c r="IX287" s="26"/>
      <c r="IY287" s="26"/>
      <c r="IZ287" s="26"/>
      <c r="JA287" s="26"/>
      <c r="JB287" s="26"/>
      <c r="JC287" s="26"/>
      <c r="JD287" s="26"/>
      <c r="JE287" s="26"/>
      <c r="JF287" s="26"/>
      <c r="JG287" s="26"/>
      <c r="JH287" s="26"/>
      <c r="JI287" s="26"/>
      <c r="JJ287" s="26"/>
      <c r="JK287" s="26"/>
      <c r="JL287" s="26"/>
      <c r="JM287" s="26"/>
      <c r="JN287" s="26"/>
      <c r="JO287" s="26"/>
      <c r="JP287" s="26"/>
      <c r="JQ287" s="26"/>
      <c r="JR287" s="26"/>
      <c r="JS287" s="26"/>
      <c r="JT287" s="26"/>
      <c r="JU287" s="26"/>
      <c r="JV287" s="26"/>
      <c r="JW287" s="26"/>
      <c r="JX287" s="26"/>
      <c r="JY287" s="26"/>
      <c r="JZ287" s="26"/>
      <c r="KA287" s="26"/>
      <c r="KB287" s="26"/>
      <c r="KC287" s="26"/>
      <c r="KD287" s="26"/>
      <c r="KE287" s="26"/>
      <c r="KF287" s="26"/>
      <c r="KG287" s="26"/>
      <c r="KH287" s="26"/>
      <c r="KI287" s="26"/>
      <c r="KJ287" s="26"/>
      <c r="KK287" s="26"/>
      <c r="KL287" s="26"/>
      <c r="KM287" s="26"/>
      <c r="KN287" s="26"/>
      <c r="KO287" s="26"/>
      <c r="KP287" s="26"/>
      <c r="KQ287" s="26"/>
      <c r="KR287" s="26"/>
      <c r="KS287" s="26"/>
      <c r="KT287" s="26"/>
      <c r="KU287" s="26"/>
      <c r="KV287" s="26"/>
      <c r="KW287" s="26"/>
      <c r="KX287" s="26"/>
      <c r="KY287" s="26"/>
      <c r="KZ287" s="26"/>
      <c r="LA287" s="26"/>
      <c r="LB287" s="26"/>
      <c r="LC287" s="26"/>
      <c r="LD287" s="26"/>
      <c r="LE287" s="26"/>
      <c r="LF287" s="26"/>
      <c r="LG287" s="26"/>
      <c r="LH287" s="26"/>
      <c r="LI287" s="26"/>
      <c r="LJ287" s="26"/>
      <c r="LK287" s="26"/>
      <c r="LL287" s="26"/>
      <c r="LM287" s="26"/>
      <c r="LN287" s="26"/>
      <c r="LO287" s="26"/>
      <c r="LP287" s="26"/>
      <c r="LQ287" s="26"/>
      <c r="LR287" s="26"/>
      <c r="LS287" s="26"/>
      <c r="LT287" s="26"/>
      <c r="LU287" s="26"/>
      <c r="LV287" s="26"/>
      <c r="LW287" s="26"/>
      <c r="LX287" s="26"/>
      <c r="LY287" s="26"/>
      <c r="LZ287" s="26"/>
      <c r="MA287" s="26"/>
      <c r="MB287" s="26"/>
      <c r="MC287" s="26"/>
      <c r="MD287" s="26"/>
      <c r="ME287" s="26"/>
      <c r="MF287" s="26"/>
      <c r="MG287" s="26"/>
      <c r="MH287" s="26"/>
      <c r="MI287" s="26"/>
      <c r="MJ287" s="26"/>
      <c r="MK287" s="26"/>
      <c r="ML287" s="26"/>
      <c r="MM287" s="26"/>
      <c r="MN287" s="26"/>
      <c r="MO287" s="26"/>
      <c r="MP287" s="26"/>
      <c r="MQ287" s="26"/>
      <c r="MR287" s="26"/>
      <c r="MS287" s="26"/>
      <c r="MT287" s="26"/>
      <c r="MU287" s="26"/>
      <c r="MV287" s="26"/>
      <c r="MW287" s="26"/>
      <c r="MX287" s="26"/>
      <c r="MY287" s="26"/>
      <c r="MZ287" s="26"/>
      <c r="NA287" s="26"/>
      <c r="NB287" s="26"/>
      <c r="NC287" s="26"/>
      <c r="ND287" s="26"/>
      <c r="NE287" s="26"/>
      <c r="NF287" s="26"/>
      <c r="NG287" s="26"/>
      <c r="NH287" s="26"/>
      <c r="NI287" s="26"/>
      <c r="NJ287" s="26"/>
      <c r="NK287" s="26"/>
      <c r="NL287" s="26"/>
      <c r="NM287" s="26"/>
      <c r="NN287" s="26"/>
      <c r="NO287" s="26"/>
      <c r="NP287" s="26"/>
      <c r="NQ287" s="26"/>
      <c r="NR287" s="26"/>
      <c r="NS287" s="26"/>
      <c r="NT287" s="26"/>
      <c r="NU287" s="26"/>
      <c r="NV287" s="26"/>
      <c r="NW287" s="26"/>
      <c r="NX287" s="26"/>
      <c r="NY287" s="26"/>
      <c r="NZ287" s="26"/>
      <c r="OA287" s="26"/>
      <c r="OB287" s="26"/>
      <c r="OC287" s="26"/>
      <c r="OD287" s="26"/>
      <c r="OE287" s="26"/>
      <c r="OF287" s="26"/>
      <c r="OG287" s="26"/>
      <c r="OH287" s="26"/>
      <c r="OI287" s="26"/>
      <c r="OJ287" s="26"/>
      <c r="OK287" s="26"/>
      <c r="OL287" s="26"/>
      <c r="OM287" s="26"/>
      <c r="ON287" s="26"/>
      <c r="OO287" s="26"/>
      <c r="OP287" s="26"/>
      <c r="OQ287" s="26"/>
      <c r="OR287" s="26"/>
      <c r="OS287" s="26"/>
      <c r="OT287" s="26"/>
      <c r="OU287" s="26"/>
      <c r="OV287" s="26"/>
      <c r="OW287" s="26"/>
      <c r="OX287" s="26"/>
      <c r="OY287" s="26"/>
      <c r="OZ287" s="26"/>
      <c r="PA287" s="26"/>
      <c r="PB287" s="26"/>
      <c r="PC287" s="26"/>
      <c r="PD287" s="26"/>
      <c r="PE287" s="26"/>
      <c r="PF287" s="26"/>
      <c r="PG287" s="26"/>
      <c r="PH287" s="26"/>
      <c r="PI287" s="26"/>
      <c r="PJ287" s="26"/>
      <c r="PK287" s="26"/>
      <c r="PL287" s="26"/>
      <c r="PM287" s="26"/>
      <c r="PN287" s="26"/>
      <c r="PO287" s="26"/>
      <c r="PP287" s="26"/>
      <c r="PQ287" s="26"/>
      <c r="PR287" s="26"/>
      <c r="PS287" s="26"/>
      <c r="PT287" s="26"/>
      <c r="PU287" s="26"/>
      <c r="PV287" s="26"/>
      <c r="PW287" s="26"/>
      <c r="PX287" s="26"/>
      <c r="PY287" s="26"/>
      <c r="PZ287" s="26"/>
      <c r="QA287" s="26"/>
      <c r="QB287" s="26"/>
      <c r="QC287" s="26"/>
      <c r="QD287" s="26"/>
      <c r="QE287" s="26"/>
      <c r="QF287" s="26"/>
      <c r="QG287" s="26"/>
      <c r="QH287" s="26"/>
      <c r="QI287" s="26"/>
      <c r="QJ287" s="26"/>
      <c r="QK287" s="26"/>
      <c r="QL287" s="26"/>
      <c r="QM287" s="26"/>
      <c r="QN287" s="26"/>
      <c r="QO287" s="26"/>
      <c r="QP287" s="26"/>
      <c r="QQ287" s="26"/>
      <c r="QR287" s="26"/>
      <c r="QS287" s="26"/>
      <c r="QT287" s="26"/>
      <c r="QU287" s="26"/>
      <c r="QV287" s="26"/>
      <c r="QW287" s="26"/>
      <c r="QX287" s="26"/>
      <c r="QY287" s="26"/>
      <c r="QZ287" s="26"/>
      <c r="RA287" s="26"/>
      <c r="RB287" s="26"/>
      <c r="RC287" s="26"/>
      <c r="RD287" s="26"/>
      <c r="RE287" s="26"/>
      <c r="RF287" s="26"/>
      <c r="RG287" s="26"/>
      <c r="RH287" s="26"/>
      <c r="RI287" s="26"/>
      <c r="RJ287" s="26"/>
      <c r="RK287" s="26"/>
      <c r="RL287" s="26"/>
      <c r="RM287" s="26"/>
      <c r="RN287" s="26"/>
      <c r="RO287" s="26"/>
      <c r="RP287" s="26"/>
      <c r="RQ287" s="26"/>
      <c r="RR287" s="26"/>
      <c r="RS287" s="26"/>
      <c r="RT287" s="26"/>
      <c r="RU287" s="26"/>
      <c r="RV287" s="26"/>
      <c r="RW287" s="26"/>
      <c r="RX287" s="26"/>
      <c r="RY287" s="26"/>
      <c r="RZ287" s="26"/>
      <c r="SA287" s="26"/>
      <c r="SB287" s="26"/>
      <c r="SC287" s="26"/>
      <c r="SD287" s="26"/>
      <c r="SE287" s="26"/>
      <c r="SF287" s="26"/>
      <c r="SG287" s="26"/>
      <c r="SH287" s="26"/>
      <c r="SI287" s="26"/>
      <c r="SJ287" s="26"/>
      <c r="SK287" s="26"/>
      <c r="SL287" s="26"/>
      <c r="SM287" s="26"/>
      <c r="SN287" s="26"/>
      <c r="SO287" s="26"/>
      <c r="SP287" s="26"/>
      <c r="SQ287" s="26"/>
      <c r="SR287" s="26"/>
      <c r="SS287" s="26"/>
      <c r="ST287" s="26"/>
      <c r="SU287" s="26"/>
      <c r="SV287" s="26"/>
      <c r="SW287" s="26"/>
      <c r="SX287" s="26"/>
      <c r="SY287" s="26"/>
      <c r="SZ287" s="26"/>
      <c r="TA287" s="26"/>
      <c r="TB287" s="26"/>
      <c r="TC287" s="26"/>
      <c r="TD287" s="26"/>
      <c r="TE287" s="26"/>
      <c r="TF287" s="26"/>
      <c r="TG287" s="26"/>
      <c r="TH287" s="26"/>
      <c r="TI287" s="26"/>
      <c r="TJ287" s="26"/>
      <c r="TK287" s="26"/>
      <c r="TL287" s="26"/>
      <c r="TM287" s="26"/>
      <c r="TN287" s="26"/>
      <c r="TO287" s="26"/>
      <c r="TP287" s="26"/>
      <c r="TQ287" s="26"/>
      <c r="TR287" s="26"/>
      <c r="TS287" s="26"/>
      <c r="TT287" s="26"/>
      <c r="TU287" s="26"/>
      <c r="TV287" s="26"/>
      <c r="TW287" s="26"/>
      <c r="TX287" s="26"/>
      <c r="TY287" s="26"/>
      <c r="TZ287" s="26"/>
      <c r="UA287" s="26"/>
      <c r="UB287" s="26"/>
      <c r="UC287" s="26"/>
      <c r="UD287" s="26"/>
      <c r="UE287" s="26"/>
      <c r="UF287" s="26"/>
      <c r="UG287" s="26"/>
      <c r="UH287" s="26"/>
      <c r="UI287" s="26"/>
      <c r="UJ287" s="26"/>
      <c r="UK287" s="26"/>
      <c r="UL287" s="26"/>
      <c r="UM287" s="26"/>
      <c r="UN287" s="26"/>
      <c r="UO287" s="26"/>
      <c r="UP287" s="26"/>
      <c r="UQ287" s="26"/>
      <c r="UR287" s="26"/>
      <c r="US287" s="26"/>
      <c r="UT287" s="26"/>
      <c r="UU287" s="26"/>
      <c r="UV287" s="26"/>
      <c r="UW287" s="26"/>
      <c r="UX287" s="26"/>
      <c r="UY287" s="26"/>
      <c r="UZ287" s="26"/>
      <c r="VA287" s="26"/>
      <c r="VB287" s="26"/>
      <c r="VC287" s="26"/>
      <c r="VD287" s="26"/>
      <c r="VE287" s="26"/>
      <c r="VF287" s="26"/>
      <c r="VG287" s="26"/>
      <c r="VH287" s="26"/>
      <c r="VI287" s="26"/>
      <c r="VJ287" s="26"/>
      <c r="VK287" s="26"/>
      <c r="VL287" s="26"/>
      <c r="VM287" s="26"/>
      <c r="VN287" s="26"/>
      <c r="VO287" s="26"/>
      <c r="VP287" s="26"/>
      <c r="VQ287" s="26"/>
      <c r="VR287" s="26"/>
      <c r="VS287" s="26"/>
      <c r="VT287" s="26"/>
      <c r="VU287" s="26"/>
      <c r="VV287" s="26"/>
      <c r="VW287" s="26"/>
      <c r="VX287" s="26"/>
      <c r="VY287" s="26"/>
      <c r="VZ287" s="26"/>
      <c r="WA287" s="26"/>
      <c r="WB287" s="26"/>
      <c r="WC287" s="26"/>
      <c r="WD287" s="26"/>
      <c r="WE287" s="26"/>
      <c r="WF287" s="26"/>
      <c r="WG287" s="26"/>
      <c r="WH287" s="26"/>
      <c r="WI287" s="26"/>
      <c r="WJ287" s="26"/>
      <c r="WK287" s="26"/>
      <c r="WL287" s="26"/>
      <c r="WM287" s="26"/>
      <c r="WN287" s="26"/>
      <c r="WO287" s="26"/>
      <c r="WP287" s="26"/>
      <c r="WQ287" s="26"/>
      <c r="WR287" s="26"/>
      <c r="WS287" s="26"/>
      <c r="WT287" s="26"/>
      <c r="WU287" s="26"/>
      <c r="WV287" s="26"/>
      <c r="WW287" s="26"/>
      <c r="WX287" s="26"/>
      <c r="WY287" s="26"/>
      <c r="WZ287" s="26"/>
      <c r="XA287" s="26"/>
      <c r="XB287" s="26"/>
      <c r="XC287" s="26"/>
      <c r="XD287" s="26"/>
      <c r="XE287" s="26"/>
      <c r="XF287" s="26"/>
      <c r="XG287" s="26"/>
      <c r="XH287" s="26"/>
      <c r="XI287" s="26"/>
      <c r="XJ287" s="26"/>
      <c r="XK287" s="26"/>
      <c r="XL287" s="26"/>
      <c r="XM287" s="26"/>
      <c r="XN287" s="26"/>
      <c r="XO287" s="26"/>
      <c r="XP287" s="26"/>
      <c r="XQ287" s="26"/>
      <c r="XR287" s="26"/>
      <c r="XS287" s="26"/>
      <c r="XT287" s="26"/>
      <c r="XU287" s="26"/>
      <c r="XV287" s="26"/>
      <c r="XW287" s="26"/>
      <c r="XX287" s="26"/>
      <c r="XY287" s="26"/>
      <c r="XZ287" s="26"/>
      <c r="YA287" s="26"/>
      <c r="YB287" s="26"/>
      <c r="YC287" s="26"/>
      <c r="YD287" s="26"/>
      <c r="YE287" s="26"/>
      <c r="YF287" s="26"/>
      <c r="YG287" s="26"/>
      <c r="YH287" s="26"/>
      <c r="YI287" s="26"/>
      <c r="YJ287" s="26"/>
      <c r="YK287" s="26"/>
      <c r="YL287" s="26"/>
      <c r="YM287" s="26"/>
      <c r="YN287" s="26"/>
      <c r="YO287" s="26"/>
      <c r="YP287" s="26"/>
      <c r="YQ287" s="26"/>
      <c r="YR287" s="26"/>
      <c r="YS287" s="26"/>
      <c r="YT287" s="26"/>
      <c r="YU287" s="26"/>
      <c r="YV287" s="26"/>
      <c r="YW287" s="26"/>
      <c r="YX287" s="26"/>
      <c r="YY287" s="26"/>
      <c r="YZ287" s="26"/>
      <c r="ZA287" s="26"/>
      <c r="ZB287" s="26"/>
      <c r="ZC287" s="26"/>
      <c r="ZD287" s="26"/>
      <c r="ZE287" s="26"/>
      <c r="ZF287" s="26"/>
      <c r="ZG287" s="26"/>
      <c r="ZH287" s="26"/>
      <c r="ZI287" s="26"/>
      <c r="ZJ287" s="26"/>
      <c r="ZK287" s="26"/>
      <c r="ZL287" s="26"/>
      <c r="ZM287" s="26"/>
      <c r="ZN287" s="26"/>
      <c r="ZO287" s="26"/>
      <c r="ZP287" s="26"/>
      <c r="ZQ287" s="26"/>
      <c r="ZR287" s="26"/>
      <c r="ZS287" s="26"/>
      <c r="ZT287" s="26"/>
      <c r="ZU287" s="26"/>
      <c r="ZV287" s="26"/>
      <c r="ZW287" s="26"/>
      <c r="ZX287" s="26"/>
      <c r="ZY287" s="26"/>
      <c r="ZZ287" s="26"/>
      <c r="AAA287" s="26"/>
      <c r="AAB287" s="26"/>
      <c r="AAC287" s="26"/>
      <c r="AAD287" s="26"/>
      <c r="AAE287" s="26"/>
      <c r="AAF287" s="26"/>
      <c r="AAG287" s="26"/>
      <c r="AAH287" s="26"/>
      <c r="AAI287" s="26"/>
      <c r="AAJ287" s="26"/>
      <c r="AAK287" s="26"/>
      <c r="AAL287" s="26"/>
      <c r="AAM287" s="26"/>
      <c r="AAN287" s="26"/>
      <c r="AAO287" s="26"/>
      <c r="AAP287" s="26"/>
      <c r="AAQ287" s="26"/>
      <c r="AAR287" s="26"/>
      <c r="AAS287" s="26"/>
      <c r="AAT287" s="26"/>
      <c r="AAU287" s="26"/>
      <c r="AAV287" s="26"/>
      <c r="AAW287" s="26"/>
      <c r="AAX287" s="26"/>
      <c r="AAY287" s="26"/>
      <c r="AAZ287" s="26"/>
      <c r="ABA287" s="26"/>
      <c r="ABB287" s="26"/>
      <c r="ABC287" s="26"/>
      <c r="ABD287" s="26"/>
      <c r="ABE287" s="26"/>
      <c r="ABF287" s="26"/>
      <c r="ABG287" s="26"/>
      <c r="ABH287" s="26"/>
      <c r="ABI287" s="26"/>
      <c r="ABJ287" s="26"/>
      <c r="ABK287" s="26"/>
      <c r="ABL287" s="26"/>
      <c r="ABM287" s="26"/>
      <c r="ABN287" s="26"/>
      <c r="ABO287" s="26"/>
      <c r="ABP287" s="26"/>
      <c r="ABQ287" s="26"/>
      <c r="ABR287" s="26"/>
      <c r="ABS287" s="26"/>
      <c r="ABT287" s="26"/>
      <c r="ABU287" s="26"/>
      <c r="ABV287" s="26"/>
      <c r="ABW287" s="26"/>
      <c r="ABX287" s="26"/>
      <c r="ABY287" s="26"/>
      <c r="ABZ287" s="26"/>
      <c r="ACA287" s="26"/>
      <c r="ACB287" s="26"/>
      <c r="ACC287" s="26"/>
      <c r="ACD287" s="26"/>
      <c r="ACE287" s="26"/>
      <c r="ACF287" s="26"/>
      <c r="ACG287" s="26"/>
      <c r="ACH287" s="26"/>
      <c r="ACI287" s="26"/>
      <c r="ACJ287" s="26"/>
      <c r="ACK287" s="26"/>
      <c r="ACL287" s="26"/>
      <c r="ACM287" s="26"/>
      <c r="ACN287" s="26"/>
      <c r="ACO287" s="26"/>
      <c r="ACP287" s="26"/>
      <c r="ACQ287" s="26"/>
      <c r="ACR287" s="26"/>
      <c r="ACS287" s="26"/>
      <c r="ACT287" s="26"/>
      <c r="ACU287" s="26"/>
      <c r="ACV287" s="26"/>
      <c r="ACW287" s="26"/>
      <c r="ACX287" s="26"/>
      <c r="ACY287" s="26"/>
      <c r="ACZ287" s="26"/>
      <c r="ADA287" s="26"/>
      <c r="ADB287" s="26"/>
      <c r="ADC287" s="26"/>
      <c r="ADD287" s="26"/>
      <c r="ADE287" s="26"/>
      <c r="ADF287" s="26"/>
      <c r="ADG287" s="26"/>
      <c r="ADH287" s="26"/>
      <c r="ADI287" s="26"/>
      <c r="ADJ287" s="26"/>
      <c r="ADK287" s="26"/>
      <c r="ADL287" s="26"/>
      <c r="ADM287" s="26"/>
      <c r="ADN287" s="26"/>
      <c r="ADO287" s="26"/>
      <c r="ADP287" s="26"/>
      <c r="ADQ287" s="26"/>
      <c r="ADR287" s="26"/>
      <c r="ADS287" s="26"/>
      <c r="ADT287" s="26"/>
      <c r="ADU287" s="26"/>
      <c r="ADV287" s="26"/>
      <c r="ADW287" s="26"/>
      <c r="ADX287" s="26"/>
      <c r="ADY287" s="26"/>
      <c r="ADZ287" s="26"/>
      <c r="AEA287" s="26"/>
      <c r="AEB287" s="26"/>
      <c r="AEC287" s="26"/>
      <c r="AED287" s="26"/>
      <c r="AEE287" s="26"/>
      <c r="AEF287" s="26"/>
      <c r="AEG287" s="26"/>
      <c r="AEH287" s="26"/>
      <c r="AEI287" s="26"/>
      <c r="AEJ287" s="26"/>
      <c r="AEK287" s="26"/>
      <c r="AEL287" s="26"/>
      <c r="AEM287" s="26"/>
      <c r="AEN287" s="26"/>
      <c r="AEO287" s="26"/>
      <c r="AEP287" s="26"/>
      <c r="AEQ287" s="26"/>
      <c r="AER287" s="26"/>
      <c r="AES287" s="26"/>
      <c r="AET287" s="26"/>
      <c r="AEU287" s="26"/>
      <c r="AEV287" s="26"/>
      <c r="AEW287" s="26"/>
      <c r="AEX287" s="26"/>
      <c r="AEY287" s="26"/>
      <c r="AEZ287" s="26"/>
      <c r="AFA287" s="26"/>
      <c r="AFB287" s="26"/>
      <c r="AFC287" s="26"/>
      <c r="AFD287" s="26"/>
      <c r="AFE287" s="26"/>
      <c r="AFF287" s="26"/>
      <c r="AFG287" s="26"/>
      <c r="AFH287" s="26"/>
      <c r="AFI287" s="26"/>
      <c r="AFJ287" s="26"/>
      <c r="AFK287" s="26"/>
      <c r="AFL287" s="26"/>
      <c r="AFM287" s="26"/>
      <c r="AFN287" s="26"/>
      <c r="AFO287" s="26"/>
      <c r="AFP287" s="26"/>
      <c r="AFQ287" s="26"/>
      <c r="AFR287" s="26"/>
      <c r="AFS287" s="26"/>
      <c r="AFT287" s="26"/>
      <c r="AFU287" s="26"/>
      <c r="AFV287" s="26"/>
      <c r="AFW287" s="26"/>
      <c r="AFX287" s="26"/>
      <c r="AFY287" s="26"/>
      <c r="AFZ287" s="26"/>
      <c r="AGA287" s="26"/>
      <c r="AGB287" s="26"/>
      <c r="AGC287" s="26"/>
      <c r="AGD287" s="26"/>
      <c r="AGE287" s="26"/>
      <c r="AGF287" s="26"/>
      <c r="AGG287" s="26"/>
      <c r="AGH287" s="26"/>
      <c r="AGI287" s="26"/>
      <c r="AGJ287" s="26"/>
      <c r="AGK287" s="26"/>
      <c r="AGL287" s="26"/>
      <c r="AGM287" s="26"/>
      <c r="AGN287" s="26"/>
      <c r="AGO287" s="26"/>
      <c r="AGP287" s="26"/>
      <c r="AGQ287" s="26"/>
      <c r="AGR287" s="26"/>
      <c r="AGS287" s="26"/>
      <c r="AGT287" s="26"/>
      <c r="AGU287" s="26"/>
      <c r="AGV287" s="26"/>
      <c r="AGW287" s="26"/>
      <c r="AGX287" s="26"/>
      <c r="AGY287" s="26"/>
      <c r="AGZ287" s="26"/>
      <c r="AHA287" s="26"/>
      <c r="AHB287" s="26"/>
      <c r="AHC287" s="26"/>
      <c r="AHD287" s="26"/>
      <c r="AHE287" s="26"/>
      <c r="AHF287" s="26"/>
      <c r="AHG287" s="26"/>
      <c r="AHH287" s="26"/>
      <c r="AHI287" s="26"/>
      <c r="AHJ287" s="26"/>
      <c r="AHK287" s="26"/>
      <c r="AHL287" s="26"/>
      <c r="AHM287" s="26"/>
      <c r="AHN287" s="26"/>
      <c r="AHO287" s="26"/>
      <c r="AHP287" s="26"/>
      <c r="AHQ287" s="26"/>
      <c r="AHR287" s="26"/>
      <c r="AHS287" s="26"/>
      <c r="AHT287" s="26"/>
      <c r="AHU287" s="26"/>
      <c r="AHV287" s="26"/>
      <c r="AHW287" s="26"/>
      <c r="AHX287" s="26"/>
      <c r="AHY287" s="26"/>
      <c r="AHZ287" s="26"/>
      <c r="AIA287" s="26"/>
      <c r="AIB287" s="26"/>
      <c r="AIC287" s="26"/>
      <c r="AID287" s="26"/>
      <c r="AIE287" s="26"/>
      <c r="AIF287" s="26"/>
      <c r="AIG287" s="26"/>
      <c r="AIH287" s="26"/>
      <c r="AII287" s="26"/>
      <c r="AIJ287" s="26"/>
      <c r="AIK287" s="26"/>
      <c r="AIL287" s="26"/>
      <c r="AIM287" s="26"/>
      <c r="AIN287" s="26"/>
      <c r="AIO287" s="26"/>
      <c r="AIP287" s="26"/>
      <c r="AIQ287" s="26"/>
      <c r="AIR287" s="26"/>
      <c r="AIS287" s="26"/>
      <c r="AIT287" s="26"/>
      <c r="AIU287" s="26"/>
      <c r="AIV287" s="26"/>
      <c r="AIW287" s="26"/>
      <c r="AIX287" s="26"/>
      <c r="AIY287" s="26"/>
      <c r="AIZ287" s="26"/>
      <c r="AJA287" s="26"/>
      <c r="AJB287" s="26"/>
      <c r="AJC287" s="26"/>
      <c r="AJD287" s="26"/>
      <c r="AJE287" s="26"/>
      <c r="AJF287" s="26"/>
      <c r="AJG287" s="26"/>
      <c r="AJH287" s="26"/>
      <c r="AJI287" s="26"/>
      <c r="AJJ287" s="26"/>
      <c r="AJK287" s="26"/>
      <c r="AJL287" s="26"/>
      <c r="AJM287" s="26"/>
      <c r="AJN287" s="26"/>
      <c r="AJO287" s="26"/>
      <c r="AJP287" s="26"/>
      <c r="AJQ287" s="26"/>
      <c r="AJR287" s="26"/>
      <c r="AJS287" s="26"/>
      <c r="AJT287" s="26"/>
      <c r="AJU287" s="26"/>
      <c r="AJV287" s="26"/>
      <c r="AJW287" s="26"/>
      <c r="AJX287" s="26"/>
      <c r="AJY287" s="26"/>
      <c r="AJZ287" s="26"/>
      <c r="AKA287" s="26"/>
      <c r="AKB287" s="26"/>
      <c r="AKC287" s="26"/>
      <c r="AKD287" s="26"/>
      <c r="AKE287" s="26"/>
      <c r="AKF287" s="26"/>
      <c r="AKG287" s="26"/>
      <c r="AKH287" s="26"/>
      <c r="AKI287" s="26"/>
      <c r="AKJ287" s="26"/>
      <c r="AKK287" s="26"/>
      <c r="AKL287" s="26"/>
      <c r="AKM287" s="26"/>
      <c r="AKN287" s="26"/>
      <c r="AKO287" s="26"/>
      <c r="AKP287" s="26"/>
      <c r="AKQ287" s="26"/>
      <c r="AKR287" s="26"/>
      <c r="AKS287" s="26"/>
      <c r="AKT287" s="26"/>
      <c r="AKU287" s="26"/>
      <c r="AKV287" s="26"/>
      <c r="AKW287" s="26"/>
      <c r="AKX287" s="26"/>
      <c r="AKY287" s="26"/>
      <c r="AKZ287" s="26"/>
      <c r="ALA287" s="26"/>
      <c r="ALB287" s="26"/>
      <c r="ALC287" s="26"/>
      <c r="ALD287" s="26"/>
      <c r="ALE287" s="26"/>
      <c r="ALF287" s="26"/>
      <c r="ALG287" s="26"/>
      <c r="ALH287" s="26"/>
      <c r="ALI287" s="26"/>
      <c r="ALJ287" s="26"/>
      <c r="ALK287" s="26"/>
      <c r="ALL287" s="26"/>
      <c r="ALM287" s="26"/>
      <c r="ALN287" s="26"/>
      <c r="ALO287" s="26"/>
      <c r="ALP287" s="26"/>
      <c r="ALQ287" s="26"/>
      <c r="ALR287" s="26"/>
      <c r="ALS287" s="26"/>
      <c r="ALT287" s="26"/>
      <c r="ALU287" s="26"/>
      <c r="ALV287" s="26"/>
      <c r="ALW287" s="26"/>
      <c r="ALX287" s="26"/>
      <c r="ALY287" s="26"/>
      <c r="ALZ287" s="26"/>
      <c r="AMA287" s="26"/>
      <c r="AMB287" s="26"/>
      <c r="AMC287" s="26"/>
      <c r="AMD287" s="26"/>
      <c r="AME287" s="26"/>
      <c r="AMF287" s="26"/>
      <c r="AMG287" s="26"/>
      <c r="AMH287" s="26"/>
      <c r="AMI287" s="26"/>
      <c r="AMJ287" s="26"/>
      <c r="AMK287" s="26"/>
      <c r="AML287" s="26"/>
      <c r="AMM287" s="26"/>
      <c r="AMN287" s="26"/>
      <c r="AMO287" s="26"/>
      <c r="AMP287" s="26"/>
      <c r="AMQ287" s="26"/>
      <c r="AMR287" s="26"/>
      <c r="AMS287" s="26"/>
      <c r="AMT287" s="26"/>
      <c r="AMU287" s="26"/>
      <c r="AMV287" s="26"/>
      <c r="AMW287" s="26"/>
      <c r="AMX287" s="26"/>
      <c r="AMY287" s="26"/>
      <c r="AMZ287" s="26"/>
      <c r="ANA287" s="26"/>
      <c r="ANB287" s="26"/>
      <c r="ANC287" s="26"/>
      <c r="AND287" s="26"/>
      <c r="ANE287" s="26"/>
      <c r="ANF287" s="26"/>
      <c r="ANG287" s="26"/>
      <c r="ANH287" s="26"/>
      <c r="ANI287" s="26"/>
      <c r="ANJ287" s="26"/>
      <c r="ANK287" s="26"/>
      <c r="ANL287" s="26"/>
      <c r="ANM287" s="26"/>
      <c r="ANN287" s="26"/>
      <c r="ANO287" s="26"/>
      <c r="ANP287" s="26"/>
      <c r="ANQ287" s="26"/>
      <c r="ANR287" s="26"/>
      <c r="ANS287" s="26"/>
      <c r="ANT287" s="26"/>
      <c r="ANU287" s="26"/>
      <c r="ANV287" s="26"/>
      <c r="ANW287" s="26"/>
      <c r="ANX287" s="26"/>
      <c r="ANY287" s="26"/>
      <c r="ANZ287" s="26"/>
      <c r="AOA287" s="26"/>
      <c r="AOB287" s="26"/>
      <c r="AOC287" s="26"/>
      <c r="AOD287" s="26"/>
      <c r="AOE287" s="26"/>
      <c r="AOF287" s="26"/>
      <c r="AOG287" s="26"/>
      <c r="AOH287" s="26"/>
      <c r="AOI287" s="26"/>
      <c r="AOJ287" s="26"/>
      <c r="AOK287" s="26"/>
      <c r="AOL287" s="26"/>
      <c r="AOM287" s="26"/>
      <c r="AON287" s="26"/>
      <c r="AOO287" s="26"/>
      <c r="AOP287" s="26"/>
      <c r="AOQ287" s="26"/>
      <c r="AOR287" s="26"/>
      <c r="AOS287" s="26"/>
      <c r="AOT287" s="26"/>
      <c r="AOU287" s="26"/>
      <c r="AOV287" s="26"/>
      <c r="AOW287" s="26"/>
      <c r="AOX287" s="26"/>
      <c r="AOY287" s="26"/>
      <c r="AOZ287" s="26"/>
      <c r="APA287" s="26"/>
      <c r="APB287" s="26"/>
      <c r="APC287" s="26"/>
      <c r="APD287" s="26"/>
      <c r="APE287" s="26"/>
      <c r="APF287" s="26"/>
      <c r="APG287" s="26"/>
      <c r="APH287" s="26"/>
      <c r="API287" s="26"/>
      <c r="APJ287" s="26"/>
      <c r="APK287" s="26"/>
      <c r="APL287" s="26"/>
      <c r="APM287" s="26"/>
      <c r="APN287" s="26"/>
      <c r="APO287" s="26"/>
      <c r="APP287" s="26"/>
      <c r="APQ287" s="26"/>
      <c r="APR287" s="26"/>
      <c r="APS287" s="26"/>
      <c r="APT287" s="26"/>
      <c r="APU287" s="26"/>
      <c r="APV287" s="26"/>
      <c r="APW287" s="26"/>
      <c r="APX287" s="26"/>
      <c r="APY287" s="26"/>
      <c r="APZ287" s="26"/>
      <c r="AQA287" s="26"/>
      <c r="AQB287" s="26"/>
      <c r="AQC287" s="26"/>
      <c r="AQD287" s="26"/>
      <c r="AQE287" s="26"/>
      <c r="AQF287" s="26"/>
      <c r="AQG287" s="26"/>
      <c r="AQH287" s="26"/>
      <c r="AQI287" s="26"/>
      <c r="AQJ287" s="26"/>
      <c r="AQK287" s="26"/>
      <c r="AQL287" s="26"/>
      <c r="AQM287" s="26"/>
      <c r="AQN287" s="26"/>
      <c r="AQO287" s="26"/>
      <c r="AQP287" s="26"/>
      <c r="AQQ287" s="26"/>
      <c r="AQR287" s="26"/>
      <c r="AQS287" s="26"/>
      <c r="AQT287" s="26"/>
      <c r="AQU287" s="26"/>
      <c r="AQV287" s="26"/>
      <c r="AQW287" s="26"/>
      <c r="AQX287" s="26"/>
      <c r="AQY287" s="26"/>
      <c r="AQZ287" s="26"/>
      <c r="ARA287" s="26"/>
      <c r="ARB287" s="26"/>
      <c r="ARC287" s="26"/>
      <c r="ARD287" s="26"/>
      <c r="ARE287" s="26"/>
      <c r="ARF287" s="26"/>
      <c r="ARG287" s="26"/>
      <c r="ARH287" s="26"/>
      <c r="ARI287" s="26"/>
      <c r="ARJ287" s="26"/>
      <c r="ARK287" s="26"/>
      <c r="ARL287" s="26"/>
      <c r="ARM287" s="26"/>
      <c r="ARN287" s="26"/>
      <c r="ARO287" s="26"/>
      <c r="ARP287" s="26"/>
      <c r="ARQ287" s="26"/>
      <c r="ARR287" s="26"/>
      <c r="ARS287" s="26"/>
      <c r="ART287" s="26"/>
      <c r="ARU287" s="26"/>
      <c r="ARV287" s="26"/>
      <c r="ARW287" s="26"/>
      <c r="ARX287" s="26"/>
      <c r="ARY287" s="26"/>
      <c r="ARZ287" s="26"/>
      <c r="ASA287" s="26"/>
      <c r="ASB287" s="26"/>
      <c r="ASC287" s="26"/>
      <c r="ASD287" s="26"/>
      <c r="ASE287" s="26"/>
      <c r="ASF287" s="26"/>
      <c r="ASG287" s="26"/>
      <c r="ASH287" s="26"/>
      <c r="ASI287" s="26"/>
      <c r="ASJ287" s="26"/>
      <c r="ASK287" s="26"/>
      <c r="ASL287" s="26"/>
      <c r="ASM287" s="26"/>
      <c r="ASN287" s="26"/>
      <c r="ASO287" s="26"/>
      <c r="ASP287" s="26"/>
      <c r="ASQ287" s="26"/>
      <c r="ASR287" s="26"/>
      <c r="ASS287" s="26"/>
      <c r="AST287" s="26"/>
      <c r="ASU287" s="26"/>
      <c r="ASV287" s="26"/>
      <c r="ASW287" s="26"/>
      <c r="ASX287" s="26"/>
      <c r="ASY287" s="26"/>
      <c r="ASZ287" s="26"/>
      <c r="ATA287" s="26"/>
      <c r="ATB287" s="26"/>
      <c r="ATC287" s="26"/>
      <c r="ATD287" s="26"/>
      <c r="ATE287" s="26"/>
      <c r="ATF287" s="26"/>
      <c r="ATG287" s="26"/>
      <c r="ATH287" s="26"/>
      <c r="ATI287" s="26"/>
      <c r="ATJ287" s="26"/>
      <c r="ATK287" s="26"/>
      <c r="ATL287" s="26"/>
      <c r="ATM287" s="26"/>
      <c r="ATN287" s="26"/>
      <c r="ATO287" s="26"/>
      <c r="ATP287" s="26"/>
      <c r="ATQ287" s="26"/>
      <c r="ATR287" s="26"/>
      <c r="ATS287" s="26"/>
      <c r="ATT287" s="26"/>
      <c r="ATU287" s="26"/>
      <c r="ATV287" s="26"/>
      <c r="ATW287" s="26"/>
      <c r="ATX287" s="26"/>
      <c r="ATY287" s="26"/>
      <c r="ATZ287" s="26"/>
      <c r="AUA287" s="26"/>
      <c r="AUB287" s="26"/>
      <c r="AUC287" s="26"/>
      <c r="AUD287" s="26"/>
      <c r="AUE287" s="26"/>
      <c r="AUF287" s="26"/>
      <c r="AUG287" s="26"/>
      <c r="AUH287" s="26"/>
      <c r="AUI287" s="26"/>
      <c r="AUJ287" s="26"/>
      <c r="AUK287" s="26"/>
      <c r="AUL287" s="26"/>
      <c r="AUM287" s="26"/>
      <c r="AUN287" s="26"/>
      <c r="AUO287" s="26"/>
      <c r="AUP287" s="26"/>
      <c r="AUQ287" s="26"/>
      <c r="AUR287" s="26"/>
      <c r="AUS287" s="26"/>
      <c r="AUT287" s="26"/>
      <c r="AUU287" s="26"/>
      <c r="AUV287" s="26"/>
      <c r="AUW287" s="26"/>
      <c r="AUX287" s="26"/>
      <c r="AUY287" s="26"/>
      <c r="AUZ287" s="26"/>
      <c r="AVA287" s="26"/>
      <c r="AVB287" s="26"/>
      <c r="AVC287" s="26"/>
      <c r="AVD287" s="26"/>
      <c r="AVE287" s="26"/>
      <c r="AVF287" s="26"/>
      <c r="AVG287" s="26"/>
      <c r="AVH287" s="26"/>
      <c r="AVI287" s="26"/>
      <c r="AVJ287" s="26"/>
      <c r="AVK287" s="26"/>
      <c r="AVL287" s="26"/>
      <c r="AVM287" s="26"/>
      <c r="AVN287" s="26"/>
      <c r="AVO287" s="26"/>
      <c r="AVP287" s="26"/>
      <c r="AVQ287" s="26"/>
      <c r="AVR287" s="26"/>
      <c r="AVS287" s="26"/>
      <c r="AVT287" s="26"/>
      <c r="AVU287" s="26"/>
      <c r="AVV287" s="26"/>
      <c r="AVW287" s="26"/>
      <c r="AVX287" s="26"/>
      <c r="AVY287" s="26"/>
      <c r="AVZ287" s="26"/>
      <c r="AWA287" s="26"/>
      <c r="AWB287" s="26"/>
      <c r="AWC287" s="26"/>
      <c r="AWD287" s="26"/>
      <c r="AWE287" s="26"/>
      <c r="AWF287" s="26"/>
      <c r="AWG287" s="26"/>
      <c r="AWH287" s="26"/>
      <c r="AWI287" s="26"/>
      <c r="AWJ287" s="26"/>
      <c r="AWK287" s="26"/>
      <c r="AWL287" s="26"/>
      <c r="AWM287" s="26"/>
      <c r="AWN287" s="26"/>
      <c r="AWO287" s="26"/>
      <c r="AWP287" s="26"/>
      <c r="AWQ287" s="26"/>
      <c r="AWR287" s="26"/>
      <c r="AWS287" s="26"/>
      <c r="AWT287" s="26"/>
      <c r="AWU287" s="26"/>
      <c r="AWV287" s="26"/>
      <c r="AWW287" s="26"/>
      <c r="AWX287" s="26"/>
      <c r="AWY287" s="26"/>
      <c r="AWZ287" s="26"/>
      <c r="AXA287" s="26"/>
      <c r="AXB287" s="26"/>
      <c r="AXC287" s="26"/>
      <c r="AXD287" s="26"/>
      <c r="AXE287" s="26"/>
      <c r="AXF287" s="26"/>
      <c r="AXG287" s="26"/>
      <c r="AXH287" s="26"/>
      <c r="AXI287" s="26"/>
      <c r="AXJ287" s="26"/>
      <c r="AXK287" s="26"/>
      <c r="AXL287" s="26"/>
      <c r="AXM287" s="26"/>
      <c r="AXN287" s="26"/>
      <c r="AXO287" s="26"/>
      <c r="AXP287" s="26"/>
      <c r="AXQ287" s="26"/>
      <c r="AXR287" s="26"/>
      <c r="AXS287" s="26"/>
      <c r="AXT287" s="26"/>
      <c r="AXU287" s="26"/>
      <c r="AXV287" s="26"/>
      <c r="AXW287" s="26"/>
      <c r="AXX287" s="26"/>
      <c r="AXY287" s="26"/>
      <c r="AXZ287" s="26"/>
      <c r="AYA287" s="26"/>
      <c r="AYB287" s="26"/>
      <c r="AYC287" s="26"/>
      <c r="AYD287" s="26"/>
      <c r="AYE287" s="26"/>
      <c r="AYF287" s="26"/>
      <c r="AYG287" s="26"/>
      <c r="AYH287" s="26"/>
      <c r="AYI287" s="26"/>
      <c r="AYJ287" s="26"/>
      <c r="AYK287" s="26"/>
      <c r="AYL287" s="26"/>
      <c r="AYM287" s="26"/>
      <c r="AYN287" s="26"/>
      <c r="AYO287" s="26"/>
      <c r="AYP287" s="26"/>
      <c r="AYQ287" s="26"/>
      <c r="AYR287" s="26"/>
      <c r="AYS287" s="26"/>
      <c r="AYT287" s="26"/>
      <c r="AYU287" s="26"/>
      <c r="AYV287" s="26"/>
      <c r="AYW287" s="26"/>
      <c r="AYX287" s="26"/>
      <c r="AYY287" s="26"/>
      <c r="AYZ287" s="26"/>
      <c r="AZA287" s="26"/>
      <c r="AZB287" s="26"/>
      <c r="AZC287" s="26"/>
      <c r="AZD287" s="26"/>
      <c r="AZE287" s="26"/>
      <c r="AZF287" s="26"/>
      <c r="AZG287" s="26"/>
      <c r="AZH287" s="26"/>
      <c r="AZI287" s="26"/>
      <c r="AZJ287" s="26"/>
      <c r="AZK287" s="26"/>
      <c r="AZL287" s="26"/>
      <c r="AZM287" s="26"/>
      <c r="AZN287" s="26"/>
      <c r="AZO287" s="26"/>
      <c r="AZP287" s="26"/>
      <c r="AZQ287" s="26"/>
      <c r="AZR287" s="26"/>
      <c r="AZS287" s="26"/>
      <c r="AZT287" s="26"/>
      <c r="AZU287" s="26"/>
      <c r="AZV287" s="26"/>
      <c r="AZW287" s="26"/>
      <c r="AZX287" s="26"/>
      <c r="AZY287" s="26"/>
      <c r="AZZ287" s="26"/>
      <c r="BAA287" s="26"/>
      <c r="BAB287" s="26"/>
      <c r="BAC287" s="26"/>
      <c r="BAD287" s="26"/>
      <c r="BAE287" s="26"/>
      <c r="BAF287" s="26"/>
      <c r="BAG287" s="26"/>
      <c r="BAH287" s="26"/>
      <c r="BAI287" s="26"/>
      <c r="BAJ287" s="26"/>
      <c r="BAK287" s="26"/>
      <c r="BAL287" s="26"/>
      <c r="BAM287" s="26"/>
      <c r="BAN287" s="26"/>
      <c r="BAO287" s="26"/>
      <c r="BAP287" s="26"/>
      <c r="BAQ287" s="26"/>
      <c r="BAR287" s="26"/>
      <c r="BAS287" s="26"/>
      <c r="BAT287" s="26"/>
      <c r="BAU287" s="26"/>
      <c r="BAV287" s="26"/>
      <c r="BAW287" s="26"/>
      <c r="BAX287" s="26"/>
      <c r="BAY287" s="26"/>
      <c r="BAZ287" s="26"/>
      <c r="BBA287" s="26"/>
      <c r="BBB287" s="26"/>
      <c r="BBC287" s="26"/>
      <c r="BBD287" s="26"/>
      <c r="BBE287" s="26"/>
      <c r="BBF287" s="26"/>
      <c r="BBG287" s="26"/>
      <c r="BBH287" s="26"/>
      <c r="BBI287" s="26"/>
      <c r="BBJ287" s="26"/>
      <c r="BBK287" s="26"/>
      <c r="BBL287" s="26"/>
      <c r="BBM287" s="26"/>
      <c r="BBN287" s="26"/>
      <c r="BBO287" s="26"/>
      <c r="BBP287" s="26"/>
      <c r="BBQ287" s="26"/>
      <c r="BBR287" s="26"/>
      <c r="BBS287" s="26"/>
      <c r="BBT287" s="26"/>
      <c r="BBU287" s="26"/>
      <c r="BBV287" s="26"/>
      <c r="BBW287" s="26"/>
      <c r="BBX287" s="26"/>
      <c r="BBY287" s="26"/>
      <c r="BBZ287" s="26"/>
      <c r="BCA287" s="26"/>
      <c r="BCB287" s="26"/>
      <c r="BCC287" s="26"/>
      <c r="BCD287" s="26"/>
      <c r="BCE287" s="26"/>
      <c r="BCF287" s="26"/>
      <c r="BCG287" s="26"/>
      <c r="BCH287" s="26"/>
      <c r="BCI287" s="26"/>
      <c r="BCJ287" s="26"/>
      <c r="BCK287" s="26"/>
      <c r="BCL287" s="26"/>
      <c r="BCM287" s="26"/>
      <c r="BCN287" s="26"/>
      <c r="BCO287" s="26"/>
      <c r="BCP287" s="26"/>
      <c r="BCQ287" s="26"/>
      <c r="BCR287" s="26"/>
      <c r="BCS287" s="26"/>
      <c r="BCT287" s="26"/>
      <c r="BCU287" s="26"/>
      <c r="BCV287" s="26"/>
      <c r="BCW287" s="26"/>
      <c r="BCX287" s="26"/>
      <c r="BCY287" s="26"/>
      <c r="BCZ287" s="26"/>
      <c r="BDA287" s="26"/>
      <c r="BDB287" s="26"/>
      <c r="BDC287" s="26"/>
      <c r="BDD287" s="26"/>
      <c r="BDE287" s="26"/>
      <c r="BDF287" s="26"/>
      <c r="BDG287" s="26"/>
      <c r="BDH287" s="26"/>
      <c r="BDI287" s="26"/>
      <c r="BDJ287" s="26"/>
      <c r="BDK287" s="26"/>
      <c r="BDL287" s="26"/>
      <c r="BDM287" s="26"/>
      <c r="BDN287" s="26"/>
      <c r="BDO287" s="26"/>
      <c r="BDP287" s="26"/>
      <c r="BDQ287" s="26"/>
      <c r="BDR287" s="26"/>
      <c r="BDS287" s="26"/>
      <c r="BDT287" s="26"/>
      <c r="BDU287" s="26"/>
      <c r="BDV287" s="26"/>
      <c r="BDW287" s="26"/>
      <c r="BDX287" s="26"/>
      <c r="BDY287" s="26"/>
      <c r="BDZ287" s="26"/>
      <c r="BEA287" s="26"/>
      <c r="BEB287" s="26"/>
      <c r="BEC287" s="26"/>
      <c r="BED287" s="26"/>
      <c r="BEE287" s="26"/>
      <c r="BEF287" s="26"/>
      <c r="BEG287" s="26"/>
      <c r="BEH287" s="26"/>
      <c r="BEI287" s="26"/>
      <c r="BEJ287" s="26"/>
      <c r="BEK287" s="26"/>
      <c r="BEL287" s="26"/>
      <c r="BEM287" s="26"/>
      <c r="BEN287" s="26"/>
      <c r="BEO287" s="26"/>
      <c r="BEP287" s="26"/>
      <c r="BEQ287" s="26"/>
      <c r="BER287" s="26"/>
      <c r="BES287" s="26"/>
      <c r="BET287" s="26"/>
      <c r="BEU287" s="26"/>
      <c r="BEV287" s="26"/>
      <c r="BEW287" s="26"/>
      <c r="BEX287" s="26"/>
      <c r="BEY287" s="26"/>
      <c r="BEZ287" s="26"/>
      <c r="BFA287" s="26"/>
      <c r="BFB287" s="26"/>
      <c r="BFC287" s="26"/>
      <c r="BFD287" s="26"/>
      <c r="BFE287" s="26"/>
      <c r="BFF287" s="26"/>
      <c r="BFG287" s="26"/>
      <c r="BFH287" s="26"/>
      <c r="BFI287" s="26"/>
      <c r="BFJ287" s="26"/>
      <c r="BFK287" s="26"/>
      <c r="BFL287" s="26"/>
      <c r="BFM287" s="26"/>
      <c r="BFN287" s="26"/>
      <c r="BFO287" s="26"/>
      <c r="BFP287" s="26"/>
      <c r="BFQ287" s="26"/>
      <c r="BFR287" s="26"/>
      <c r="BFS287" s="26"/>
      <c r="BFT287" s="26"/>
      <c r="BFU287" s="26"/>
      <c r="BFV287" s="26"/>
      <c r="BFW287" s="26"/>
      <c r="BFX287" s="26"/>
      <c r="BFY287" s="26"/>
      <c r="BFZ287" s="26"/>
      <c r="BGA287" s="26"/>
      <c r="BGB287" s="26"/>
      <c r="BGC287" s="26"/>
      <c r="BGD287" s="26"/>
      <c r="BGE287" s="26"/>
      <c r="BGF287" s="26"/>
      <c r="BGG287" s="26"/>
      <c r="BGH287" s="26"/>
      <c r="BGI287" s="26"/>
      <c r="BGJ287" s="26"/>
      <c r="BGK287" s="26"/>
      <c r="BGL287" s="26"/>
      <c r="BGM287" s="26"/>
      <c r="BGN287" s="26"/>
      <c r="BGO287" s="26"/>
      <c r="BGP287" s="26"/>
      <c r="BGQ287" s="26"/>
      <c r="BGR287" s="26"/>
      <c r="BGS287" s="26"/>
      <c r="BGT287" s="26"/>
      <c r="BGU287" s="26"/>
      <c r="BGV287" s="26"/>
      <c r="BGW287" s="26"/>
      <c r="BGX287" s="26"/>
      <c r="BGY287" s="26"/>
      <c r="BGZ287" s="26"/>
      <c r="BHA287" s="26"/>
      <c r="BHB287" s="26"/>
      <c r="BHC287" s="26"/>
      <c r="BHD287" s="26"/>
      <c r="BHE287" s="26"/>
      <c r="BHF287" s="26"/>
      <c r="BHG287" s="26"/>
      <c r="BHH287" s="26"/>
      <c r="BHI287" s="26"/>
      <c r="BHJ287" s="26"/>
      <c r="BHK287" s="26"/>
      <c r="BHL287" s="26"/>
      <c r="BHM287" s="26"/>
      <c r="BHN287" s="26"/>
      <c r="BHO287" s="26"/>
      <c r="BHP287" s="26"/>
      <c r="BHQ287" s="26"/>
      <c r="BHR287" s="26"/>
      <c r="BHS287" s="26"/>
      <c r="BHT287" s="26"/>
      <c r="BHU287" s="26"/>
      <c r="BHV287" s="26"/>
      <c r="BHW287" s="26"/>
      <c r="BHX287" s="26"/>
      <c r="BHY287" s="26"/>
      <c r="BHZ287" s="26"/>
      <c r="BIA287" s="26"/>
      <c r="BIB287" s="26"/>
      <c r="BIC287" s="26"/>
      <c r="BID287" s="26"/>
      <c r="BIE287" s="26"/>
      <c r="BIF287" s="26"/>
      <c r="BIG287" s="26"/>
      <c r="BIH287" s="26"/>
      <c r="BII287" s="26"/>
      <c r="BIJ287" s="26"/>
      <c r="BIK287" s="26"/>
      <c r="BIL287" s="26"/>
      <c r="BIM287" s="26"/>
      <c r="BIN287" s="26"/>
      <c r="BIO287" s="26"/>
      <c r="BIP287" s="26"/>
      <c r="BIQ287" s="26"/>
      <c r="BIR287" s="26"/>
      <c r="BIS287" s="26"/>
      <c r="BIT287" s="26"/>
      <c r="BIU287" s="26"/>
      <c r="BIV287" s="26"/>
      <c r="BIW287" s="26"/>
      <c r="BIX287" s="26"/>
      <c r="BIY287" s="26"/>
      <c r="BIZ287" s="26"/>
      <c r="BJA287" s="26"/>
      <c r="BJB287" s="26"/>
      <c r="BJC287" s="26"/>
      <c r="BJD287" s="26"/>
      <c r="BJE287" s="26"/>
      <c r="BJF287" s="26"/>
      <c r="BJG287" s="26"/>
      <c r="BJH287" s="26"/>
      <c r="BJI287" s="26"/>
      <c r="BJJ287" s="26"/>
      <c r="BJK287" s="26"/>
      <c r="BJL287" s="26"/>
      <c r="BJM287" s="26"/>
      <c r="BJN287" s="26"/>
      <c r="BJO287" s="26"/>
      <c r="BJP287" s="26"/>
      <c r="BJQ287" s="26"/>
      <c r="BJR287" s="26"/>
      <c r="BJS287" s="26"/>
      <c r="BJT287" s="26"/>
      <c r="BJU287" s="26"/>
      <c r="BJV287" s="26"/>
      <c r="BJW287" s="26"/>
      <c r="BJX287" s="26"/>
      <c r="BJY287" s="26"/>
      <c r="BJZ287" s="26"/>
      <c r="BKA287" s="26"/>
      <c r="BKB287" s="26"/>
      <c r="BKC287" s="26"/>
      <c r="BKD287" s="26"/>
      <c r="BKE287" s="26"/>
      <c r="BKF287" s="26"/>
      <c r="BKG287" s="26"/>
      <c r="BKH287" s="26"/>
      <c r="BKI287" s="26"/>
      <c r="BKJ287" s="26"/>
      <c r="BKK287" s="26"/>
      <c r="BKL287" s="26"/>
      <c r="BKM287" s="26"/>
      <c r="BKN287" s="26"/>
      <c r="BKO287" s="26"/>
      <c r="BKP287" s="26"/>
      <c r="BKQ287" s="26"/>
      <c r="BKR287" s="26"/>
      <c r="BKS287" s="26"/>
      <c r="BKT287" s="26"/>
      <c r="BKU287" s="26"/>
      <c r="BKV287" s="26"/>
      <c r="BKW287" s="26"/>
      <c r="BKX287" s="26"/>
      <c r="BKY287" s="26"/>
      <c r="BKZ287" s="26"/>
      <c r="BLA287" s="26"/>
      <c r="BLB287" s="26"/>
      <c r="BLC287" s="26"/>
      <c r="BLD287" s="26"/>
      <c r="BLE287" s="26"/>
      <c r="BLF287" s="26"/>
      <c r="BLG287" s="26"/>
      <c r="BLH287" s="26"/>
      <c r="BLI287" s="26"/>
      <c r="BLJ287" s="26"/>
      <c r="BLK287" s="26"/>
      <c r="BLL287" s="26"/>
      <c r="BLM287" s="26"/>
      <c r="BLN287" s="26"/>
      <c r="BLO287" s="26"/>
      <c r="BLP287" s="26"/>
      <c r="BLQ287" s="26"/>
      <c r="BLR287" s="26"/>
      <c r="BLS287" s="26"/>
      <c r="BLT287" s="26"/>
      <c r="BLU287" s="26"/>
      <c r="BLV287" s="26"/>
      <c r="BLW287" s="26"/>
      <c r="BLX287" s="26"/>
      <c r="BLY287" s="26"/>
      <c r="BLZ287" s="26"/>
      <c r="BMA287" s="26"/>
      <c r="BMB287" s="26"/>
      <c r="BMC287" s="26"/>
      <c r="BMD287" s="26"/>
      <c r="BME287" s="26"/>
      <c r="BMF287" s="26"/>
      <c r="BMG287" s="26"/>
      <c r="BMH287" s="26"/>
      <c r="BMI287" s="26"/>
      <c r="BMJ287" s="26"/>
      <c r="BMK287" s="26"/>
      <c r="BML287" s="26"/>
      <c r="BMM287" s="26"/>
      <c r="BMN287" s="26"/>
      <c r="BMO287" s="26"/>
      <c r="BMP287" s="26"/>
      <c r="BMQ287" s="26"/>
      <c r="BMR287" s="26"/>
      <c r="BMS287" s="26"/>
      <c r="BMT287" s="26"/>
      <c r="BMU287" s="26"/>
      <c r="BMV287" s="26"/>
      <c r="BMW287" s="26"/>
      <c r="BMX287" s="26"/>
      <c r="BMY287" s="26"/>
      <c r="BMZ287" s="26"/>
      <c r="BNA287" s="26"/>
      <c r="BNB287" s="26"/>
      <c r="BNC287" s="26"/>
      <c r="BND287" s="26"/>
      <c r="BNE287" s="26"/>
      <c r="BNF287" s="26"/>
      <c r="BNG287" s="26"/>
      <c r="BNH287" s="26"/>
      <c r="BNI287" s="26"/>
      <c r="BNJ287" s="26"/>
      <c r="BNK287" s="26"/>
      <c r="BNL287" s="26"/>
      <c r="BNM287" s="26"/>
      <c r="BNN287" s="26"/>
      <c r="BNO287" s="26"/>
      <c r="BNP287" s="26"/>
      <c r="BNQ287" s="26"/>
      <c r="BNR287" s="26"/>
      <c r="BNS287" s="26"/>
      <c r="BNT287" s="26"/>
      <c r="BNU287" s="26"/>
      <c r="BNV287" s="26"/>
      <c r="BNW287" s="26"/>
      <c r="BNX287" s="26"/>
      <c r="BNY287" s="26"/>
      <c r="BNZ287" s="26"/>
      <c r="BOA287" s="26"/>
      <c r="BOB287" s="26"/>
      <c r="BOC287" s="26"/>
      <c r="BOD287" s="26"/>
      <c r="BOE287" s="26"/>
      <c r="BOF287" s="26"/>
      <c r="BOG287" s="26"/>
      <c r="BOH287" s="26"/>
      <c r="BOI287" s="26"/>
      <c r="BOJ287" s="26"/>
      <c r="BOK287" s="26"/>
      <c r="BOL287" s="26"/>
      <c r="BOM287" s="26"/>
      <c r="BON287" s="26"/>
      <c r="BOO287" s="26"/>
      <c r="BOP287" s="26"/>
      <c r="BOQ287" s="26"/>
      <c r="BOR287" s="26"/>
      <c r="BOS287" s="26"/>
      <c r="BOT287" s="26"/>
      <c r="BOU287" s="26"/>
      <c r="BOV287" s="26"/>
      <c r="BOW287" s="26"/>
      <c r="BOX287" s="26"/>
      <c r="BOY287" s="26"/>
      <c r="BOZ287" s="26"/>
      <c r="BPA287" s="26"/>
      <c r="BPB287" s="26"/>
      <c r="BPC287" s="26"/>
      <c r="BPD287" s="26"/>
      <c r="BPE287" s="26"/>
      <c r="BPF287" s="26"/>
      <c r="BPG287" s="26"/>
      <c r="BPH287" s="26"/>
      <c r="BPI287" s="26"/>
      <c r="BPJ287" s="26"/>
      <c r="BPK287" s="26"/>
      <c r="BPL287" s="26"/>
      <c r="BPM287" s="26"/>
      <c r="BPN287" s="26"/>
      <c r="BPO287" s="26"/>
      <c r="BPP287" s="26"/>
      <c r="BPQ287" s="26"/>
      <c r="BPR287" s="26"/>
      <c r="BPS287" s="26"/>
      <c r="BPT287" s="26"/>
      <c r="BPU287" s="26"/>
      <c r="BPV287" s="26"/>
      <c r="BPW287" s="26"/>
      <c r="BPX287" s="26"/>
      <c r="BPY287" s="26"/>
      <c r="BPZ287" s="26"/>
      <c r="BQA287" s="26"/>
      <c r="BQB287" s="26"/>
      <c r="BQC287" s="26"/>
      <c r="BQD287" s="26"/>
      <c r="BQE287" s="26"/>
      <c r="BQF287" s="26"/>
      <c r="BQG287" s="26"/>
      <c r="BQH287" s="26"/>
      <c r="BQI287" s="26"/>
      <c r="BQJ287" s="26"/>
      <c r="BQK287" s="26"/>
      <c r="BQL287" s="26"/>
      <c r="BQM287" s="26"/>
      <c r="BQN287" s="26"/>
      <c r="BQO287" s="26"/>
      <c r="BQP287" s="26"/>
      <c r="BQQ287" s="26"/>
      <c r="BQR287" s="26"/>
      <c r="BQS287" s="26"/>
      <c r="BQT287" s="26"/>
      <c r="BQU287" s="26"/>
      <c r="BQV287" s="26"/>
      <c r="BQW287" s="26"/>
      <c r="BQX287" s="26"/>
      <c r="BQY287" s="26"/>
      <c r="BQZ287" s="26"/>
      <c r="BRA287" s="26"/>
      <c r="BRB287" s="26"/>
      <c r="BRC287" s="26"/>
      <c r="BRD287" s="26"/>
      <c r="BRE287" s="26"/>
      <c r="BRF287" s="26"/>
      <c r="BRG287" s="26"/>
      <c r="BRH287" s="26"/>
      <c r="BRI287" s="26"/>
      <c r="BRJ287" s="26"/>
      <c r="BRK287" s="26"/>
      <c r="BRL287" s="26"/>
      <c r="BRM287" s="26"/>
      <c r="BRN287" s="26"/>
      <c r="BRO287" s="26"/>
      <c r="BRP287" s="26"/>
      <c r="BRQ287" s="26"/>
      <c r="BRR287" s="26"/>
      <c r="BRS287" s="26"/>
      <c r="BRT287" s="26"/>
      <c r="BRU287" s="26"/>
      <c r="BRV287" s="26"/>
      <c r="BRW287" s="26"/>
      <c r="BRX287" s="26"/>
      <c r="BRY287" s="26"/>
      <c r="BRZ287" s="26"/>
      <c r="BSA287" s="26"/>
      <c r="BSB287" s="26"/>
      <c r="BSC287" s="26"/>
      <c r="BSD287" s="26"/>
      <c r="BSE287" s="26"/>
      <c r="BSF287" s="26"/>
      <c r="BSG287" s="26"/>
      <c r="BSH287" s="26"/>
      <c r="BSI287" s="26"/>
      <c r="BSJ287" s="26"/>
      <c r="BSK287" s="26"/>
      <c r="BSL287" s="26"/>
      <c r="BSM287" s="26"/>
      <c r="BSN287" s="26"/>
      <c r="BSO287" s="26"/>
      <c r="BSP287" s="26"/>
      <c r="BSQ287" s="26"/>
      <c r="BSR287" s="26"/>
      <c r="BSS287" s="26"/>
      <c r="BST287" s="26"/>
      <c r="BSU287" s="26"/>
      <c r="BSV287" s="26"/>
      <c r="BSW287" s="26"/>
      <c r="BSX287" s="26"/>
      <c r="BSY287" s="26"/>
      <c r="BSZ287" s="26"/>
      <c r="BTA287" s="26"/>
      <c r="BTB287" s="26"/>
      <c r="BTC287" s="26"/>
      <c r="BTD287" s="26"/>
      <c r="BTE287" s="26"/>
      <c r="BTF287" s="26"/>
      <c r="BTG287" s="26"/>
      <c r="BTH287" s="26"/>
      <c r="BTI287" s="26"/>
      <c r="BTJ287" s="26"/>
      <c r="BTK287" s="26"/>
      <c r="BTL287" s="26"/>
      <c r="BTM287" s="26"/>
      <c r="BTN287" s="26"/>
      <c r="BTO287" s="26"/>
      <c r="BTP287" s="26"/>
      <c r="BTQ287" s="26"/>
      <c r="BTR287" s="26"/>
      <c r="BTS287" s="26"/>
      <c r="BTT287" s="26"/>
      <c r="BTU287" s="26"/>
      <c r="BTV287" s="26"/>
      <c r="BTW287" s="26"/>
      <c r="BTX287" s="26"/>
      <c r="BTY287" s="26"/>
      <c r="BTZ287" s="26"/>
      <c r="BUA287" s="26"/>
      <c r="BUB287" s="26"/>
      <c r="BUC287" s="26"/>
      <c r="BUD287" s="26"/>
      <c r="BUE287" s="26"/>
      <c r="BUF287" s="26"/>
      <c r="BUG287" s="26"/>
      <c r="BUH287" s="26"/>
      <c r="BUI287" s="26"/>
      <c r="BUJ287" s="26"/>
      <c r="BUK287" s="26"/>
      <c r="BUL287" s="26"/>
      <c r="BUM287" s="26"/>
      <c r="BUN287" s="26"/>
      <c r="BUO287" s="26"/>
      <c r="BUP287" s="26"/>
      <c r="BUQ287" s="26"/>
      <c r="BUR287" s="26"/>
      <c r="BUS287" s="26"/>
      <c r="BUT287" s="26"/>
      <c r="BUU287" s="26"/>
      <c r="BUV287" s="26"/>
      <c r="BUW287" s="26"/>
      <c r="BUX287" s="26"/>
      <c r="BUY287" s="26"/>
      <c r="BUZ287" s="26"/>
      <c r="BVA287" s="26"/>
      <c r="BVB287" s="26"/>
      <c r="BVC287" s="26"/>
      <c r="BVD287" s="26"/>
      <c r="BVE287" s="26"/>
      <c r="BVF287" s="26"/>
      <c r="BVG287" s="26"/>
      <c r="BVH287" s="26"/>
      <c r="BVI287" s="26"/>
      <c r="BVJ287" s="26"/>
      <c r="BVK287" s="26"/>
      <c r="BVL287" s="26"/>
      <c r="BVM287" s="26"/>
      <c r="BVN287" s="26"/>
      <c r="BVO287" s="26"/>
      <c r="BVP287" s="26"/>
      <c r="BVQ287" s="26"/>
      <c r="BVR287" s="26"/>
      <c r="BVS287" s="26"/>
      <c r="BVT287" s="26"/>
      <c r="BVU287" s="26"/>
      <c r="BVV287" s="26"/>
      <c r="BVW287" s="26"/>
      <c r="BVX287" s="26"/>
      <c r="BVY287" s="26"/>
      <c r="BVZ287" s="26"/>
      <c r="BWA287" s="26"/>
      <c r="BWB287" s="26"/>
      <c r="BWC287" s="26"/>
      <c r="BWD287" s="26"/>
      <c r="BWE287" s="26"/>
      <c r="BWF287" s="26"/>
      <c r="BWG287" s="26"/>
      <c r="BWH287" s="26"/>
      <c r="BWI287" s="26"/>
      <c r="BWJ287" s="26"/>
      <c r="BWK287" s="26"/>
      <c r="BWL287" s="26"/>
      <c r="BWM287" s="26"/>
      <c r="BWN287" s="26"/>
      <c r="BWO287" s="26"/>
      <c r="BWP287" s="26"/>
      <c r="BWQ287" s="26"/>
      <c r="BWR287" s="26"/>
      <c r="BWS287" s="26"/>
      <c r="BWT287" s="26"/>
      <c r="BWU287" s="26"/>
      <c r="BWV287" s="26"/>
      <c r="BWW287" s="26"/>
      <c r="BWX287" s="26"/>
      <c r="BWY287" s="26"/>
      <c r="BWZ287" s="26"/>
      <c r="BXA287" s="26"/>
      <c r="BXB287" s="26"/>
      <c r="BXC287" s="26"/>
      <c r="BXD287" s="26"/>
      <c r="BXE287" s="26"/>
      <c r="BXF287" s="26"/>
      <c r="BXG287" s="26"/>
      <c r="BXH287" s="26"/>
      <c r="BXI287" s="26"/>
      <c r="BXJ287" s="26"/>
      <c r="BXK287" s="26"/>
      <c r="BXL287" s="26"/>
      <c r="BXM287" s="26"/>
      <c r="BXN287" s="26"/>
      <c r="BXO287" s="26"/>
      <c r="BXP287" s="26"/>
      <c r="BXQ287" s="26"/>
      <c r="BXR287" s="26"/>
      <c r="BXS287" s="26"/>
      <c r="BXT287" s="26"/>
      <c r="BXU287" s="26"/>
      <c r="BXV287" s="26"/>
      <c r="BXW287" s="26"/>
      <c r="BXX287" s="26"/>
      <c r="BXY287" s="26"/>
      <c r="BXZ287" s="26"/>
      <c r="BYA287" s="26"/>
      <c r="BYB287" s="26"/>
      <c r="BYC287" s="26"/>
      <c r="BYD287" s="26"/>
      <c r="BYE287" s="26"/>
      <c r="BYF287" s="26"/>
      <c r="BYG287" s="26"/>
      <c r="BYH287" s="26"/>
      <c r="BYI287" s="26"/>
      <c r="BYJ287" s="26"/>
      <c r="BYK287" s="26"/>
      <c r="BYL287" s="26"/>
      <c r="BYM287" s="26"/>
      <c r="BYN287" s="26"/>
      <c r="BYO287" s="26"/>
      <c r="BYP287" s="26"/>
      <c r="BYQ287" s="26"/>
      <c r="BYR287" s="26"/>
      <c r="BYS287" s="26"/>
      <c r="BYT287" s="26"/>
      <c r="BYU287" s="26"/>
      <c r="BYV287" s="26"/>
      <c r="BYW287" s="26"/>
      <c r="BYX287" s="26"/>
      <c r="BYY287" s="26"/>
      <c r="BYZ287" s="26"/>
      <c r="BZA287" s="26"/>
      <c r="BZB287" s="26"/>
      <c r="BZC287" s="26"/>
      <c r="BZD287" s="26"/>
      <c r="BZE287" s="26"/>
      <c r="BZF287" s="26"/>
      <c r="BZG287" s="26"/>
      <c r="BZH287" s="26"/>
      <c r="BZI287" s="26"/>
      <c r="BZJ287" s="26"/>
      <c r="BZK287" s="26"/>
      <c r="BZL287" s="26"/>
      <c r="BZM287" s="26"/>
      <c r="BZN287" s="26"/>
      <c r="BZO287" s="26"/>
      <c r="BZP287" s="26"/>
      <c r="BZQ287" s="26"/>
      <c r="BZR287" s="26"/>
      <c r="BZS287" s="26"/>
      <c r="BZT287" s="26"/>
      <c r="BZU287" s="26"/>
      <c r="BZV287" s="26"/>
      <c r="BZW287" s="26"/>
      <c r="BZX287" s="26"/>
      <c r="BZY287" s="26"/>
      <c r="BZZ287" s="26"/>
      <c r="CAA287" s="26"/>
      <c r="CAB287" s="26"/>
      <c r="CAC287" s="26"/>
      <c r="CAD287" s="26"/>
      <c r="CAE287" s="26"/>
      <c r="CAF287" s="26"/>
      <c r="CAG287" s="26"/>
      <c r="CAH287" s="26"/>
      <c r="CAI287" s="26"/>
      <c r="CAJ287" s="26"/>
      <c r="CAK287" s="26"/>
      <c r="CAL287" s="26"/>
      <c r="CAM287" s="26"/>
      <c r="CAN287" s="26"/>
      <c r="CAO287" s="26"/>
      <c r="CAP287" s="26"/>
      <c r="CAQ287" s="26"/>
      <c r="CAR287" s="26"/>
      <c r="CAS287" s="26"/>
      <c r="CAT287" s="26"/>
      <c r="CAU287" s="26"/>
      <c r="CAV287" s="26"/>
      <c r="CAW287" s="26"/>
      <c r="CAX287" s="26"/>
      <c r="CAY287" s="26"/>
      <c r="CAZ287" s="26"/>
      <c r="CBA287" s="26"/>
      <c r="CBB287" s="26"/>
      <c r="CBC287" s="26"/>
      <c r="CBD287" s="26"/>
      <c r="CBE287" s="26"/>
      <c r="CBF287" s="26"/>
      <c r="CBG287" s="26"/>
      <c r="CBH287" s="26"/>
      <c r="CBI287" s="26"/>
    </row>
    <row r="288" spans="1:2089" s="41" customFormat="1" ht="14" customHeight="1">
      <c r="A288" s="27">
        <v>287</v>
      </c>
      <c r="B288" s="27" t="s">
        <v>412</v>
      </c>
      <c r="C288" s="27">
        <v>1992</v>
      </c>
      <c r="D288" s="26" t="s">
        <v>11</v>
      </c>
      <c r="E288" s="26" t="s">
        <v>565</v>
      </c>
      <c r="F288" s="77" t="s">
        <v>175</v>
      </c>
      <c r="G288" s="2" t="s">
        <v>147</v>
      </c>
      <c r="H288" s="2" t="s">
        <v>275</v>
      </c>
      <c r="I288" s="2" t="s">
        <v>548</v>
      </c>
      <c r="J288" s="2" t="s">
        <v>604</v>
      </c>
      <c r="K288" s="2" t="s">
        <v>548</v>
      </c>
      <c r="L288" s="2" t="s">
        <v>548</v>
      </c>
      <c r="M288" s="2" t="s">
        <v>548</v>
      </c>
      <c r="N288" s="2" t="s">
        <v>70</v>
      </c>
      <c r="O288" s="2" t="s">
        <v>209</v>
      </c>
      <c r="P288" s="2" t="s">
        <v>611</v>
      </c>
      <c r="Q288" s="2" t="s">
        <v>42</v>
      </c>
      <c r="R288" s="79" t="s">
        <v>613</v>
      </c>
      <c r="S288" s="90">
        <f>26/T288</f>
        <v>0.8666666666666667</v>
      </c>
      <c r="T288" s="26">
        <v>30</v>
      </c>
      <c r="U288" s="77">
        <v>1</v>
      </c>
      <c r="V288" s="26">
        <v>0</v>
      </c>
      <c r="W288" s="26">
        <v>1</v>
      </c>
      <c r="X288" s="26">
        <v>1</v>
      </c>
      <c r="Y288" s="26">
        <v>1</v>
      </c>
      <c r="Z288" s="26">
        <v>1</v>
      </c>
      <c r="AA288" s="26">
        <v>0</v>
      </c>
      <c r="AB288" s="26">
        <v>0</v>
      </c>
      <c r="AC288" s="26" t="s">
        <v>70</v>
      </c>
      <c r="AD288" s="26" t="s">
        <v>70</v>
      </c>
      <c r="AE288" s="26" t="s">
        <v>70</v>
      </c>
      <c r="AF288" s="26" t="s">
        <v>70</v>
      </c>
      <c r="AG288" s="33" t="s">
        <v>70</v>
      </c>
      <c r="AH288" s="33" t="s">
        <v>70</v>
      </c>
      <c r="AI288" s="33" t="s">
        <v>70</v>
      </c>
      <c r="AJ288" s="26" t="s">
        <v>70</v>
      </c>
      <c r="AK288" s="33" t="s">
        <v>70</v>
      </c>
      <c r="AL288" s="33" t="s">
        <v>70</v>
      </c>
      <c r="AM288" s="35" t="s">
        <v>175</v>
      </c>
      <c r="AN288" s="26" t="s">
        <v>615</v>
      </c>
      <c r="AO288" s="35" t="s">
        <v>548</v>
      </c>
      <c r="AP288" s="35" t="s">
        <v>548</v>
      </c>
      <c r="AQ288" s="35" t="s">
        <v>548</v>
      </c>
      <c r="AR288" s="35" t="s">
        <v>548</v>
      </c>
      <c r="AS288" s="26" t="s">
        <v>175</v>
      </c>
      <c r="AT288" s="26" t="s">
        <v>70</v>
      </c>
      <c r="AU288" s="26" t="s">
        <v>70</v>
      </c>
      <c r="AV288" s="26">
        <v>7</v>
      </c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  <c r="GR288" s="26"/>
      <c r="GS288" s="26"/>
      <c r="GT288" s="26"/>
      <c r="GU288" s="26"/>
      <c r="GV288" s="26"/>
      <c r="GW288" s="26"/>
      <c r="GX288" s="26"/>
      <c r="GY288" s="26"/>
      <c r="GZ288" s="26"/>
      <c r="HA288" s="26"/>
      <c r="HB288" s="26"/>
      <c r="HC288" s="26"/>
      <c r="HD288" s="26"/>
      <c r="HE288" s="26"/>
      <c r="HF288" s="26"/>
      <c r="HG288" s="26"/>
      <c r="HH288" s="26"/>
      <c r="HI288" s="26"/>
      <c r="HJ288" s="26"/>
      <c r="HK288" s="26"/>
      <c r="HL288" s="26"/>
      <c r="HM288" s="26"/>
      <c r="HN288" s="26"/>
      <c r="HO288" s="26"/>
      <c r="HP288" s="26"/>
      <c r="HQ288" s="26"/>
      <c r="HR288" s="26"/>
      <c r="HS288" s="26"/>
      <c r="HT288" s="26"/>
      <c r="HU288" s="26"/>
      <c r="HV288" s="26"/>
      <c r="HW288" s="26"/>
      <c r="HX288" s="26"/>
      <c r="HY288" s="26"/>
      <c r="HZ288" s="26"/>
      <c r="IA288" s="26"/>
      <c r="IB288" s="26"/>
      <c r="IC288" s="26"/>
      <c r="ID288" s="26"/>
      <c r="IE288" s="26"/>
      <c r="IF288" s="26"/>
      <c r="IG288" s="26"/>
      <c r="IH288" s="26"/>
      <c r="II288" s="26"/>
      <c r="IJ288" s="26"/>
      <c r="IK288" s="26"/>
      <c r="IL288" s="26"/>
      <c r="IM288" s="26"/>
      <c r="IN288" s="26"/>
      <c r="IO288" s="26"/>
      <c r="IP288" s="26"/>
      <c r="IQ288" s="26"/>
      <c r="IR288" s="26"/>
      <c r="IS288" s="26"/>
      <c r="IT288" s="26"/>
      <c r="IU288" s="26"/>
      <c r="IV288" s="26"/>
      <c r="IW288" s="26"/>
      <c r="IX288" s="26"/>
      <c r="IY288" s="26"/>
      <c r="IZ288" s="26"/>
      <c r="JA288" s="26"/>
      <c r="JB288" s="26"/>
      <c r="JC288" s="26"/>
      <c r="JD288" s="26"/>
      <c r="JE288" s="26"/>
      <c r="JF288" s="26"/>
      <c r="JG288" s="26"/>
      <c r="JH288" s="26"/>
      <c r="JI288" s="26"/>
      <c r="JJ288" s="26"/>
      <c r="JK288" s="26"/>
      <c r="JL288" s="26"/>
      <c r="JM288" s="26"/>
      <c r="JN288" s="26"/>
      <c r="JO288" s="26"/>
      <c r="JP288" s="26"/>
      <c r="JQ288" s="26"/>
      <c r="JR288" s="26"/>
      <c r="JS288" s="26"/>
      <c r="JT288" s="26"/>
      <c r="JU288" s="26"/>
      <c r="JV288" s="26"/>
      <c r="JW288" s="26"/>
      <c r="JX288" s="26"/>
      <c r="JY288" s="26"/>
      <c r="JZ288" s="26"/>
      <c r="KA288" s="26"/>
      <c r="KB288" s="26"/>
      <c r="KC288" s="26"/>
      <c r="KD288" s="26"/>
      <c r="KE288" s="26"/>
      <c r="KF288" s="26"/>
      <c r="KG288" s="26"/>
      <c r="KH288" s="26"/>
      <c r="KI288" s="26"/>
      <c r="KJ288" s="26"/>
      <c r="KK288" s="26"/>
      <c r="KL288" s="26"/>
      <c r="KM288" s="26"/>
      <c r="KN288" s="26"/>
      <c r="KO288" s="26"/>
      <c r="KP288" s="26"/>
      <c r="KQ288" s="26"/>
      <c r="KR288" s="26"/>
      <c r="KS288" s="26"/>
      <c r="KT288" s="26"/>
      <c r="KU288" s="26"/>
      <c r="KV288" s="26"/>
      <c r="KW288" s="26"/>
      <c r="KX288" s="26"/>
      <c r="KY288" s="26"/>
      <c r="KZ288" s="26"/>
      <c r="LA288" s="26"/>
      <c r="LB288" s="26"/>
      <c r="LC288" s="26"/>
      <c r="LD288" s="26"/>
      <c r="LE288" s="26"/>
      <c r="LF288" s="26"/>
      <c r="LG288" s="26"/>
      <c r="LH288" s="26"/>
      <c r="LI288" s="26"/>
      <c r="LJ288" s="26"/>
      <c r="LK288" s="26"/>
      <c r="LL288" s="26"/>
      <c r="LM288" s="26"/>
      <c r="LN288" s="26"/>
      <c r="LO288" s="26"/>
      <c r="LP288" s="26"/>
      <c r="LQ288" s="26"/>
      <c r="LR288" s="26"/>
      <c r="LS288" s="26"/>
      <c r="LT288" s="26"/>
      <c r="LU288" s="26"/>
      <c r="LV288" s="26"/>
      <c r="LW288" s="26"/>
      <c r="LX288" s="26"/>
      <c r="LY288" s="26"/>
      <c r="LZ288" s="26"/>
      <c r="MA288" s="26"/>
      <c r="MB288" s="26"/>
      <c r="MC288" s="26"/>
      <c r="MD288" s="26"/>
      <c r="ME288" s="26"/>
      <c r="MF288" s="26"/>
      <c r="MG288" s="26"/>
      <c r="MH288" s="26"/>
      <c r="MI288" s="26"/>
      <c r="MJ288" s="26"/>
      <c r="MK288" s="26"/>
      <c r="ML288" s="26"/>
      <c r="MM288" s="26"/>
      <c r="MN288" s="26"/>
      <c r="MO288" s="26"/>
      <c r="MP288" s="26"/>
      <c r="MQ288" s="26"/>
      <c r="MR288" s="26"/>
      <c r="MS288" s="26"/>
      <c r="MT288" s="26"/>
      <c r="MU288" s="26"/>
      <c r="MV288" s="26"/>
      <c r="MW288" s="26"/>
      <c r="MX288" s="26"/>
      <c r="MY288" s="26"/>
      <c r="MZ288" s="26"/>
      <c r="NA288" s="26"/>
      <c r="NB288" s="26"/>
      <c r="NC288" s="26"/>
      <c r="ND288" s="26"/>
      <c r="NE288" s="26"/>
      <c r="NF288" s="26"/>
      <c r="NG288" s="26"/>
      <c r="NH288" s="26"/>
      <c r="NI288" s="26"/>
      <c r="NJ288" s="26"/>
      <c r="NK288" s="26"/>
      <c r="NL288" s="26"/>
      <c r="NM288" s="26"/>
      <c r="NN288" s="26"/>
      <c r="NO288" s="26"/>
      <c r="NP288" s="26"/>
      <c r="NQ288" s="26"/>
      <c r="NR288" s="26"/>
      <c r="NS288" s="26"/>
      <c r="NT288" s="26"/>
      <c r="NU288" s="26"/>
      <c r="NV288" s="26"/>
      <c r="NW288" s="26"/>
      <c r="NX288" s="26"/>
      <c r="NY288" s="26"/>
      <c r="NZ288" s="26"/>
      <c r="OA288" s="26"/>
      <c r="OB288" s="26"/>
      <c r="OC288" s="26"/>
      <c r="OD288" s="26"/>
      <c r="OE288" s="26"/>
      <c r="OF288" s="26"/>
      <c r="OG288" s="26"/>
      <c r="OH288" s="26"/>
      <c r="OI288" s="26"/>
      <c r="OJ288" s="26"/>
      <c r="OK288" s="26"/>
      <c r="OL288" s="26"/>
      <c r="OM288" s="26"/>
      <c r="ON288" s="26"/>
      <c r="OO288" s="26"/>
      <c r="OP288" s="26"/>
      <c r="OQ288" s="26"/>
      <c r="OR288" s="26"/>
      <c r="OS288" s="26"/>
      <c r="OT288" s="26"/>
      <c r="OU288" s="26"/>
      <c r="OV288" s="26"/>
      <c r="OW288" s="26"/>
      <c r="OX288" s="26"/>
      <c r="OY288" s="26"/>
      <c r="OZ288" s="26"/>
      <c r="PA288" s="26"/>
      <c r="PB288" s="26"/>
      <c r="PC288" s="26"/>
      <c r="PD288" s="26"/>
      <c r="PE288" s="26"/>
      <c r="PF288" s="26"/>
      <c r="PG288" s="26"/>
      <c r="PH288" s="26"/>
      <c r="PI288" s="26"/>
      <c r="PJ288" s="26"/>
      <c r="PK288" s="26"/>
      <c r="PL288" s="26"/>
      <c r="PM288" s="26"/>
      <c r="PN288" s="26"/>
      <c r="PO288" s="26"/>
      <c r="PP288" s="26"/>
      <c r="PQ288" s="26"/>
      <c r="PR288" s="26"/>
      <c r="PS288" s="26"/>
      <c r="PT288" s="26"/>
      <c r="PU288" s="26"/>
      <c r="PV288" s="26"/>
      <c r="PW288" s="26"/>
      <c r="PX288" s="26"/>
      <c r="PY288" s="26"/>
      <c r="PZ288" s="26"/>
      <c r="QA288" s="26"/>
      <c r="QB288" s="26"/>
      <c r="QC288" s="26"/>
      <c r="QD288" s="26"/>
      <c r="QE288" s="26"/>
      <c r="QF288" s="26"/>
      <c r="QG288" s="26"/>
      <c r="QH288" s="26"/>
      <c r="QI288" s="26"/>
      <c r="QJ288" s="26"/>
      <c r="QK288" s="26"/>
      <c r="QL288" s="26"/>
      <c r="QM288" s="26"/>
      <c r="QN288" s="26"/>
      <c r="QO288" s="26"/>
      <c r="QP288" s="26"/>
      <c r="QQ288" s="26"/>
      <c r="QR288" s="26"/>
      <c r="QS288" s="26"/>
      <c r="QT288" s="26"/>
      <c r="QU288" s="26"/>
      <c r="QV288" s="26"/>
      <c r="QW288" s="26"/>
      <c r="QX288" s="26"/>
      <c r="QY288" s="26"/>
      <c r="QZ288" s="26"/>
      <c r="RA288" s="26"/>
      <c r="RB288" s="26"/>
      <c r="RC288" s="26"/>
      <c r="RD288" s="26"/>
      <c r="RE288" s="26"/>
      <c r="RF288" s="26"/>
      <c r="RG288" s="26"/>
      <c r="RH288" s="26"/>
      <c r="RI288" s="26"/>
      <c r="RJ288" s="26"/>
      <c r="RK288" s="26"/>
      <c r="RL288" s="26"/>
      <c r="RM288" s="26"/>
      <c r="RN288" s="26"/>
      <c r="RO288" s="26"/>
      <c r="RP288" s="26"/>
      <c r="RQ288" s="26"/>
      <c r="RR288" s="26"/>
      <c r="RS288" s="26"/>
      <c r="RT288" s="26"/>
      <c r="RU288" s="26"/>
      <c r="RV288" s="26"/>
      <c r="RW288" s="26"/>
      <c r="RX288" s="26"/>
      <c r="RY288" s="26"/>
      <c r="RZ288" s="26"/>
      <c r="SA288" s="26"/>
      <c r="SB288" s="26"/>
      <c r="SC288" s="26"/>
      <c r="SD288" s="26"/>
      <c r="SE288" s="26"/>
      <c r="SF288" s="26"/>
      <c r="SG288" s="26"/>
      <c r="SH288" s="26"/>
      <c r="SI288" s="26"/>
      <c r="SJ288" s="26"/>
      <c r="SK288" s="26"/>
      <c r="SL288" s="26"/>
      <c r="SM288" s="26"/>
      <c r="SN288" s="26"/>
      <c r="SO288" s="26"/>
      <c r="SP288" s="26"/>
      <c r="SQ288" s="26"/>
      <c r="SR288" s="26"/>
      <c r="SS288" s="26"/>
      <c r="ST288" s="26"/>
      <c r="SU288" s="26"/>
      <c r="SV288" s="26"/>
      <c r="SW288" s="26"/>
      <c r="SX288" s="26"/>
      <c r="SY288" s="26"/>
      <c r="SZ288" s="26"/>
      <c r="TA288" s="26"/>
      <c r="TB288" s="26"/>
      <c r="TC288" s="26"/>
      <c r="TD288" s="26"/>
      <c r="TE288" s="26"/>
      <c r="TF288" s="26"/>
      <c r="TG288" s="26"/>
      <c r="TH288" s="26"/>
      <c r="TI288" s="26"/>
      <c r="TJ288" s="26"/>
      <c r="TK288" s="26"/>
      <c r="TL288" s="26"/>
      <c r="TM288" s="26"/>
      <c r="TN288" s="26"/>
      <c r="TO288" s="26"/>
      <c r="TP288" s="26"/>
      <c r="TQ288" s="26"/>
      <c r="TR288" s="26"/>
      <c r="TS288" s="26"/>
      <c r="TT288" s="26"/>
      <c r="TU288" s="26"/>
      <c r="TV288" s="26"/>
      <c r="TW288" s="26"/>
      <c r="TX288" s="26"/>
      <c r="TY288" s="26"/>
      <c r="TZ288" s="26"/>
      <c r="UA288" s="26"/>
      <c r="UB288" s="26"/>
      <c r="UC288" s="26"/>
      <c r="UD288" s="26"/>
      <c r="UE288" s="26"/>
      <c r="UF288" s="26"/>
      <c r="UG288" s="26"/>
      <c r="UH288" s="26"/>
      <c r="UI288" s="26"/>
      <c r="UJ288" s="26"/>
      <c r="UK288" s="26"/>
      <c r="UL288" s="26"/>
      <c r="UM288" s="26"/>
      <c r="UN288" s="26"/>
      <c r="UO288" s="26"/>
      <c r="UP288" s="26"/>
      <c r="UQ288" s="26"/>
      <c r="UR288" s="26"/>
      <c r="US288" s="26"/>
      <c r="UT288" s="26"/>
      <c r="UU288" s="26"/>
      <c r="UV288" s="26"/>
      <c r="UW288" s="26"/>
      <c r="UX288" s="26"/>
      <c r="UY288" s="26"/>
      <c r="UZ288" s="26"/>
      <c r="VA288" s="26"/>
      <c r="VB288" s="26"/>
      <c r="VC288" s="26"/>
      <c r="VD288" s="26"/>
      <c r="VE288" s="26"/>
      <c r="VF288" s="26"/>
      <c r="VG288" s="26"/>
      <c r="VH288" s="26"/>
      <c r="VI288" s="26"/>
      <c r="VJ288" s="26"/>
      <c r="VK288" s="26"/>
      <c r="VL288" s="26"/>
      <c r="VM288" s="26"/>
      <c r="VN288" s="26"/>
      <c r="VO288" s="26"/>
      <c r="VP288" s="26"/>
      <c r="VQ288" s="26"/>
      <c r="VR288" s="26"/>
      <c r="VS288" s="26"/>
      <c r="VT288" s="26"/>
      <c r="VU288" s="26"/>
      <c r="VV288" s="26"/>
      <c r="VW288" s="26"/>
      <c r="VX288" s="26"/>
      <c r="VY288" s="26"/>
      <c r="VZ288" s="26"/>
      <c r="WA288" s="26"/>
      <c r="WB288" s="26"/>
      <c r="WC288" s="26"/>
      <c r="WD288" s="26"/>
      <c r="WE288" s="26"/>
      <c r="WF288" s="26"/>
      <c r="WG288" s="26"/>
      <c r="WH288" s="26"/>
      <c r="WI288" s="26"/>
      <c r="WJ288" s="26"/>
      <c r="WK288" s="26"/>
      <c r="WL288" s="26"/>
      <c r="WM288" s="26"/>
      <c r="WN288" s="26"/>
      <c r="WO288" s="26"/>
      <c r="WP288" s="26"/>
      <c r="WQ288" s="26"/>
      <c r="WR288" s="26"/>
      <c r="WS288" s="26"/>
      <c r="WT288" s="26"/>
      <c r="WU288" s="26"/>
      <c r="WV288" s="26"/>
      <c r="WW288" s="26"/>
      <c r="WX288" s="26"/>
      <c r="WY288" s="26"/>
      <c r="WZ288" s="26"/>
      <c r="XA288" s="26"/>
      <c r="XB288" s="26"/>
      <c r="XC288" s="26"/>
      <c r="XD288" s="26"/>
      <c r="XE288" s="26"/>
      <c r="XF288" s="26"/>
      <c r="XG288" s="26"/>
      <c r="XH288" s="26"/>
      <c r="XI288" s="26"/>
      <c r="XJ288" s="26"/>
      <c r="XK288" s="26"/>
      <c r="XL288" s="26"/>
      <c r="XM288" s="26"/>
      <c r="XN288" s="26"/>
      <c r="XO288" s="26"/>
      <c r="XP288" s="26"/>
      <c r="XQ288" s="26"/>
      <c r="XR288" s="26"/>
      <c r="XS288" s="26"/>
      <c r="XT288" s="26"/>
      <c r="XU288" s="26"/>
      <c r="XV288" s="26"/>
      <c r="XW288" s="26"/>
      <c r="XX288" s="26"/>
      <c r="XY288" s="26"/>
      <c r="XZ288" s="26"/>
      <c r="YA288" s="26"/>
      <c r="YB288" s="26"/>
      <c r="YC288" s="26"/>
      <c r="YD288" s="26"/>
      <c r="YE288" s="26"/>
      <c r="YF288" s="26"/>
      <c r="YG288" s="26"/>
      <c r="YH288" s="26"/>
      <c r="YI288" s="26"/>
      <c r="YJ288" s="26"/>
      <c r="YK288" s="26"/>
      <c r="YL288" s="26"/>
      <c r="YM288" s="26"/>
      <c r="YN288" s="26"/>
      <c r="YO288" s="26"/>
      <c r="YP288" s="26"/>
      <c r="YQ288" s="26"/>
      <c r="YR288" s="26"/>
      <c r="YS288" s="26"/>
      <c r="YT288" s="26"/>
      <c r="YU288" s="26"/>
      <c r="YV288" s="26"/>
      <c r="YW288" s="26"/>
      <c r="YX288" s="26"/>
      <c r="YY288" s="26"/>
      <c r="YZ288" s="26"/>
      <c r="ZA288" s="26"/>
      <c r="ZB288" s="26"/>
      <c r="ZC288" s="26"/>
      <c r="ZD288" s="26"/>
      <c r="ZE288" s="26"/>
      <c r="ZF288" s="26"/>
      <c r="ZG288" s="26"/>
      <c r="ZH288" s="26"/>
      <c r="ZI288" s="26"/>
      <c r="ZJ288" s="26"/>
      <c r="ZK288" s="26"/>
      <c r="ZL288" s="26"/>
      <c r="ZM288" s="26"/>
      <c r="ZN288" s="26"/>
      <c r="ZO288" s="26"/>
      <c r="ZP288" s="26"/>
      <c r="ZQ288" s="26"/>
      <c r="ZR288" s="26"/>
      <c r="ZS288" s="26"/>
      <c r="ZT288" s="26"/>
      <c r="ZU288" s="26"/>
      <c r="ZV288" s="26"/>
      <c r="ZW288" s="26"/>
      <c r="ZX288" s="26"/>
      <c r="ZY288" s="26"/>
      <c r="ZZ288" s="26"/>
      <c r="AAA288" s="26"/>
      <c r="AAB288" s="26"/>
      <c r="AAC288" s="26"/>
      <c r="AAD288" s="26"/>
      <c r="AAE288" s="26"/>
      <c r="AAF288" s="26"/>
      <c r="AAG288" s="26"/>
      <c r="AAH288" s="26"/>
      <c r="AAI288" s="26"/>
      <c r="AAJ288" s="26"/>
      <c r="AAK288" s="26"/>
      <c r="AAL288" s="26"/>
      <c r="AAM288" s="26"/>
      <c r="AAN288" s="26"/>
      <c r="AAO288" s="26"/>
      <c r="AAP288" s="26"/>
      <c r="AAQ288" s="26"/>
      <c r="AAR288" s="26"/>
      <c r="AAS288" s="26"/>
      <c r="AAT288" s="26"/>
      <c r="AAU288" s="26"/>
      <c r="AAV288" s="26"/>
      <c r="AAW288" s="26"/>
      <c r="AAX288" s="26"/>
      <c r="AAY288" s="26"/>
      <c r="AAZ288" s="26"/>
      <c r="ABA288" s="26"/>
      <c r="ABB288" s="26"/>
      <c r="ABC288" s="26"/>
      <c r="ABD288" s="26"/>
      <c r="ABE288" s="26"/>
      <c r="ABF288" s="26"/>
      <c r="ABG288" s="26"/>
      <c r="ABH288" s="26"/>
      <c r="ABI288" s="26"/>
      <c r="ABJ288" s="26"/>
      <c r="ABK288" s="26"/>
      <c r="ABL288" s="26"/>
      <c r="ABM288" s="26"/>
      <c r="ABN288" s="26"/>
      <c r="ABO288" s="26"/>
      <c r="ABP288" s="26"/>
      <c r="ABQ288" s="26"/>
      <c r="ABR288" s="26"/>
      <c r="ABS288" s="26"/>
      <c r="ABT288" s="26"/>
      <c r="ABU288" s="26"/>
      <c r="ABV288" s="26"/>
      <c r="ABW288" s="26"/>
      <c r="ABX288" s="26"/>
      <c r="ABY288" s="26"/>
      <c r="ABZ288" s="26"/>
      <c r="ACA288" s="26"/>
      <c r="ACB288" s="26"/>
      <c r="ACC288" s="26"/>
      <c r="ACD288" s="26"/>
      <c r="ACE288" s="26"/>
      <c r="ACF288" s="26"/>
      <c r="ACG288" s="26"/>
      <c r="ACH288" s="26"/>
      <c r="ACI288" s="26"/>
      <c r="ACJ288" s="26"/>
      <c r="ACK288" s="26"/>
      <c r="ACL288" s="26"/>
      <c r="ACM288" s="26"/>
      <c r="ACN288" s="26"/>
      <c r="ACO288" s="26"/>
      <c r="ACP288" s="26"/>
      <c r="ACQ288" s="26"/>
      <c r="ACR288" s="26"/>
      <c r="ACS288" s="26"/>
      <c r="ACT288" s="26"/>
      <c r="ACU288" s="26"/>
      <c r="ACV288" s="26"/>
      <c r="ACW288" s="26"/>
      <c r="ACX288" s="26"/>
      <c r="ACY288" s="26"/>
      <c r="ACZ288" s="26"/>
      <c r="ADA288" s="26"/>
      <c r="ADB288" s="26"/>
      <c r="ADC288" s="26"/>
      <c r="ADD288" s="26"/>
      <c r="ADE288" s="26"/>
      <c r="ADF288" s="26"/>
      <c r="ADG288" s="26"/>
      <c r="ADH288" s="26"/>
      <c r="ADI288" s="26"/>
      <c r="ADJ288" s="26"/>
      <c r="ADK288" s="26"/>
      <c r="ADL288" s="26"/>
      <c r="ADM288" s="26"/>
      <c r="ADN288" s="26"/>
      <c r="ADO288" s="26"/>
      <c r="ADP288" s="26"/>
      <c r="ADQ288" s="26"/>
      <c r="ADR288" s="26"/>
      <c r="ADS288" s="26"/>
      <c r="ADT288" s="26"/>
      <c r="ADU288" s="26"/>
      <c r="ADV288" s="26"/>
      <c r="ADW288" s="26"/>
      <c r="ADX288" s="26"/>
      <c r="ADY288" s="26"/>
      <c r="ADZ288" s="26"/>
      <c r="AEA288" s="26"/>
      <c r="AEB288" s="26"/>
      <c r="AEC288" s="26"/>
      <c r="AED288" s="26"/>
      <c r="AEE288" s="26"/>
      <c r="AEF288" s="26"/>
      <c r="AEG288" s="26"/>
      <c r="AEH288" s="26"/>
      <c r="AEI288" s="26"/>
      <c r="AEJ288" s="26"/>
      <c r="AEK288" s="26"/>
      <c r="AEL288" s="26"/>
      <c r="AEM288" s="26"/>
      <c r="AEN288" s="26"/>
      <c r="AEO288" s="26"/>
      <c r="AEP288" s="26"/>
      <c r="AEQ288" s="26"/>
      <c r="AER288" s="26"/>
      <c r="AES288" s="26"/>
      <c r="AET288" s="26"/>
      <c r="AEU288" s="26"/>
      <c r="AEV288" s="26"/>
      <c r="AEW288" s="26"/>
      <c r="AEX288" s="26"/>
      <c r="AEY288" s="26"/>
      <c r="AEZ288" s="26"/>
      <c r="AFA288" s="26"/>
      <c r="AFB288" s="26"/>
      <c r="AFC288" s="26"/>
      <c r="AFD288" s="26"/>
      <c r="AFE288" s="26"/>
      <c r="AFF288" s="26"/>
      <c r="AFG288" s="26"/>
      <c r="AFH288" s="26"/>
      <c r="AFI288" s="26"/>
      <c r="AFJ288" s="26"/>
      <c r="AFK288" s="26"/>
      <c r="AFL288" s="26"/>
      <c r="AFM288" s="26"/>
      <c r="AFN288" s="26"/>
      <c r="AFO288" s="26"/>
      <c r="AFP288" s="26"/>
      <c r="AFQ288" s="26"/>
      <c r="AFR288" s="26"/>
      <c r="AFS288" s="26"/>
      <c r="AFT288" s="26"/>
      <c r="AFU288" s="26"/>
      <c r="AFV288" s="26"/>
      <c r="AFW288" s="26"/>
      <c r="AFX288" s="26"/>
      <c r="AFY288" s="26"/>
      <c r="AFZ288" s="26"/>
      <c r="AGA288" s="26"/>
      <c r="AGB288" s="26"/>
      <c r="AGC288" s="26"/>
      <c r="AGD288" s="26"/>
      <c r="AGE288" s="26"/>
      <c r="AGF288" s="26"/>
      <c r="AGG288" s="26"/>
      <c r="AGH288" s="26"/>
      <c r="AGI288" s="26"/>
      <c r="AGJ288" s="26"/>
      <c r="AGK288" s="26"/>
      <c r="AGL288" s="26"/>
      <c r="AGM288" s="26"/>
      <c r="AGN288" s="26"/>
      <c r="AGO288" s="26"/>
      <c r="AGP288" s="26"/>
      <c r="AGQ288" s="26"/>
      <c r="AGR288" s="26"/>
      <c r="AGS288" s="26"/>
      <c r="AGT288" s="26"/>
      <c r="AGU288" s="26"/>
      <c r="AGV288" s="26"/>
      <c r="AGW288" s="26"/>
      <c r="AGX288" s="26"/>
      <c r="AGY288" s="26"/>
      <c r="AGZ288" s="26"/>
      <c r="AHA288" s="26"/>
      <c r="AHB288" s="26"/>
      <c r="AHC288" s="26"/>
      <c r="AHD288" s="26"/>
      <c r="AHE288" s="26"/>
      <c r="AHF288" s="26"/>
      <c r="AHG288" s="26"/>
      <c r="AHH288" s="26"/>
      <c r="AHI288" s="26"/>
      <c r="AHJ288" s="26"/>
      <c r="AHK288" s="26"/>
      <c r="AHL288" s="26"/>
      <c r="AHM288" s="26"/>
      <c r="AHN288" s="26"/>
      <c r="AHO288" s="26"/>
      <c r="AHP288" s="26"/>
      <c r="AHQ288" s="26"/>
      <c r="AHR288" s="26"/>
      <c r="AHS288" s="26"/>
      <c r="AHT288" s="26"/>
      <c r="AHU288" s="26"/>
      <c r="AHV288" s="26"/>
      <c r="AHW288" s="26"/>
      <c r="AHX288" s="26"/>
      <c r="AHY288" s="26"/>
      <c r="AHZ288" s="26"/>
      <c r="AIA288" s="26"/>
      <c r="AIB288" s="26"/>
      <c r="AIC288" s="26"/>
      <c r="AID288" s="26"/>
      <c r="AIE288" s="26"/>
      <c r="AIF288" s="26"/>
      <c r="AIG288" s="26"/>
      <c r="AIH288" s="26"/>
      <c r="AII288" s="26"/>
      <c r="AIJ288" s="26"/>
      <c r="AIK288" s="26"/>
      <c r="AIL288" s="26"/>
      <c r="AIM288" s="26"/>
      <c r="AIN288" s="26"/>
      <c r="AIO288" s="26"/>
      <c r="AIP288" s="26"/>
      <c r="AIQ288" s="26"/>
      <c r="AIR288" s="26"/>
      <c r="AIS288" s="26"/>
      <c r="AIT288" s="26"/>
      <c r="AIU288" s="26"/>
      <c r="AIV288" s="26"/>
      <c r="AIW288" s="26"/>
      <c r="AIX288" s="26"/>
      <c r="AIY288" s="26"/>
      <c r="AIZ288" s="26"/>
      <c r="AJA288" s="26"/>
      <c r="AJB288" s="26"/>
      <c r="AJC288" s="26"/>
      <c r="AJD288" s="26"/>
      <c r="AJE288" s="26"/>
      <c r="AJF288" s="26"/>
      <c r="AJG288" s="26"/>
      <c r="AJH288" s="26"/>
      <c r="AJI288" s="26"/>
      <c r="AJJ288" s="26"/>
      <c r="AJK288" s="26"/>
      <c r="AJL288" s="26"/>
      <c r="AJM288" s="26"/>
      <c r="AJN288" s="26"/>
      <c r="AJO288" s="26"/>
      <c r="AJP288" s="26"/>
      <c r="AJQ288" s="26"/>
      <c r="AJR288" s="26"/>
      <c r="AJS288" s="26"/>
      <c r="AJT288" s="26"/>
      <c r="AJU288" s="26"/>
      <c r="AJV288" s="26"/>
      <c r="AJW288" s="26"/>
      <c r="AJX288" s="26"/>
      <c r="AJY288" s="26"/>
      <c r="AJZ288" s="26"/>
      <c r="AKA288" s="26"/>
      <c r="AKB288" s="26"/>
      <c r="AKC288" s="26"/>
      <c r="AKD288" s="26"/>
      <c r="AKE288" s="26"/>
      <c r="AKF288" s="26"/>
      <c r="AKG288" s="26"/>
      <c r="AKH288" s="26"/>
      <c r="AKI288" s="26"/>
      <c r="AKJ288" s="26"/>
      <c r="AKK288" s="26"/>
      <c r="AKL288" s="26"/>
      <c r="AKM288" s="26"/>
      <c r="AKN288" s="26"/>
      <c r="AKO288" s="26"/>
      <c r="AKP288" s="26"/>
      <c r="AKQ288" s="26"/>
      <c r="AKR288" s="26"/>
      <c r="AKS288" s="26"/>
      <c r="AKT288" s="26"/>
      <c r="AKU288" s="26"/>
      <c r="AKV288" s="26"/>
      <c r="AKW288" s="26"/>
      <c r="AKX288" s="26"/>
      <c r="AKY288" s="26"/>
      <c r="AKZ288" s="26"/>
      <c r="ALA288" s="26"/>
      <c r="ALB288" s="26"/>
      <c r="ALC288" s="26"/>
      <c r="ALD288" s="26"/>
      <c r="ALE288" s="26"/>
      <c r="ALF288" s="26"/>
      <c r="ALG288" s="26"/>
      <c r="ALH288" s="26"/>
      <c r="ALI288" s="26"/>
      <c r="ALJ288" s="26"/>
      <c r="ALK288" s="26"/>
      <c r="ALL288" s="26"/>
      <c r="ALM288" s="26"/>
      <c r="ALN288" s="26"/>
      <c r="ALO288" s="26"/>
      <c r="ALP288" s="26"/>
      <c r="ALQ288" s="26"/>
      <c r="ALR288" s="26"/>
      <c r="ALS288" s="26"/>
      <c r="ALT288" s="26"/>
      <c r="ALU288" s="26"/>
      <c r="ALV288" s="26"/>
      <c r="ALW288" s="26"/>
      <c r="ALX288" s="26"/>
      <c r="ALY288" s="26"/>
      <c r="ALZ288" s="26"/>
      <c r="AMA288" s="26"/>
      <c r="AMB288" s="26"/>
      <c r="AMC288" s="26"/>
      <c r="AMD288" s="26"/>
      <c r="AME288" s="26"/>
      <c r="AMF288" s="26"/>
      <c r="AMG288" s="26"/>
      <c r="AMH288" s="26"/>
      <c r="AMI288" s="26"/>
      <c r="AMJ288" s="26"/>
      <c r="AMK288" s="26"/>
      <c r="AML288" s="26"/>
      <c r="AMM288" s="26"/>
      <c r="AMN288" s="26"/>
      <c r="AMO288" s="26"/>
      <c r="AMP288" s="26"/>
      <c r="AMQ288" s="26"/>
      <c r="AMR288" s="26"/>
      <c r="AMS288" s="26"/>
      <c r="AMT288" s="26"/>
      <c r="AMU288" s="26"/>
      <c r="AMV288" s="26"/>
      <c r="AMW288" s="26"/>
      <c r="AMX288" s="26"/>
      <c r="AMY288" s="26"/>
      <c r="AMZ288" s="26"/>
      <c r="ANA288" s="26"/>
      <c r="ANB288" s="26"/>
      <c r="ANC288" s="26"/>
      <c r="AND288" s="26"/>
      <c r="ANE288" s="26"/>
      <c r="ANF288" s="26"/>
      <c r="ANG288" s="26"/>
      <c r="ANH288" s="26"/>
      <c r="ANI288" s="26"/>
      <c r="ANJ288" s="26"/>
      <c r="ANK288" s="26"/>
      <c r="ANL288" s="26"/>
      <c r="ANM288" s="26"/>
      <c r="ANN288" s="26"/>
      <c r="ANO288" s="26"/>
      <c r="ANP288" s="26"/>
      <c r="ANQ288" s="26"/>
      <c r="ANR288" s="26"/>
      <c r="ANS288" s="26"/>
      <c r="ANT288" s="26"/>
      <c r="ANU288" s="26"/>
      <c r="ANV288" s="26"/>
      <c r="ANW288" s="26"/>
      <c r="ANX288" s="26"/>
      <c r="ANY288" s="26"/>
      <c r="ANZ288" s="26"/>
      <c r="AOA288" s="26"/>
      <c r="AOB288" s="26"/>
      <c r="AOC288" s="26"/>
      <c r="AOD288" s="26"/>
      <c r="AOE288" s="26"/>
      <c r="AOF288" s="26"/>
      <c r="AOG288" s="26"/>
      <c r="AOH288" s="26"/>
      <c r="AOI288" s="26"/>
      <c r="AOJ288" s="26"/>
      <c r="AOK288" s="26"/>
      <c r="AOL288" s="26"/>
      <c r="AOM288" s="26"/>
      <c r="AON288" s="26"/>
      <c r="AOO288" s="26"/>
      <c r="AOP288" s="26"/>
      <c r="AOQ288" s="26"/>
      <c r="AOR288" s="26"/>
      <c r="AOS288" s="26"/>
      <c r="AOT288" s="26"/>
      <c r="AOU288" s="26"/>
      <c r="AOV288" s="26"/>
      <c r="AOW288" s="26"/>
      <c r="AOX288" s="26"/>
      <c r="AOY288" s="26"/>
      <c r="AOZ288" s="26"/>
      <c r="APA288" s="26"/>
      <c r="APB288" s="26"/>
      <c r="APC288" s="26"/>
      <c r="APD288" s="26"/>
      <c r="APE288" s="26"/>
      <c r="APF288" s="26"/>
      <c r="APG288" s="26"/>
      <c r="APH288" s="26"/>
      <c r="API288" s="26"/>
      <c r="APJ288" s="26"/>
      <c r="APK288" s="26"/>
      <c r="APL288" s="26"/>
      <c r="APM288" s="26"/>
      <c r="APN288" s="26"/>
      <c r="APO288" s="26"/>
      <c r="APP288" s="26"/>
      <c r="APQ288" s="26"/>
      <c r="APR288" s="26"/>
      <c r="APS288" s="26"/>
      <c r="APT288" s="26"/>
      <c r="APU288" s="26"/>
      <c r="APV288" s="26"/>
      <c r="APW288" s="26"/>
      <c r="APX288" s="26"/>
      <c r="APY288" s="26"/>
      <c r="APZ288" s="26"/>
      <c r="AQA288" s="26"/>
      <c r="AQB288" s="26"/>
      <c r="AQC288" s="26"/>
      <c r="AQD288" s="26"/>
      <c r="AQE288" s="26"/>
      <c r="AQF288" s="26"/>
      <c r="AQG288" s="26"/>
      <c r="AQH288" s="26"/>
      <c r="AQI288" s="26"/>
      <c r="AQJ288" s="26"/>
      <c r="AQK288" s="26"/>
      <c r="AQL288" s="26"/>
      <c r="AQM288" s="26"/>
      <c r="AQN288" s="26"/>
      <c r="AQO288" s="26"/>
      <c r="AQP288" s="26"/>
      <c r="AQQ288" s="26"/>
      <c r="AQR288" s="26"/>
      <c r="AQS288" s="26"/>
      <c r="AQT288" s="26"/>
      <c r="AQU288" s="26"/>
      <c r="AQV288" s="26"/>
      <c r="AQW288" s="26"/>
      <c r="AQX288" s="26"/>
      <c r="AQY288" s="26"/>
      <c r="AQZ288" s="26"/>
      <c r="ARA288" s="26"/>
      <c r="ARB288" s="26"/>
      <c r="ARC288" s="26"/>
      <c r="ARD288" s="26"/>
      <c r="ARE288" s="26"/>
      <c r="ARF288" s="26"/>
      <c r="ARG288" s="26"/>
      <c r="ARH288" s="26"/>
      <c r="ARI288" s="26"/>
      <c r="ARJ288" s="26"/>
      <c r="ARK288" s="26"/>
      <c r="ARL288" s="26"/>
      <c r="ARM288" s="26"/>
      <c r="ARN288" s="26"/>
      <c r="ARO288" s="26"/>
      <c r="ARP288" s="26"/>
      <c r="ARQ288" s="26"/>
      <c r="ARR288" s="26"/>
      <c r="ARS288" s="26"/>
      <c r="ART288" s="26"/>
      <c r="ARU288" s="26"/>
      <c r="ARV288" s="26"/>
      <c r="ARW288" s="26"/>
      <c r="ARX288" s="26"/>
      <c r="ARY288" s="26"/>
      <c r="ARZ288" s="26"/>
      <c r="ASA288" s="26"/>
      <c r="ASB288" s="26"/>
      <c r="ASC288" s="26"/>
      <c r="ASD288" s="26"/>
      <c r="ASE288" s="26"/>
      <c r="ASF288" s="26"/>
      <c r="ASG288" s="26"/>
      <c r="ASH288" s="26"/>
      <c r="ASI288" s="26"/>
      <c r="ASJ288" s="26"/>
      <c r="ASK288" s="26"/>
      <c r="ASL288" s="26"/>
      <c r="ASM288" s="26"/>
      <c r="ASN288" s="26"/>
      <c r="ASO288" s="26"/>
      <c r="ASP288" s="26"/>
      <c r="ASQ288" s="26"/>
      <c r="ASR288" s="26"/>
      <c r="ASS288" s="26"/>
      <c r="AST288" s="26"/>
      <c r="ASU288" s="26"/>
      <c r="ASV288" s="26"/>
      <c r="ASW288" s="26"/>
      <c r="ASX288" s="26"/>
      <c r="ASY288" s="26"/>
      <c r="ASZ288" s="26"/>
      <c r="ATA288" s="26"/>
      <c r="ATB288" s="26"/>
      <c r="ATC288" s="26"/>
      <c r="ATD288" s="26"/>
      <c r="ATE288" s="26"/>
      <c r="ATF288" s="26"/>
      <c r="ATG288" s="26"/>
      <c r="ATH288" s="26"/>
      <c r="ATI288" s="26"/>
      <c r="ATJ288" s="26"/>
      <c r="ATK288" s="26"/>
      <c r="ATL288" s="26"/>
      <c r="ATM288" s="26"/>
      <c r="ATN288" s="26"/>
      <c r="ATO288" s="26"/>
      <c r="ATP288" s="26"/>
      <c r="ATQ288" s="26"/>
      <c r="ATR288" s="26"/>
      <c r="ATS288" s="26"/>
      <c r="ATT288" s="26"/>
      <c r="ATU288" s="26"/>
      <c r="ATV288" s="26"/>
      <c r="ATW288" s="26"/>
      <c r="ATX288" s="26"/>
      <c r="ATY288" s="26"/>
      <c r="ATZ288" s="26"/>
      <c r="AUA288" s="26"/>
      <c r="AUB288" s="26"/>
      <c r="AUC288" s="26"/>
      <c r="AUD288" s="26"/>
      <c r="AUE288" s="26"/>
      <c r="AUF288" s="26"/>
      <c r="AUG288" s="26"/>
      <c r="AUH288" s="26"/>
      <c r="AUI288" s="26"/>
      <c r="AUJ288" s="26"/>
      <c r="AUK288" s="26"/>
      <c r="AUL288" s="26"/>
      <c r="AUM288" s="26"/>
      <c r="AUN288" s="26"/>
      <c r="AUO288" s="26"/>
      <c r="AUP288" s="26"/>
      <c r="AUQ288" s="26"/>
      <c r="AUR288" s="26"/>
      <c r="AUS288" s="26"/>
      <c r="AUT288" s="26"/>
      <c r="AUU288" s="26"/>
      <c r="AUV288" s="26"/>
      <c r="AUW288" s="26"/>
      <c r="AUX288" s="26"/>
      <c r="AUY288" s="26"/>
      <c r="AUZ288" s="26"/>
      <c r="AVA288" s="26"/>
      <c r="AVB288" s="26"/>
      <c r="AVC288" s="26"/>
      <c r="AVD288" s="26"/>
      <c r="AVE288" s="26"/>
      <c r="AVF288" s="26"/>
      <c r="AVG288" s="26"/>
      <c r="AVH288" s="26"/>
      <c r="AVI288" s="26"/>
      <c r="AVJ288" s="26"/>
      <c r="AVK288" s="26"/>
      <c r="AVL288" s="26"/>
      <c r="AVM288" s="26"/>
      <c r="AVN288" s="26"/>
      <c r="AVO288" s="26"/>
      <c r="AVP288" s="26"/>
      <c r="AVQ288" s="26"/>
      <c r="AVR288" s="26"/>
      <c r="AVS288" s="26"/>
      <c r="AVT288" s="26"/>
      <c r="AVU288" s="26"/>
      <c r="AVV288" s="26"/>
      <c r="AVW288" s="26"/>
      <c r="AVX288" s="26"/>
      <c r="AVY288" s="26"/>
      <c r="AVZ288" s="26"/>
      <c r="AWA288" s="26"/>
      <c r="AWB288" s="26"/>
      <c r="AWC288" s="26"/>
      <c r="AWD288" s="26"/>
      <c r="AWE288" s="26"/>
      <c r="AWF288" s="26"/>
      <c r="AWG288" s="26"/>
      <c r="AWH288" s="26"/>
      <c r="AWI288" s="26"/>
      <c r="AWJ288" s="26"/>
      <c r="AWK288" s="26"/>
      <c r="AWL288" s="26"/>
      <c r="AWM288" s="26"/>
      <c r="AWN288" s="26"/>
      <c r="AWO288" s="26"/>
      <c r="AWP288" s="26"/>
      <c r="AWQ288" s="26"/>
      <c r="AWR288" s="26"/>
      <c r="AWS288" s="26"/>
      <c r="AWT288" s="26"/>
      <c r="AWU288" s="26"/>
      <c r="AWV288" s="26"/>
      <c r="AWW288" s="26"/>
      <c r="AWX288" s="26"/>
      <c r="AWY288" s="26"/>
      <c r="AWZ288" s="26"/>
      <c r="AXA288" s="26"/>
      <c r="AXB288" s="26"/>
      <c r="AXC288" s="26"/>
      <c r="AXD288" s="26"/>
      <c r="AXE288" s="26"/>
      <c r="AXF288" s="26"/>
      <c r="AXG288" s="26"/>
      <c r="AXH288" s="26"/>
      <c r="AXI288" s="26"/>
      <c r="AXJ288" s="26"/>
      <c r="AXK288" s="26"/>
      <c r="AXL288" s="26"/>
      <c r="AXM288" s="26"/>
      <c r="AXN288" s="26"/>
      <c r="AXO288" s="26"/>
      <c r="AXP288" s="26"/>
      <c r="AXQ288" s="26"/>
      <c r="AXR288" s="26"/>
      <c r="AXS288" s="26"/>
      <c r="AXT288" s="26"/>
      <c r="AXU288" s="26"/>
      <c r="AXV288" s="26"/>
      <c r="AXW288" s="26"/>
      <c r="AXX288" s="26"/>
      <c r="AXY288" s="26"/>
      <c r="AXZ288" s="26"/>
      <c r="AYA288" s="26"/>
      <c r="AYB288" s="26"/>
      <c r="AYC288" s="26"/>
      <c r="AYD288" s="26"/>
      <c r="AYE288" s="26"/>
      <c r="AYF288" s="26"/>
      <c r="AYG288" s="26"/>
      <c r="AYH288" s="26"/>
      <c r="AYI288" s="26"/>
      <c r="AYJ288" s="26"/>
      <c r="AYK288" s="26"/>
      <c r="AYL288" s="26"/>
      <c r="AYM288" s="26"/>
      <c r="AYN288" s="26"/>
      <c r="AYO288" s="26"/>
      <c r="AYP288" s="26"/>
      <c r="AYQ288" s="26"/>
      <c r="AYR288" s="26"/>
      <c r="AYS288" s="26"/>
      <c r="AYT288" s="26"/>
      <c r="AYU288" s="26"/>
      <c r="AYV288" s="26"/>
      <c r="AYW288" s="26"/>
      <c r="AYX288" s="26"/>
      <c r="AYY288" s="26"/>
      <c r="AYZ288" s="26"/>
      <c r="AZA288" s="26"/>
      <c r="AZB288" s="26"/>
      <c r="AZC288" s="26"/>
      <c r="AZD288" s="26"/>
      <c r="AZE288" s="26"/>
      <c r="AZF288" s="26"/>
      <c r="AZG288" s="26"/>
      <c r="AZH288" s="26"/>
      <c r="AZI288" s="26"/>
      <c r="AZJ288" s="26"/>
      <c r="AZK288" s="26"/>
      <c r="AZL288" s="26"/>
      <c r="AZM288" s="26"/>
      <c r="AZN288" s="26"/>
      <c r="AZO288" s="26"/>
      <c r="AZP288" s="26"/>
      <c r="AZQ288" s="26"/>
      <c r="AZR288" s="26"/>
      <c r="AZS288" s="26"/>
      <c r="AZT288" s="26"/>
      <c r="AZU288" s="26"/>
      <c r="AZV288" s="26"/>
      <c r="AZW288" s="26"/>
      <c r="AZX288" s="26"/>
      <c r="AZY288" s="26"/>
      <c r="AZZ288" s="26"/>
      <c r="BAA288" s="26"/>
      <c r="BAB288" s="26"/>
      <c r="BAC288" s="26"/>
      <c r="BAD288" s="26"/>
      <c r="BAE288" s="26"/>
      <c r="BAF288" s="26"/>
      <c r="BAG288" s="26"/>
      <c r="BAH288" s="26"/>
      <c r="BAI288" s="26"/>
      <c r="BAJ288" s="26"/>
      <c r="BAK288" s="26"/>
      <c r="BAL288" s="26"/>
      <c r="BAM288" s="26"/>
      <c r="BAN288" s="26"/>
      <c r="BAO288" s="26"/>
      <c r="BAP288" s="26"/>
      <c r="BAQ288" s="26"/>
      <c r="BAR288" s="26"/>
      <c r="BAS288" s="26"/>
      <c r="BAT288" s="26"/>
      <c r="BAU288" s="26"/>
      <c r="BAV288" s="26"/>
      <c r="BAW288" s="26"/>
      <c r="BAX288" s="26"/>
      <c r="BAY288" s="26"/>
      <c r="BAZ288" s="26"/>
      <c r="BBA288" s="26"/>
      <c r="BBB288" s="26"/>
      <c r="BBC288" s="26"/>
      <c r="BBD288" s="26"/>
      <c r="BBE288" s="26"/>
      <c r="BBF288" s="26"/>
      <c r="BBG288" s="26"/>
      <c r="BBH288" s="26"/>
      <c r="BBI288" s="26"/>
      <c r="BBJ288" s="26"/>
      <c r="BBK288" s="26"/>
      <c r="BBL288" s="26"/>
      <c r="BBM288" s="26"/>
      <c r="BBN288" s="26"/>
      <c r="BBO288" s="26"/>
      <c r="BBP288" s="26"/>
      <c r="BBQ288" s="26"/>
      <c r="BBR288" s="26"/>
      <c r="BBS288" s="26"/>
      <c r="BBT288" s="26"/>
      <c r="BBU288" s="26"/>
      <c r="BBV288" s="26"/>
      <c r="BBW288" s="26"/>
      <c r="BBX288" s="26"/>
      <c r="BBY288" s="26"/>
      <c r="BBZ288" s="26"/>
      <c r="BCA288" s="26"/>
      <c r="BCB288" s="26"/>
      <c r="BCC288" s="26"/>
      <c r="BCD288" s="26"/>
      <c r="BCE288" s="26"/>
      <c r="BCF288" s="26"/>
      <c r="BCG288" s="26"/>
      <c r="BCH288" s="26"/>
      <c r="BCI288" s="26"/>
      <c r="BCJ288" s="26"/>
      <c r="BCK288" s="26"/>
      <c r="BCL288" s="26"/>
      <c r="BCM288" s="26"/>
      <c r="BCN288" s="26"/>
      <c r="BCO288" s="26"/>
      <c r="BCP288" s="26"/>
      <c r="BCQ288" s="26"/>
      <c r="BCR288" s="26"/>
      <c r="BCS288" s="26"/>
      <c r="BCT288" s="26"/>
      <c r="BCU288" s="26"/>
      <c r="BCV288" s="26"/>
      <c r="BCW288" s="26"/>
      <c r="BCX288" s="26"/>
      <c r="BCY288" s="26"/>
      <c r="BCZ288" s="26"/>
      <c r="BDA288" s="26"/>
      <c r="BDB288" s="26"/>
      <c r="BDC288" s="26"/>
      <c r="BDD288" s="26"/>
      <c r="BDE288" s="26"/>
      <c r="BDF288" s="26"/>
      <c r="BDG288" s="26"/>
      <c r="BDH288" s="26"/>
      <c r="BDI288" s="26"/>
      <c r="BDJ288" s="26"/>
      <c r="BDK288" s="26"/>
      <c r="BDL288" s="26"/>
      <c r="BDM288" s="26"/>
      <c r="BDN288" s="26"/>
      <c r="BDO288" s="26"/>
      <c r="BDP288" s="26"/>
      <c r="BDQ288" s="26"/>
      <c r="BDR288" s="26"/>
      <c r="BDS288" s="26"/>
      <c r="BDT288" s="26"/>
      <c r="BDU288" s="26"/>
      <c r="BDV288" s="26"/>
      <c r="BDW288" s="26"/>
      <c r="BDX288" s="26"/>
      <c r="BDY288" s="26"/>
      <c r="BDZ288" s="26"/>
      <c r="BEA288" s="26"/>
      <c r="BEB288" s="26"/>
      <c r="BEC288" s="26"/>
      <c r="BED288" s="26"/>
      <c r="BEE288" s="26"/>
      <c r="BEF288" s="26"/>
      <c r="BEG288" s="26"/>
      <c r="BEH288" s="26"/>
      <c r="BEI288" s="26"/>
      <c r="BEJ288" s="26"/>
      <c r="BEK288" s="26"/>
      <c r="BEL288" s="26"/>
      <c r="BEM288" s="26"/>
      <c r="BEN288" s="26"/>
      <c r="BEO288" s="26"/>
      <c r="BEP288" s="26"/>
      <c r="BEQ288" s="26"/>
      <c r="BER288" s="26"/>
      <c r="BES288" s="26"/>
      <c r="BET288" s="26"/>
      <c r="BEU288" s="26"/>
      <c r="BEV288" s="26"/>
      <c r="BEW288" s="26"/>
      <c r="BEX288" s="26"/>
      <c r="BEY288" s="26"/>
      <c r="BEZ288" s="26"/>
      <c r="BFA288" s="26"/>
      <c r="BFB288" s="26"/>
      <c r="BFC288" s="26"/>
      <c r="BFD288" s="26"/>
      <c r="BFE288" s="26"/>
      <c r="BFF288" s="26"/>
      <c r="BFG288" s="26"/>
      <c r="BFH288" s="26"/>
      <c r="BFI288" s="26"/>
      <c r="BFJ288" s="26"/>
      <c r="BFK288" s="26"/>
      <c r="BFL288" s="26"/>
      <c r="BFM288" s="26"/>
      <c r="BFN288" s="26"/>
      <c r="BFO288" s="26"/>
      <c r="BFP288" s="26"/>
      <c r="BFQ288" s="26"/>
      <c r="BFR288" s="26"/>
      <c r="BFS288" s="26"/>
      <c r="BFT288" s="26"/>
      <c r="BFU288" s="26"/>
      <c r="BFV288" s="26"/>
      <c r="BFW288" s="26"/>
      <c r="BFX288" s="26"/>
      <c r="BFY288" s="26"/>
      <c r="BFZ288" s="26"/>
      <c r="BGA288" s="26"/>
      <c r="BGB288" s="26"/>
      <c r="BGC288" s="26"/>
      <c r="BGD288" s="26"/>
      <c r="BGE288" s="26"/>
      <c r="BGF288" s="26"/>
      <c r="BGG288" s="26"/>
      <c r="BGH288" s="26"/>
      <c r="BGI288" s="26"/>
      <c r="BGJ288" s="26"/>
      <c r="BGK288" s="26"/>
      <c r="BGL288" s="26"/>
      <c r="BGM288" s="26"/>
      <c r="BGN288" s="26"/>
      <c r="BGO288" s="26"/>
      <c r="BGP288" s="26"/>
      <c r="BGQ288" s="26"/>
      <c r="BGR288" s="26"/>
      <c r="BGS288" s="26"/>
      <c r="BGT288" s="26"/>
      <c r="BGU288" s="26"/>
      <c r="BGV288" s="26"/>
      <c r="BGW288" s="26"/>
      <c r="BGX288" s="26"/>
      <c r="BGY288" s="26"/>
      <c r="BGZ288" s="26"/>
      <c r="BHA288" s="26"/>
      <c r="BHB288" s="26"/>
      <c r="BHC288" s="26"/>
      <c r="BHD288" s="26"/>
      <c r="BHE288" s="26"/>
      <c r="BHF288" s="26"/>
      <c r="BHG288" s="26"/>
      <c r="BHH288" s="26"/>
      <c r="BHI288" s="26"/>
      <c r="BHJ288" s="26"/>
      <c r="BHK288" s="26"/>
      <c r="BHL288" s="26"/>
      <c r="BHM288" s="26"/>
      <c r="BHN288" s="26"/>
      <c r="BHO288" s="26"/>
      <c r="BHP288" s="26"/>
      <c r="BHQ288" s="26"/>
      <c r="BHR288" s="26"/>
      <c r="BHS288" s="26"/>
      <c r="BHT288" s="26"/>
      <c r="BHU288" s="26"/>
      <c r="BHV288" s="26"/>
      <c r="BHW288" s="26"/>
      <c r="BHX288" s="26"/>
      <c r="BHY288" s="26"/>
      <c r="BHZ288" s="26"/>
      <c r="BIA288" s="26"/>
      <c r="BIB288" s="26"/>
      <c r="BIC288" s="26"/>
      <c r="BID288" s="26"/>
      <c r="BIE288" s="26"/>
      <c r="BIF288" s="26"/>
      <c r="BIG288" s="26"/>
      <c r="BIH288" s="26"/>
      <c r="BII288" s="26"/>
      <c r="BIJ288" s="26"/>
      <c r="BIK288" s="26"/>
      <c r="BIL288" s="26"/>
      <c r="BIM288" s="26"/>
      <c r="BIN288" s="26"/>
      <c r="BIO288" s="26"/>
      <c r="BIP288" s="26"/>
      <c r="BIQ288" s="26"/>
      <c r="BIR288" s="26"/>
      <c r="BIS288" s="26"/>
      <c r="BIT288" s="26"/>
      <c r="BIU288" s="26"/>
      <c r="BIV288" s="26"/>
      <c r="BIW288" s="26"/>
      <c r="BIX288" s="26"/>
      <c r="BIY288" s="26"/>
      <c r="BIZ288" s="26"/>
      <c r="BJA288" s="26"/>
      <c r="BJB288" s="26"/>
      <c r="BJC288" s="26"/>
      <c r="BJD288" s="26"/>
      <c r="BJE288" s="26"/>
      <c r="BJF288" s="26"/>
      <c r="BJG288" s="26"/>
      <c r="BJH288" s="26"/>
      <c r="BJI288" s="26"/>
      <c r="BJJ288" s="26"/>
      <c r="BJK288" s="26"/>
      <c r="BJL288" s="26"/>
      <c r="BJM288" s="26"/>
      <c r="BJN288" s="26"/>
      <c r="BJO288" s="26"/>
      <c r="BJP288" s="26"/>
      <c r="BJQ288" s="26"/>
      <c r="BJR288" s="26"/>
      <c r="BJS288" s="26"/>
      <c r="BJT288" s="26"/>
      <c r="BJU288" s="26"/>
      <c r="BJV288" s="26"/>
      <c r="BJW288" s="26"/>
      <c r="BJX288" s="26"/>
      <c r="BJY288" s="26"/>
      <c r="BJZ288" s="26"/>
      <c r="BKA288" s="26"/>
      <c r="BKB288" s="26"/>
      <c r="BKC288" s="26"/>
      <c r="BKD288" s="26"/>
      <c r="BKE288" s="26"/>
      <c r="BKF288" s="26"/>
      <c r="BKG288" s="26"/>
      <c r="BKH288" s="26"/>
      <c r="BKI288" s="26"/>
      <c r="BKJ288" s="26"/>
      <c r="BKK288" s="26"/>
      <c r="BKL288" s="26"/>
      <c r="BKM288" s="26"/>
      <c r="BKN288" s="26"/>
      <c r="BKO288" s="26"/>
      <c r="BKP288" s="26"/>
      <c r="BKQ288" s="26"/>
      <c r="BKR288" s="26"/>
      <c r="BKS288" s="26"/>
      <c r="BKT288" s="26"/>
      <c r="BKU288" s="26"/>
      <c r="BKV288" s="26"/>
      <c r="BKW288" s="26"/>
      <c r="BKX288" s="26"/>
      <c r="BKY288" s="26"/>
      <c r="BKZ288" s="26"/>
      <c r="BLA288" s="26"/>
      <c r="BLB288" s="26"/>
      <c r="BLC288" s="26"/>
      <c r="BLD288" s="26"/>
      <c r="BLE288" s="26"/>
      <c r="BLF288" s="26"/>
      <c r="BLG288" s="26"/>
      <c r="BLH288" s="26"/>
      <c r="BLI288" s="26"/>
      <c r="BLJ288" s="26"/>
      <c r="BLK288" s="26"/>
      <c r="BLL288" s="26"/>
      <c r="BLM288" s="26"/>
      <c r="BLN288" s="26"/>
      <c r="BLO288" s="26"/>
      <c r="BLP288" s="26"/>
      <c r="BLQ288" s="26"/>
      <c r="BLR288" s="26"/>
      <c r="BLS288" s="26"/>
      <c r="BLT288" s="26"/>
      <c r="BLU288" s="26"/>
      <c r="BLV288" s="26"/>
      <c r="BLW288" s="26"/>
      <c r="BLX288" s="26"/>
      <c r="BLY288" s="26"/>
      <c r="BLZ288" s="26"/>
      <c r="BMA288" s="26"/>
      <c r="BMB288" s="26"/>
      <c r="BMC288" s="26"/>
      <c r="BMD288" s="26"/>
      <c r="BME288" s="26"/>
      <c r="BMF288" s="26"/>
      <c r="BMG288" s="26"/>
      <c r="BMH288" s="26"/>
      <c r="BMI288" s="26"/>
      <c r="BMJ288" s="26"/>
      <c r="BMK288" s="26"/>
      <c r="BML288" s="26"/>
      <c r="BMM288" s="26"/>
      <c r="BMN288" s="26"/>
      <c r="BMO288" s="26"/>
      <c r="BMP288" s="26"/>
      <c r="BMQ288" s="26"/>
      <c r="BMR288" s="26"/>
      <c r="BMS288" s="26"/>
      <c r="BMT288" s="26"/>
      <c r="BMU288" s="26"/>
      <c r="BMV288" s="26"/>
      <c r="BMW288" s="26"/>
      <c r="BMX288" s="26"/>
      <c r="BMY288" s="26"/>
      <c r="BMZ288" s="26"/>
      <c r="BNA288" s="26"/>
      <c r="BNB288" s="26"/>
      <c r="BNC288" s="26"/>
      <c r="BND288" s="26"/>
      <c r="BNE288" s="26"/>
      <c r="BNF288" s="26"/>
      <c r="BNG288" s="26"/>
      <c r="BNH288" s="26"/>
      <c r="BNI288" s="26"/>
      <c r="BNJ288" s="26"/>
      <c r="BNK288" s="26"/>
      <c r="BNL288" s="26"/>
      <c r="BNM288" s="26"/>
      <c r="BNN288" s="26"/>
      <c r="BNO288" s="26"/>
      <c r="BNP288" s="26"/>
      <c r="BNQ288" s="26"/>
      <c r="BNR288" s="26"/>
      <c r="BNS288" s="26"/>
      <c r="BNT288" s="26"/>
      <c r="BNU288" s="26"/>
      <c r="BNV288" s="26"/>
      <c r="BNW288" s="26"/>
      <c r="BNX288" s="26"/>
      <c r="BNY288" s="26"/>
      <c r="BNZ288" s="26"/>
      <c r="BOA288" s="26"/>
      <c r="BOB288" s="26"/>
      <c r="BOC288" s="26"/>
      <c r="BOD288" s="26"/>
      <c r="BOE288" s="26"/>
      <c r="BOF288" s="26"/>
      <c r="BOG288" s="26"/>
      <c r="BOH288" s="26"/>
      <c r="BOI288" s="26"/>
      <c r="BOJ288" s="26"/>
      <c r="BOK288" s="26"/>
      <c r="BOL288" s="26"/>
      <c r="BOM288" s="26"/>
      <c r="BON288" s="26"/>
      <c r="BOO288" s="26"/>
      <c r="BOP288" s="26"/>
      <c r="BOQ288" s="26"/>
      <c r="BOR288" s="26"/>
      <c r="BOS288" s="26"/>
      <c r="BOT288" s="26"/>
      <c r="BOU288" s="26"/>
      <c r="BOV288" s="26"/>
      <c r="BOW288" s="26"/>
      <c r="BOX288" s="26"/>
      <c r="BOY288" s="26"/>
      <c r="BOZ288" s="26"/>
      <c r="BPA288" s="26"/>
      <c r="BPB288" s="26"/>
      <c r="BPC288" s="26"/>
      <c r="BPD288" s="26"/>
      <c r="BPE288" s="26"/>
      <c r="BPF288" s="26"/>
      <c r="BPG288" s="26"/>
      <c r="BPH288" s="26"/>
      <c r="BPI288" s="26"/>
      <c r="BPJ288" s="26"/>
      <c r="BPK288" s="26"/>
      <c r="BPL288" s="26"/>
      <c r="BPM288" s="26"/>
      <c r="BPN288" s="26"/>
      <c r="BPO288" s="26"/>
      <c r="BPP288" s="26"/>
      <c r="BPQ288" s="26"/>
      <c r="BPR288" s="26"/>
      <c r="BPS288" s="26"/>
      <c r="BPT288" s="26"/>
      <c r="BPU288" s="26"/>
      <c r="BPV288" s="26"/>
      <c r="BPW288" s="26"/>
      <c r="BPX288" s="26"/>
      <c r="BPY288" s="26"/>
      <c r="BPZ288" s="26"/>
      <c r="BQA288" s="26"/>
      <c r="BQB288" s="26"/>
      <c r="BQC288" s="26"/>
      <c r="BQD288" s="26"/>
      <c r="BQE288" s="26"/>
      <c r="BQF288" s="26"/>
      <c r="BQG288" s="26"/>
      <c r="BQH288" s="26"/>
      <c r="BQI288" s="26"/>
      <c r="BQJ288" s="26"/>
      <c r="BQK288" s="26"/>
      <c r="BQL288" s="26"/>
      <c r="BQM288" s="26"/>
      <c r="BQN288" s="26"/>
      <c r="BQO288" s="26"/>
      <c r="BQP288" s="26"/>
      <c r="BQQ288" s="26"/>
      <c r="BQR288" s="26"/>
      <c r="BQS288" s="26"/>
      <c r="BQT288" s="26"/>
      <c r="BQU288" s="26"/>
      <c r="BQV288" s="26"/>
      <c r="BQW288" s="26"/>
      <c r="BQX288" s="26"/>
      <c r="BQY288" s="26"/>
      <c r="BQZ288" s="26"/>
      <c r="BRA288" s="26"/>
      <c r="BRB288" s="26"/>
      <c r="BRC288" s="26"/>
      <c r="BRD288" s="26"/>
      <c r="BRE288" s="26"/>
      <c r="BRF288" s="26"/>
      <c r="BRG288" s="26"/>
      <c r="BRH288" s="26"/>
      <c r="BRI288" s="26"/>
      <c r="BRJ288" s="26"/>
      <c r="BRK288" s="26"/>
      <c r="BRL288" s="26"/>
      <c r="BRM288" s="26"/>
      <c r="BRN288" s="26"/>
      <c r="BRO288" s="26"/>
      <c r="BRP288" s="26"/>
      <c r="BRQ288" s="26"/>
      <c r="BRR288" s="26"/>
      <c r="BRS288" s="26"/>
      <c r="BRT288" s="26"/>
      <c r="BRU288" s="26"/>
      <c r="BRV288" s="26"/>
      <c r="BRW288" s="26"/>
      <c r="BRX288" s="26"/>
      <c r="BRY288" s="26"/>
      <c r="BRZ288" s="26"/>
      <c r="BSA288" s="26"/>
      <c r="BSB288" s="26"/>
      <c r="BSC288" s="26"/>
      <c r="BSD288" s="26"/>
      <c r="BSE288" s="26"/>
      <c r="BSF288" s="26"/>
      <c r="BSG288" s="26"/>
      <c r="BSH288" s="26"/>
      <c r="BSI288" s="26"/>
      <c r="BSJ288" s="26"/>
      <c r="BSK288" s="26"/>
      <c r="BSL288" s="26"/>
      <c r="BSM288" s="26"/>
      <c r="BSN288" s="26"/>
      <c r="BSO288" s="26"/>
      <c r="BSP288" s="26"/>
      <c r="BSQ288" s="26"/>
      <c r="BSR288" s="26"/>
      <c r="BSS288" s="26"/>
      <c r="BST288" s="26"/>
      <c r="BSU288" s="26"/>
      <c r="BSV288" s="26"/>
      <c r="BSW288" s="26"/>
      <c r="BSX288" s="26"/>
      <c r="BSY288" s="26"/>
      <c r="BSZ288" s="26"/>
      <c r="BTA288" s="26"/>
      <c r="BTB288" s="26"/>
      <c r="BTC288" s="26"/>
      <c r="BTD288" s="26"/>
      <c r="BTE288" s="26"/>
      <c r="BTF288" s="26"/>
      <c r="BTG288" s="26"/>
      <c r="BTH288" s="26"/>
      <c r="BTI288" s="26"/>
      <c r="BTJ288" s="26"/>
      <c r="BTK288" s="26"/>
      <c r="BTL288" s="26"/>
      <c r="BTM288" s="26"/>
      <c r="BTN288" s="26"/>
      <c r="BTO288" s="26"/>
      <c r="BTP288" s="26"/>
      <c r="BTQ288" s="26"/>
      <c r="BTR288" s="26"/>
      <c r="BTS288" s="26"/>
      <c r="BTT288" s="26"/>
      <c r="BTU288" s="26"/>
      <c r="BTV288" s="26"/>
      <c r="BTW288" s="26"/>
      <c r="BTX288" s="26"/>
      <c r="BTY288" s="26"/>
      <c r="BTZ288" s="26"/>
      <c r="BUA288" s="26"/>
      <c r="BUB288" s="26"/>
      <c r="BUC288" s="26"/>
      <c r="BUD288" s="26"/>
      <c r="BUE288" s="26"/>
      <c r="BUF288" s="26"/>
      <c r="BUG288" s="26"/>
      <c r="BUH288" s="26"/>
      <c r="BUI288" s="26"/>
      <c r="BUJ288" s="26"/>
      <c r="BUK288" s="26"/>
      <c r="BUL288" s="26"/>
      <c r="BUM288" s="26"/>
      <c r="BUN288" s="26"/>
      <c r="BUO288" s="26"/>
      <c r="BUP288" s="26"/>
      <c r="BUQ288" s="26"/>
      <c r="BUR288" s="26"/>
      <c r="BUS288" s="26"/>
      <c r="BUT288" s="26"/>
      <c r="BUU288" s="26"/>
      <c r="BUV288" s="26"/>
      <c r="BUW288" s="26"/>
      <c r="BUX288" s="26"/>
      <c r="BUY288" s="26"/>
      <c r="BUZ288" s="26"/>
      <c r="BVA288" s="26"/>
      <c r="BVB288" s="26"/>
      <c r="BVC288" s="26"/>
      <c r="BVD288" s="26"/>
      <c r="BVE288" s="26"/>
      <c r="BVF288" s="26"/>
      <c r="BVG288" s="26"/>
      <c r="BVH288" s="26"/>
      <c r="BVI288" s="26"/>
      <c r="BVJ288" s="26"/>
      <c r="BVK288" s="26"/>
      <c r="BVL288" s="26"/>
      <c r="BVM288" s="26"/>
      <c r="BVN288" s="26"/>
      <c r="BVO288" s="26"/>
      <c r="BVP288" s="26"/>
      <c r="BVQ288" s="26"/>
      <c r="BVR288" s="26"/>
      <c r="BVS288" s="26"/>
      <c r="BVT288" s="26"/>
      <c r="BVU288" s="26"/>
      <c r="BVV288" s="26"/>
      <c r="BVW288" s="26"/>
      <c r="BVX288" s="26"/>
      <c r="BVY288" s="26"/>
      <c r="BVZ288" s="26"/>
      <c r="BWA288" s="26"/>
      <c r="BWB288" s="26"/>
      <c r="BWC288" s="26"/>
      <c r="BWD288" s="26"/>
      <c r="BWE288" s="26"/>
      <c r="BWF288" s="26"/>
      <c r="BWG288" s="26"/>
      <c r="BWH288" s="26"/>
      <c r="BWI288" s="26"/>
      <c r="BWJ288" s="26"/>
      <c r="BWK288" s="26"/>
      <c r="BWL288" s="26"/>
      <c r="BWM288" s="26"/>
      <c r="BWN288" s="26"/>
      <c r="BWO288" s="26"/>
      <c r="BWP288" s="26"/>
      <c r="BWQ288" s="26"/>
      <c r="BWR288" s="26"/>
      <c r="BWS288" s="26"/>
      <c r="BWT288" s="26"/>
      <c r="BWU288" s="26"/>
      <c r="BWV288" s="26"/>
      <c r="BWW288" s="26"/>
      <c r="BWX288" s="26"/>
      <c r="BWY288" s="26"/>
      <c r="BWZ288" s="26"/>
      <c r="BXA288" s="26"/>
      <c r="BXB288" s="26"/>
      <c r="BXC288" s="26"/>
      <c r="BXD288" s="26"/>
      <c r="BXE288" s="26"/>
      <c r="BXF288" s="26"/>
      <c r="BXG288" s="26"/>
      <c r="BXH288" s="26"/>
      <c r="BXI288" s="26"/>
      <c r="BXJ288" s="26"/>
      <c r="BXK288" s="26"/>
      <c r="BXL288" s="26"/>
      <c r="BXM288" s="26"/>
      <c r="BXN288" s="26"/>
      <c r="BXO288" s="26"/>
      <c r="BXP288" s="26"/>
      <c r="BXQ288" s="26"/>
      <c r="BXR288" s="26"/>
      <c r="BXS288" s="26"/>
      <c r="BXT288" s="26"/>
      <c r="BXU288" s="26"/>
      <c r="BXV288" s="26"/>
      <c r="BXW288" s="26"/>
      <c r="BXX288" s="26"/>
      <c r="BXY288" s="26"/>
      <c r="BXZ288" s="26"/>
      <c r="BYA288" s="26"/>
      <c r="BYB288" s="26"/>
      <c r="BYC288" s="26"/>
      <c r="BYD288" s="26"/>
      <c r="BYE288" s="26"/>
      <c r="BYF288" s="26"/>
      <c r="BYG288" s="26"/>
      <c r="BYH288" s="26"/>
      <c r="BYI288" s="26"/>
      <c r="BYJ288" s="26"/>
      <c r="BYK288" s="26"/>
      <c r="BYL288" s="26"/>
      <c r="BYM288" s="26"/>
      <c r="BYN288" s="26"/>
      <c r="BYO288" s="26"/>
      <c r="BYP288" s="26"/>
      <c r="BYQ288" s="26"/>
      <c r="BYR288" s="26"/>
      <c r="BYS288" s="26"/>
      <c r="BYT288" s="26"/>
      <c r="BYU288" s="26"/>
      <c r="BYV288" s="26"/>
      <c r="BYW288" s="26"/>
      <c r="BYX288" s="26"/>
      <c r="BYY288" s="26"/>
      <c r="BYZ288" s="26"/>
      <c r="BZA288" s="26"/>
      <c r="BZB288" s="26"/>
      <c r="BZC288" s="26"/>
      <c r="BZD288" s="26"/>
      <c r="BZE288" s="26"/>
      <c r="BZF288" s="26"/>
      <c r="BZG288" s="26"/>
      <c r="BZH288" s="26"/>
      <c r="BZI288" s="26"/>
      <c r="BZJ288" s="26"/>
      <c r="BZK288" s="26"/>
      <c r="BZL288" s="26"/>
      <c r="BZM288" s="26"/>
      <c r="BZN288" s="26"/>
      <c r="BZO288" s="26"/>
      <c r="BZP288" s="26"/>
      <c r="BZQ288" s="26"/>
      <c r="BZR288" s="26"/>
      <c r="BZS288" s="26"/>
      <c r="BZT288" s="26"/>
      <c r="BZU288" s="26"/>
      <c r="BZV288" s="26"/>
      <c r="BZW288" s="26"/>
      <c r="BZX288" s="26"/>
      <c r="BZY288" s="26"/>
      <c r="BZZ288" s="26"/>
      <c r="CAA288" s="26"/>
      <c r="CAB288" s="26"/>
      <c r="CAC288" s="26"/>
      <c r="CAD288" s="26"/>
      <c r="CAE288" s="26"/>
      <c r="CAF288" s="26"/>
      <c r="CAG288" s="26"/>
      <c r="CAH288" s="26"/>
      <c r="CAI288" s="26"/>
      <c r="CAJ288" s="26"/>
      <c r="CAK288" s="26"/>
      <c r="CAL288" s="26"/>
      <c r="CAM288" s="26"/>
      <c r="CAN288" s="26"/>
      <c r="CAO288" s="26"/>
      <c r="CAP288" s="26"/>
      <c r="CAQ288" s="26"/>
      <c r="CAR288" s="26"/>
      <c r="CAS288" s="26"/>
      <c r="CAT288" s="26"/>
      <c r="CAU288" s="26"/>
      <c r="CAV288" s="26"/>
      <c r="CAW288" s="26"/>
      <c r="CAX288" s="26"/>
      <c r="CAY288" s="26"/>
      <c r="CAZ288" s="26"/>
      <c r="CBA288" s="26"/>
      <c r="CBB288" s="26"/>
      <c r="CBC288" s="26"/>
      <c r="CBD288" s="26"/>
      <c r="CBE288" s="26"/>
      <c r="CBF288" s="26"/>
      <c r="CBG288" s="26"/>
      <c r="CBH288" s="26"/>
      <c r="CBI288" s="26"/>
    </row>
    <row r="289" spans="1:2089" ht="14" customHeight="1">
      <c r="A289" s="27">
        <v>288</v>
      </c>
      <c r="B289" s="27" t="s">
        <v>413</v>
      </c>
      <c r="C289" s="26">
        <v>1995</v>
      </c>
      <c r="D289" s="26" t="s">
        <v>35</v>
      </c>
      <c r="E289" s="26" t="s">
        <v>564</v>
      </c>
      <c r="F289" s="77" t="s">
        <v>175</v>
      </c>
      <c r="G289" s="2" t="s">
        <v>147</v>
      </c>
      <c r="H289" s="2" t="s">
        <v>24</v>
      </c>
      <c r="I289" s="2" t="s">
        <v>548</v>
      </c>
      <c r="J289" s="2" t="s">
        <v>604</v>
      </c>
      <c r="K289" s="2" t="s">
        <v>548</v>
      </c>
      <c r="L289" s="2" t="s">
        <v>548</v>
      </c>
      <c r="M289" s="2" t="s">
        <v>175</v>
      </c>
      <c r="N289" s="2" t="s">
        <v>70</v>
      </c>
      <c r="O289" s="2" t="s">
        <v>209</v>
      </c>
      <c r="P289" s="2" t="s">
        <v>612</v>
      </c>
      <c r="Q289" s="2" t="s">
        <v>42</v>
      </c>
      <c r="R289" s="102" t="s">
        <v>614</v>
      </c>
      <c r="S289" s="88">
        <v>0.92</v>
      </c>
      <c r="T289" s="61">
        <v>220</v>
      </c>
      <c r="U289" s="77">
        <v>1</v>
      </c>
      <c r="V289" s="26">
        <v>0</v>
      </c>
      <c r="W289" s="26">
        <v>1</v>
      </c>
      <c r="X289" s="26">
        <v>0</v>
      </c>
      <c r="Y289" s="26">
        <v>0</v>
      </c>
      <c r="Z289" s="26">
        <v>0</v>
      </c>
      <c r="AA289" s="26">
        <v>0</v>
      </c>
      <c r="AB289" s="26">
        <v>0</v>
      </c>
      <c r="AC289" s="33" t="s">
        <v>70</v>
      </c>
      <c r="AD289" s="33" t="s">
        <v>70</v>
      </c>
      <c r="AE289" s="33" t="s">
        <v>70</v>
      </c>
      <c r="AF289" s="33" t="s">
        <v>70</v>
      </c>
      <c r="AG289" s="33" t="s">
        <v>70</v>
      </c>
      <c r="AH289" s="33" t="s">
        <v>70</v>
      </c>
      <c r="AI289" s="33" t="s">
        <v>70</v>
      </c>
      <c r="AJ289" s="33" t="s">
        <v>70</v>
      </c>
      <c r="AK289" s="33" t="s">
        <v>70</v>
      </c>
      <c r="AL289" s="33" t="s">
        <v>70</v>
      </c>
      <c r="AM289" s="61" t="s">
        <v>548</v>
      </c>
      <c r="AN289" s="32" t="s">
        <v>274</v>
      </c>
      <c r="AO289" s="35" t="s">
        <v>548</v>
      </c>
      <c r="AP289" s="35" t="s">
        <v>548</v>
      </c>
      <c r="AQ289" s="35" t="s">
        <v>548</v>
      </c>
      <c r="AR289" s="35" t="s">
        <v>548</v>
      </c>
      <c r="AS289" s="26" t="s">
        <v>175</v>
      </c>
      <c r="AT289" s="26" t="s">
        <v>70</v>
      </c>
      <c r="AU289" s="26" t="s">
        <v>70</v>
      </c>
      <c r="AV289" s="26">
        <v>4</v>
      </c>
    </row>
    <row r="290" spans="1:2089" s="41" customFormat="1" ht="14" customHeight="1">
      <c r="A290" s="27">
        <v>289</v>
      </c>
      <c r="B290" s="27" t="s">
        <v>414</v>
      </c>
      <c r="C290" s="37">
        <v>2006</v>
      </c>
      <c r="D290" s="26" t="s">
        <v>205</v>
      </c>
      <c r="E290" s="26" t="s">
        <v>563</v>
      </c>
      <c r="F290" s="77" t="s">
        <v>175</v>
      </c>
      <c r="G290" s="2" t="s">
        <v>105</v>
      </c>
      <c r="H290" s="2" t="s">
        <v>24</v>
      </c>
      <c r="I290" s="2" t="s">
        <v>548</v>
      </c>
      <c r="J290" s="2" t="s">
        <v>604</v>
      </c>
      <c r="K290" s="2" t="s">
        <v>548</v>
      </c>
      <c r="L290" s="2" t="s">
        <v>548</v>
      </c>
      <c r="M290" s="2" t="s">
        <v>548</v>
      </c>
      <c r="N290" s="2" t="s">
        <v>210</v>
      </c>
      <c r="O290" s="2" t="s">
        <v>43</v>
      </c>
      <c r="P290" s="2" t="s">
        <v>210</v>
      </c>
      <c r="Q290" s="2" t="s">
        <v>42</v>
      </c>
      <c r="R290" s="79" t="s">
        <v>613</v>
      </c>
      <c r="S290" s="2">
        <f>1/11</f>
        <v>9.0909090909090912E-2</v>
      </c>
      <c r="T290" s="26">
        <v>11</v>
      </c>
      <c r="U290" s="77">
        <v>1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f>1-S290</f>
        <v>0.90909090909090906</v>
      </c>
      <c r="AD290" s="26">
        <f>1/16</f>
        <v>6.25E-2</v>
      </c>
      <c r="AE290" s="26">
        <v>0</v>
      </c>
      <c r="AF290" s="26">
        <v>0</v>
      </c>
      <c r="AG290" s="26" t="s">
        <v>70</v>
      </c>
      <c r="AH290" s="26" t="s">
        <v>70</v>
      </c>
      <c r="AI290" s="26" t="s">
        <v>70</v>
      </c>
      <c r="AJ290" s="26" t="s">
        <v>70</v>
      </c>
      <c r="AK290" s="26" t="s">
        <v>70</v>
      </c>
      <c r="AL290" s="26" t="s">
        <v>70</v>
      </c>
      <c r="AM290" s="35" t="s">
        <v>548</v>
      </c>
      <c r="AN290" s="26" t="s">
        <v>274</v>
      </c>
      <c r="AO290" s="35" t="s">
        <v>548</v>
      </c>
      <c r="AP290" s="35" t="s">
        <v>548</v>
      </c>
      <c r="AQ290" s="35" t="s">
        <v>548</v>
      </c>
      <c r="AR290" s="35" t="s">
        <v>548</v>
      </c>
      <c r="AS290" s="26" t="s">
        <v>175</v>
      </c>
      <c r="AT290" s="26" t="s">
        <v>70</v>
      </c>
      <c r="AU290" s="26" t="s">
        <v>70</v>
      </c>
      <c r="AV290" s="26">
        <v>2</v>
      </c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  <c r="GR290" s="26"/>
      <c r="GS290" s="26"/>
      <c r="GT290" s="26"/>
      <c r="GU290" s="26"/>
      <c r="GV290" s="26"/>
      <c r="GW290" s="26"/>
      <c r="GX290" s="26"/>
      <c r="GY290" s="26"/>
      <c r="GZ290" s="26"/>
      <c r="HA290" s="26"/>
      <c r="HB290" s="26"/>
      <c r="HC290" s="26"/>
      <c r="HD290" s="26"/>
      <c r="HE290" s="26"/>
      <c r="HF290" s="26"/>
      <c r="HG290" s="26"/>
      <c r="HH290" s="26"/>
      <c r="HI290" s="26"/>
      <c r="HJ290" s="26"/>
      <c r="HK290" s="26"/>
      <c r="HL290" s="26"/>
      <c r="HM290" s="26"/>
      <c r="HN290" s="26"/>
      <c r="HO290" s="26"/>
      <c r="HP290" s="26"/>
      <c r="HQ290" s="26"/>
      <c r="HR290" s="26"/>
      <c r="HS290" s="26"/>
      <c r="HT290" s="26"/>
      <c r="HU290" s="26"/>
      <c r="HV290" s="26"/>
      <c r="HW290" s="26"/>
      <c r="HX290" s="26"/>
      <c r="HY290" s="26"/>
      <c r="HZ290" s="26"/>
      <c r="IA290" s="26"/>
      <c r="IB290" s="26"/>
      <c r="IC290" s="26"/>
      <c r="ID290" s="26"/>
      <c r="IE290" s="26"/>
      <c r="IF290" s="26"/>
      <c r="IG290" s="26"/>
      <c r="IH290" s="26"/>
      <c r="II290" s="26"/>
      <c r="IJ290" s="26"/>
      <c r="IK290" s="26"/>
      <c r="IL290" s="26"/>
      <c r="IM290" s="26"/>
      <c r="IN290" s="26"/>
      <c r="IO290" s="26"/>
      <c r="IP290" s="26"/>
      <c r="IQ290" s="26"/>
      <c r="IR290" s="26"/>
      <c r="IS290" s="26"/>
      <c r="IT290" s="26"/>
      <c r="IU290" s="26"/>
      <c r="IV290" s="26"/>
      <c r="IW290" s="26"/>
      <c r="IX290" s="26"/>
      <c r="IY290" s="26"/>
      <c r="IZ290" s="26"/>
      <c r="JA290" s="26"/>
      <c r="JB290" s="26"/>
      <c r="JC290" s="26"/>
      <c r="JD290" s="26"/>
      <c r="JE290" s="26"/>
      <c r="JF290" s="26"/>
      <c r="JG290" s="26"/>
      <c r="JH290" s="26"/>
      <c r="JI290" s="26"/>
      <c r="JJ290" s="26"/>
      <c r="JK290" s="26"/>
      <c r="JL290" s="26"/>
      <c r="JM290" s="26"/>
      <c r="JN290" s="26"/>
      <c r="JO290" s="26"/>
      <c r="JP290" s="26"/>
      <c r="JQ290" s="26"/>
      <c r="JR290" s="26"/>
      <c r="JS290" s="26"/>
      <c r="JT290" s="26"/>
      <c r="JU290" s="26"/>
      <c r="JV290" s="26"/>
      <c r="JW290" s="26"/>
      <c r="JX290" s="26"/>
      <c r="JY290" s="26"/>
      <c r="JZ290" s="26"/>
      <c r="KA290" s="26"/>
      <c r="KB290" s="26"/>
      <c r="KC290" s="26"/>
      <c r="KD290" s="26"/>
      <c r="KE290" s="26"/>
      <c r="KF290" s="26"/>
      <c r="KG290" s="26"/>
      <c r="KH290" s="26"/>
      <c r="KI290" s="26"/>
      <c r="KJ290" s="26"/>
      <c r="KK290" s="26"/>
      <c r="KL290" s="26"/>
      <c r="KM290" s="26"/>
      <c r="KN290" s="26"/>
      <c r="KO290" s="26"/>
      <c r="KP290" s="26"/>
      <c r="KQ290" s="26"/>
      <c r="KR290" s="26"/>
      <c r="KS290" s="26"/>
      <c r="KT290" s="26"/>
      <c r="KU290" s="26"/>
      <c r="KV290" s="26"/>
      <c r="KW290" s="26"/>
      <c r="KX290" s="26"/>
      <c r="KY290" s="26"/>
      <c r="KZ290" s="26"/>
      <c r="LA290" s="26"/>
      <c r="LB290" s="26"/>
      <c r="LC290" s="26"/>
      <c r="LD290" s="26"/>
      <c r="LE290" s="26"/>
      <c r="LF290" s="26"/>
      <c r="LG290" s="26"/>
      <c r="LH290" s="26"/>
      <c r="LI290" s="26"/>
      <c r="LJ290" s="26"/>
      <c r="LK290" s="26"/>
      <c r="LL290" s="26"/>
      <c r="LM290" s="26"/>
      <c r="LN290" s="26"/>
      <c r="LO290" s="26"/>
      <c r="LP290" s="26"/>
      <c r="LQ290" s="26"/>
      <c r="LR290" s="26"/>
      <c r="LS290" s="26"/>
      <c r="LT290" s="26"/>
      <c r="LU290" s="26"/>
      <c r="LV290" s="26"/>
      <c r="LW290" s="26"/>
      <c r="LX290" s="26"/>
      <c r="LY290" s="26"/>
      <c r="LZ290" s="26"/>
      <c r="MA290" s="26"/>
      <c r="MB290" s="26"/>
      <c r="MC290" s="26"/>
      <c r="MD290" s="26"/>
      <c r="ME290" s="26"/>
      <c r="MF290" s="26"/>
      <c r="MG290" s="26"/>
      <c r="MH290" s="26"/>
      <c r="MI290" s="26"/>
      <c r="MJ290" s="26"/>
      <c r="MK290" s="26"/>
      <c r="ML290" s="26"/>
      <c r="MM290" s="26"/>
      <c r="MN290" s="26"/>
      <c r="MO290" s="26"/>
      <c r="MP290" s="26"/>
      <c r="MQ290" s="26"/>
      <c r="MR290" s="26"/>
      <c r="MS290" s="26"/>
      <c r="MT290" s="26"/>
      <c r="MU290" s="26"/>
      <c r="MV290" s="26"/>
      <c r="MW290" s="26"/>
      <c r="MX290" s="26"/>
      <c r="MY290" s="26"/>
      <c r="MZ290" s="26"/>
      <c r="NA290" s="26"/>
      <c r="NB290" s="26"/>
      <c r="NC290" s="26"/>
      <c r="ND290" s="26"/>
      <c r="NE290" s="26"/>
      <c r="NF290" s="26"/>
      <c r="NG290" s="26"/>
      <c r="NH290" s="26"/>
      <c r="NI290" s="26"/>
      <c r="NJ290" s="26"/>
      <c r="NK290" s="26"/>
      <c r="NL290" s="26"/>
      <c r="NM290" s="26"/>
      <c r="NN290" s="26"/>
      <c r="NO290" s="26"/>
      <c r="NP290" s="26"/>
      <c r="NQ290" s="26"/>
      <c r="NR290" s="26"/>
      <c r="NS290" s="26"/>
      <c r="NT290" s="26"/>
      <c r="NU290" s="26"/>
      <c r="NV290" s="26"/>
      <c r="NW290" s="26"/>
      <c r="NX290" s="26"/>
      <c r="NY290" s="26"/>
      <c r="NZ290" s="26"/>
      <c r="OA290" s="26"/>
      <c r="OB290" s="26"/>
      <c r="OC290" s="26"/>
      <c r="OD290" s="26"/>
      <c r="OE290" s="26"/>
      <c r="OF290" s="26"/>
      <c r="OG290" s="26"/>
      <c r="OH290" s="26"/>
      <c r="OI290" s="26"/>
      <c r="OJ290" s="26"/>
      <c r="OK290" s="26"/>
      <c r="OL290" s="26"/>
      <c r="OM290" s="26"/>
      <c r="ON290" s="26"/>
      <c r="OO290" s="26"/>
      <c r="OP290" s="26"/>
      <c r="OQ290" s="26"/>
      <c r="OR290" s="26"/>
      <c r="OS290" s="26"/>
      <c r="OT290" s="26"/>
      <c r="OU290" s="26"/>
      <c r="OV290" s="26"/>
      <c r="OW290" s="26"/>
      <c r="OX290" s="26"/>
      <c r="OY290" s="26"/>
      <c r="OZ290" s="26"/>
      <c r="PA290" s="26"/>
      <c r="PB290" s="26"/>
      <c r="PC290" s="26"/>
      <c r="PD290" s="26"/>
      <c r="PE290" s="26"/>
      <c r="PF290" s="26"/>
      <c r="PG290" s="26"/>
      <c r="PH290" s="26"/>
      <c r="PI290" s="26"/>
      <c r="PJ290" s="26"/>
      <c r="PK290" s="26"/>
      <c r="PL290" s="26"/>
      <c r="PM290" s="26"/>
      <c r="PN290" s="26"/>
      <c r="PO290" s="26"/>
      <c r="PP290" s="26"/>
      <c r="PQ290" s="26"/>
      <c r="PR290" s="26"/>
      <c r="PS290" s="26"/>
      <c r="PT290" s="26"/>
      <c r="PU290" s="26"/>
      <c r="PV290" s="26"/>
      <c r="PW290" s="26"/>
      <c r="PX290" s="26"/>
      <c r="PY290" s="26"/>
      <c r="PZ290" s="26"/>
      <c r="QA290" s="26"/>
      <c r="QB290" s="26"/>
      <c r="QC290" s="26"/>
      <c r="QD290" s="26"/>
      <c r="QE290" s="26"/>
      <c r="QF290" s="26"/>
      <c r="QG290" s="26"/>
      <c r="QH290" s="26"/>
      <c r="QI290" s="26"/>
      <c r="QJ290" s="26"/>
      <c r="QK290" s="26"/>
      <c r="QL290" s="26"/>
      <c r="QM290" s="26"/>
      <c r="QN290" s="26"/>
      <c r="QO290" s="26"/>
      <c r="QP290" s="26"/>
      <c r="QQ290" s="26"/>
      <c r="QR290" s="26"/>
      <c r="QS290" s="26"/>
      <c r="QT290" s="26"/>
      <c r="QU290" s="26"/>
      <c r="QV290" s="26"/>
      <c r="QW290" s="26"/>
      <c r="QX290" s="26"/>
      <c r="QY290" s="26"/>
      <c r="QZ290" s="26"/>
      <c r="RA290" s="26"/>
      <c r="RB290" s="26"/>
      <c r="RC290" s="26"/>
      <c r="RD290" s="26"/>
      <c r="RE290" s="26"/>
      <c r="RF290" s="26"/>
      <c r="RG290" s="26"/>
      <c r="RH290" s="26"/>
      <c r="RI290" s="26"/>
      <c r="RJ290" s="26"/>
      <c r="RK290" s="26"/>
      <c r="RL290" s="26"/>
      <c r="RM290" s="26"/>
      <c r="RN290" s="26"/>
      <c r="RO290" s="26"/>
      <c r="RP290" s="26"/>
      <c r="RQ290" s="26"/>
      <c r="RR290" s="26"/>
      <c r="RS290" s="26"/>
      <c r="RT290" s="26"/>
      <c r="RU290" s="26"/>
      <c r="RV290" s="26"/>
      <c r="RW290" s="26"/>
      <c r="RX290" s="26"/>
      <c r="RY290" s="26"/>
      <c r="RZ290" s="26"/>
      <c r="SA290" s="26"/>
      <c r="SB290" s="26"/>
      <c r="SC290" s="26"/>
      <c r="SD290" s="26"/>
      <c r="SE290" s="26"/>
      <c r="SF290" s="26"/>
      <c r="SG290" s="26"/>
      <c r="SH290" s="26"/>
      <c r="SI290" s="26"/>
      <c r="SJ290" s="26"/>
      <c r="SK290" s="26"/>
      <c r="SL290" s="26"/>
      <c r="SM290" s="26"/>
      <c r="SN290" s="26"/>
      <c r="SO290" s="26"/>
      <c r="SP290" s="26"/>
      <c r="SQ290" s="26"/>
      <c r="SR290" s="26"/>
      <c r="SS290" s="26"/>
      <c r="ST290" s="26"/>
      <c r="SU290" s="26"/>
      <c r="SV290" s="26"/>
      <c r="SW290" s="26"/>
      <c r="SX290" s="26"/>
      <c r="SY290" s="26"/>
      <c r="SZ290" s="26"/>
      <c r="TA290" s="26"/>
      <c r="TB290" s="26"/>
      <c r="TC290" s="26"/>
      <c r="TD290" s="26"/>
      <c r="TE290" s="26"/>
      <c r="TF290" s="26"/>
      <c r="TG290" s="26"/>
      <c r="TH290" s="26"/>
      <c r="TI290" s="26"/>
      <c r="TJ290" s="26"/>
      <c r="TK290" s="26"/>
      <c r="TL290" s="26"/>
      <c r="TM290" s="26"/>
      <c r="TN290" s="26"/>
      <c r="TO290" s="26"/>
      <c r="TP290" s="26"/>
      <c r="TQ290" s="26"/>
      <c r="TR290" s="26"/>
      <c r="TS290" s="26"/>
      <c r="TT290" s="26"/>
      <c r="TU290" s="26"/>
      <c r="TV290" s="26"/>
      <c r="TW290" s="26"/>
      <c r="TX290" s="26"/>
      <c r="TY290" s="26"/>
      <c r="TZ290" s="26"/>
      <c r="UA290" s="26"/>
      <c r="UB290" s="26"/>
      <c r="UC290" s="26"/>
      <c r="UD290" s="26"/>
      <c r="UE290" s="26"/>
      <c r="UF290" s="26"/>
      <c r="UG290" s="26"/>
      <c r="UH290" s="26"/>
      <c r="UI290" s="26"/>
      <c r="UJ290" s="26"/>
      <c r="UK290" s="26"/>
      <c r="UL290" s="26"/>
      <c r="UM290" s="26"/>
      <c r="UN290" s="26"/>
      <c r="UO290" s="26"/>
      <c r="UP290" s="26"/>
      <c r="UQ290" s="26"/>
      <c r="UR290" s="26"/>
      <c r="US290" s="26"/>
      <c r="UT290" s="26"/>
      <c r="UU290" s="26"/>
      <c r="UV290" s="26"/>
      <c r="UW290" s="26"/>
      <c r="UX290" s="26"/>
      <c r="UY290" s="26"/>
      <c r="UZ290" s="26"/>
      <c r="VA290" s="26"/>
      <c r="VB290" s="26"/>
      <c r="VC290" s="26"/>
      <c r="VD290" s="26"/>
      <c r="VE290" s="26"/>
      <c r="VF290" s="26"/>
      <c r="VG290" s="26"/>
      <c r="VH290" s="26"/>
      <c r="VI290" s="26"/>
      <c r="VJ290" s="26"/>
      <c r="VK290" s="26"/>
      <c r="VL290" s="26"/>
      <c r="VM290" s="26"/>
      <c r="VN290" s="26"/>
      <c r="VO290" s="26"/>
      <c r="VP290" s="26"/>
      <c r="VQ290" s="26"/>
      <c r="VR290" s="26"/>
      <c r="VS290" s="26"/>
      <c r="VT290" s="26"/>
      <c r="VU290" s="26"/>
      <c r="VV290" s="26"/>
      <c r="VW290" s="26"/>
      <c r="VX290" s="26"/>
      <c r="VY290" s="26"/>
      <c r="VZ290" s="26"/>
      <c r="WA290" s="26"/>
      <c r="WB290" s="26"/>
      <c r="WC290" s="26"/>
      <c r="WD290" s="26"/>
      <c r="WE290" s="26"/>
      <c r="WF290" s="26"/>
      <c r="WG290" s="26"/>
      <c r="WH290" s="26"/>
      <c r="WI290" s="26"/>
      <c r="WJ290" s="26"/>
      <c r="WK290" s="26"/>
      <c r="WL290" s="26"/>
      <c r="WM290" s="26"/>
      <c r="WN290" s="26"/>
      <c r="WO290" s="26"/>
      <c r="WP290" s="26"/>
      <c r="WQ290" s="26"/>
      <c r="WR290" s="26"/>
      <c r="WS290" s="26"/>
      <c r="WT290" s="26"/>
      <c r="WU290" s="26"/>
      <c r="WV290" s="26"/>
      <c r="WW290" s="26"/>
      <c r="WX290" s="26"/>
      <c r="WY290" s="26"/>
      <c r="WZ290" s="26"/>
      <c r="XA290" s="26"/>
      <c r="XB290" s="26"/>
      <c r="XC290" s="26"/>
      <c r="XD290" s="26"/>
      <c r="XE290" s="26"/>
      <c r="XF290" s="26"/>
      <c r="XG290" s="26"/>
      <c r="XH290" s="26"/>
      <c r="XI290" s="26"/>
      <c r="XJ290" s="26"/>
      <c r="XK290" s="26"/>
      <c r="XL290" s="26"/>
      <c r="XM290" s="26"/>
      <c r="XN290" s="26"/>
      <c r="XO290" s="26"/>
      <c r="XP290" s="26"/>
      <c r="XQ290" s="26"/>
      <c r="XR290" s="26"/>
      <c r="XS290" s="26"/>
      <c r="XT290" s="26"/>
      <c r="XU290" s="26"/>
      <c r="XV290" s="26"/>
      <c r="XW290" s="26"/>
      <c r="XX290" s="26"/>
      <c r="XY290" s="26"/>
      <c r="XZ290" s="26"/>
      <c r="YA290" s="26"/>
      <c r="YB290" s="26"/>
      <c r="YC290" s="26"/>
      <c r="YD290" s="26"/>
      <c r="YE290" s="26"/>
      <c r="YF290" s="26"/>
      <c r="YG290" s="26"/>
      <c r="YH290" s="26"/>
      <c r="YI290" s="26"/>
      <c r="YJ290" s="26"/>
      <c r="YK290" s="26"/>
      <c r="YL290" s="26"/>
      <c r="YM290" s="26"/>
      <c r="YN290" s="26"/>
      <c r="YO290" s="26"/>
      <c r="YP290" s="26"/>
      <c r="YQ290" s="26"/>
      <c r="YR290" s="26"/>
      <c r="YS290" s="26"/>
      <c r="YT290" s="26"/>
      <c r="YU290" s="26"/>
      <c r="YV290" s="26"/>
      <c r="YW290" s="26"/>
      <c r="YX290" s="26"/>
      <c r="YY290" s="26"/>
      <c r="YZ290" s="26"/>
      <c r="ZA290" s="26"/>
      <c r="ZB290" s="26"/>
      <c r="ZC290" s="26"/>
      <c r="ZD290" s="26"/>
      <c r="ZE290" s="26"/>
      <c r="ZF290" s="26"/>
      <c r="ZG290" s="26"/>
      <c r="ZH290" s="26"/>
      <c r="ZI290" s="26"/>
      <c r="ZJ290" s="26"/>
      <c r="ZK290" s="26"/>
      <c r="ZL290" s="26"/>
      <c r="ZM290" s="26"/>
      <c r="ZN290" s="26"/>
      <c r="ZO290" s="26"/>
      <c r="ZP290" s="26"/>
      <c r="ZQ290" s="26"/>
      <c r="ZR290" s="26"/>
      <c r="ZS290" s="26"/>
      <c r="ZT290" s="26"/>
      <c r="ZU290" s="26"/>
      <c r="ZV290" s="26"/>
      <c r="ZW290" s="26"/>
      <c r="ZX290" s="26"/>
      <c r="ZY290" s="26"/>
      <c r="ZZ290" s="26"/>
      <c r="AAA290" s="26"/>
      <c r="AAB290" s="26"/>
      <c r="AAC290" s="26"/>
      <c r="AAD290" s="26"/>
      <c r="AAE290" s="26"/>
      <c r="AAF290" s="26"/>
      <c r="AAG290" s="26"/>
      <c r="AAH290" s="26"/>
      <c r="AAI290" s="26"/>
      <c r="AAJ290" s="26"/>
      <c r="AAK290" s="26"/>
      <c r="AAL290" s="26"/>
      <c r="AAM290" s="26"/>
      <c r="AAN290" s="26"/>
      <c r="AAO290" s="26"/>
      <c r="AAP290" s="26"/>
      <c r="AAQ290" s="26"/>
      <c r="AAR290" s="26"/>
      <c r="AAS290" s="26"/>
      <c r="AAT290" s="26"/>
      <c r="AAU290" s="26"/>
      <c r="AAV290" s="26"/>
      <c r="AAW290" s="26"/>
      <c r="AAX290" s="26"/>
      <c r="AAY290" s="26"/>
      <c r="AAZ290" s="26"/>
      <c r="ABA290" s="26"/>
      <c r="ABB290" s="26"/>
      <c r="ABC290" s="26"/>
      <c r="ABD290" s="26"/>
      <c r="ABE290" s="26"/>
      <c r="ABF290" s="26"/>
      <c r="ABG290" s="26"/>
      <c r="ABH290" s="26"/>
      <c r="ABI290" s="26"/>
      <c r="ABJ290" s="26"/>
      <c r="ABK290" s="26"/>
      <c r="ABL290" s="26"/>
      <c r="ABM290" s="26"/>
      <c r="ABN290" s="26"/>
      <c r="ABO290" s="26"/>
      <c r="ABP290" s="26"/>
      <c r="ABQ290" s="26"/>
      <c r="ABR290" s="26"/>
      <c r="ABS290" s="26"/>
      <c r="ABT290" s="26"/>
      <c r="ABU290" s="26"/>
      <c r="ABV290" s="26"/>
      <c r="ABW290" s="26"/>
      <c r="ABX290" s="26"/>
      <c r="ABY290" s="26"/>
      <c r="ABZ290" s="26"/>
      <c r="ACA290" s="26"/>
      <c r="ACB290" s="26"/>
      <c r="ACC290" s="26"/>
      <c r="ACD290" s="26"/>
      <c r="ACE290" s="26"/>
      <c r="ACF290" s="26"/>
      <c r="ACG290" s="26"/>
      <c r="ACH290" s="26"/>
      <c r="ACI290" s="26"/>
      <c r="ACJ290" s="26"/>
      <c r="ACK290" s="26"/>
      <c r="ACL290" s="26"/>
      <c r="ACM290" s="26"/>
      <c r="ACN290" s="26"/>
      <c r="ACO290" s="26"/>
      <c r="ACP290" s="26"/>
      <c r="ACQ290" s="26"/>
      <c r="ACR290" s="26"/>
      <c r="ACS290" s="26"/>
      <c r="ACT290" s="26"/>
      <c r="ACU290" s="26"/>
      <c r="ACV290" s="26"/>
      <c r="ACW290" s="26"/>
      <c r="ACX290" s="26"/>
      <c r="ACY290" s="26"/>
      <c r="ACZ290" s="26"/>
      <c r="ADA290" s="26"/>
      <c r="ADB290" s="26"/>
      <c r="ADC290" s="26"/>
      <c r="ADD290" s="26"/>
      <c r="ADE290" s="26"/>
      <c r="ADF290" s="26"/>
      <c r="ADG290" s="26"/>
      <c r="ADH290" s="26"/>
      <c r="ADI290" s="26"/>
      <c r="ADJ290" s="26"/>
      <c r="ADK290" s="26"/>
      <c r="ADL290" s="26"/>
      <c r="ADM290" s="26"/>
      <c r="ADN290" s="26"/>
      <c r="ADO290" s="26"/>
      <c r="ADP290" s="26"/>
      <c r="ADQ290" s="26"/>
      <c r="ADR290" s="26"/>
      <c r="ADS290" s="26"/>
      <c r="ADT290" s="26"/>
      <c r="ADU290" s="26"/>
      <c r="ADV290" s="26"/>
      <c r="ADW290" s="26"/>
      <c r="ADX290" s="26"/>
      <c r="ADY290" s="26"/>
      <c r="ADZ290" s="26"/>
      <c r="AEA290" s="26"/>
      <c r="AEB290" s="26"/>
      <c r="AEC290" s="26"/>
      <c r="AED290" s="26"/>
      <c r="AEE290" s="26"/>
      <c r="AEF290" s="26"/>
      <c r="AEG290" s="26"/>
      <c r="AEH290" s="26"/>
      <c r="AEI290" s="26"/>
      <c r="AEJ290" s="26"/>
      <c r="AEK290" s="26"/>
      <c r="AEL290" s="26"/>
      <c r="AEM290" s="26"/>
      <c r="AEN290" s="26"/>
      <c r="AEO290" s="26"/>
      <c r="AEP290" s="26"/>
      <c r="AEQ290" s="26"/>
      <c r="AER290" s="26"/>
      <c r="AES290" s="26"/>
      <c r="AET290" s="26"/>
      <c r="AEU290" s="26"/>
      <c r="AEV290" s="26"/>
      <c r="AEW290" s="26"/>
      <c r="AEX290" s="26"/>
      <c r="AEY290" s="26"/>
      <c r="AEZ290" s="26"/>
      <c r="AFA290" s="26"/>
      <c r="AFB290" s="26"/>
      <c r="AFC290" s="26"/>
      <c r="AFD290" s="26"/>
      <c r="AFE290" s="26"/>
      <c r="AFF290" s="26"/>
      <c r="AFG290" s="26"/>
      <c r="AFH290" s="26"/>
      <c r="AFI290" s="26"/>
      <c r="AFJ290" s="26"/>
      <c r="AFK290" s="26"/>
      <c r="AFL290" s="26"/>
      <c r="AFM290" s="26"/>
      <c r="AFN290" s="26"/>
      <c r="AFO290" s="26"/>
      <c r="AFP290" s="26"/>
      <c r="AFQ290" s="26"/>
      <c r="AFR290" s="26"/>
      <c r="AFS290" s="26"/>
      <c r="AFT290" s="26"/>
      <c r="AFU290" s="26"/>
      <c r="AFV290" s="26"/>
      <c r="AFW290" s="26"/>
      <c r="AFX290" s="26"/>
      <c r="AFY290" s="26"/>
      <c r="AFZ290" s="26"/>
      <c r="AGA290" s="26"/>
      <c r="AGB290" s="26"/>
      <c r="AGC290" s="26"/>
      <c r="AGD290" s="26"/>
      <c r="AGE290" s="26"/>
      <c r="AGF290" s="26"/>
      <c r="AGG290" s="26"/>
      <c r="AGH290" s="26"/>
      <c r="AGI290" s="26"/>
      <c r="AGJ290" s="26"/>
      <c r="AGK290" s="26"/>
      <c r="AGL290" s="26"/>
      <c r="AGM290" s="26"/>
      <c r="AGN290" s="26"/>
      <c r="AGO290" s="26"/>
      <c r="AGP290" s="26"/>
      <c r="AGQ290" s="26"/>
      <c r="AGR290" s="26"/>
      <c r="AGS290" s="26"/>
      <c r="AGT290" s="26"/>
      <c r="AGU290" s="26"/>
      <c r="AGV290" s="26"/>
      <c r="AGW290" s="26"/>
      <c r="AGX290" s="26"/>
      <c r="AGY290" s="26"/>
      <c r="AGZ290" s="26"/>
      <c r="AHA290" s="26"/>
      <c r="AHB290" s="26"/>
      <c r="AHC290" s="26"/>
      <c r="AHD290" s="26"/>
      <c r="AHE290" s="26"/>
      <c r="AHF290" s="26"/>
      <c r="AHG290" s="26"/>
      <c r="AHH290" s="26"/>
      <c r="AHI290" s="26"/>
      <c r="AHJ290" s="26"/>
      <c r="AHK290" s="26"/>
      <c r="AHL290" s="26"/>
      <c r="AHM290" s="26"/>
      <c r="AHN290" s="26"/>
      <c r="AHO290" s="26"/>
      <c r="AHP290" s="26"/>
      <c r="AHQ290" s="26"/>
      <c r="AHR290" s="26"/>
      <c r="AHS290" s="26"/>
      <c r="AHT290" s="26"/>
      <c r="AHU290" s="26"/>
      <c r="AHV290" s="26"/>
      <c r="AHW290" s="26"/>
      <c r="AHX290" s="26"/>
      <c r="AHY290" s="26"/>
      <c r="AHZ290" s="26"/>
      <c r="AIA290" s="26"/>
      <c r="AIB290" s="26"/>
      <c r="AIC290" s="26"/>
      <c r="AID290" s="26"/>
      <c r="AIE290" s="26"/>
      <c r="AIF290" s="26"/>
      <c r="AIG290" s="26"/>
      <c r="AIH290" s="26"/>
      <c r="AII290" s="26"/>
      <c r="AIJ290" s="26"/>
      <c r="AIK290" s="26"/>
      <c r="AIL290" s="26"/>
      <c r="AIM290" s="26"/>
      <c r="AIN290" s="26"/>
      <c r="AIO290" s="26"/>
      <c r="AIP290" s="26"/>
      <c r="AIQ290" s="26"/>
      <c r="AIR290" s="26"/>
      <c r="AIS290" s="26"/>
      <c r="AIT290" s="26"/>
      <c r="AIU290" s="26"/>
      <c r="AIV290" s="26"/>
      <c r="AIW290" s="26"/>
      <c r="AIX290" s="26"/>
      <c r="AIY290" s="26"/>
      <c r="AIZ290" s="26"/>
      <c r="AJA290" s="26"/>
      <c r="AJB290" s="26"/>
      <c r="AJC290" s="26"/>
      <c r="AJD290" s="26"/>
      <c r="AJE290" s="26"/>
      <c r="AJF290" s="26"/>
      <c r="AJG290" s="26"/>
      <c r="AJH290" s="26"/>
      <c r="AJI290" s="26"/>
      <c r="AJJ290" s="26"/>
      <c r="AJK290" s="26"/>
      <c r="AJL290" s="26"/>
      <c r="AJM290" s="26"/>
      <c r="AJN290" s="26"/>
      <c r="AJO290" s="26"/>
      <c r="AJP290" s="26"/>
      <c r="AJQ290" s="26"/>
      <c r="AJR290" s="26"/>
      <c r="AJS290" s="26"/>
      <c r="AJT290" s="26"/>
      <c r="AJU290" s="26"/>
      <c r="AJV290" s="26"/>
      <c r="AJW290" s="26"/>
      <c r="AJX290" s="26"/>
      <c r="AJY290" s="26"/>
      <c r="AJZ290" s="26"/>
      <c r="AKA290" s="26"/>
      <c r="AKB290" s="26"/>
      <c r="AKC290" s="26"/>
      <c r="AKD290" s="26"/>
      <c r="AKE290" s="26"/>
      <c r="AKF290" s="26"/>
      <c r="AKG290" s="26"/>
      <c r="AKH290" s="26"/>
      <c r="AKI290" s="26"/>
      <c r="AKJ290" s="26"/>
      <c r="AKK290" s="26"/>
      <c r="AKL290" s="26"/>
      <c r="AKM290" s="26"/>
      <c r="AKN290" s="26"/>
      <c r="AKO290" s="26"/>
      <c r="AKP290" s="26"/>
      <c r="AKQ290" s="26"/>
      <c r="AKR290" s="26"/>
      <c r="AKS290" s="26"/>
      <c r="AKT290" s="26"/>
      <c r="AKU290" s="26"/>
      <c r="AKV290" s="26"/>
      <c r="AKW290" s="26"/>
      <c r="AKX290" s="26"/>
      <c r="AKY290" s="26"/>
      <c r="AKZ290" s="26"/>
      <c r="ALA290" s="26"/>
      <c r="ALB290" s="26"/>
      <c r="ALC290" s="26"/>
      <c r="ALD290" s="26"/>
      <c r="ALE290" s="26"/>
      <c r="ALF290" s="26"/>
      <c r="ALG290" s="26"/>
      <c r="ALH290" s="26"/>
      <c r="ALI290" s="26"/>
      <c r="ALJ290" s="26"/>
      <c r="ALK290" s="26"/>
      <c r="ALL290" s="26"/>
      <c r="ALM290" s="26"/>
      <c r="ALN290" s="26"/>
      <c r="ALO290" s="26"/>
      <c r="ALP290" s="26"/>
      <c r="ALQ290" s="26"/>
      <c r="ALR290" s="26"/>
      <c r="ALS290" s="26"/>
      <c r="ALT290" s="26"/>
      <c r="ALU290" s="26"/>
      <c r="ALV290" s="26"/>
      <c r="ALW290" s="26"/>
      <c r="ALX290" s="26"/>
      <c r="ALY290" s="26"/>
      <c r="ALZ290" s="26"/>
      <c r="AMA290" s="26"/>
      <c r="AMB290" s="26"/>
      <c r="AMC290" s="26"/>
      <c r="AMD290" s="26"/>
      <c r="AME290" s="26"/>
      <c r="AMF290" s="26"/>
      <c r="AMG290" s="26"/>
      <c r="AMH290" s="26"/>
      <c r="AMI290" s="26"/>
      <c r="AMJ290" s="26"/>
      <c r="AMK290" s="26"/>
      <c r="AML290" s="26"/>
      <c r="AMM290" s="26"/>
      <c r="AMN290" s="26"/>
      <c r="AMO290" s="26"/>
      <c r="AMP290" s="26"/>
      <c r="AMQ290" s="26"/>
      <c r="AMR290" s="26"/>
      <c r="AMS290" s="26"/>
      <c r="AMT290" s="26"/>
      <c r="AMU290" s="26"/>
      <c r="AMV290" s="26"/>
      <c r="AMW290" s="26"/>
      <c r="AMX290" s="26"/>
      <c r="AMY290" s="26"/>
      <c r="AMZ290" s="26"/>
      <c r="ANA290" s="26"/>
      <c r="ANB290" s="26"/>
      <c r="ANC290" s="26"/>
      <c r="AND290" s="26"/>
      <c r="ANE290" s="26"/>
      <c r="ANF290" s="26"/>
      <c r="ANG290" s="26"/>
      <c r="ANH290" s="26"/>
      <c r="ANI290" s="26"/>
      <c r="ANJ290" s="26"/>
      <c r="ANK290" s="26"/>
      <c r="ANL290" s="26"/>
      <c r="ANM290" s="26"/>
      <c r="ANN290" s="26"/>
      <c r="ANO290" s="26"/>
      <c r="ANP290" s="26"/>
      <c r="ANQ290" s="26"/>
      <c r="ANR290" s="26"/>
      <c r="ANS290" s="26"/>
      <c r="ANT290" s="26"/>
      <c r="ANU290" s="26"/>
      <c r="ANV290" s="26"/>
      <c r="ANW290" s="26"/>
      <c r="ANX290" s="26"/>
      <c r="ANY290" s="26"/>
      <c r="ANZ290" s="26"/>
      <c r="AOA290" s="26"/>
      <c r="AOB290" s="26"/>
      <c r="AOC290" s="26"/>
      <c r="AOD290" s="26"/>
      <c r="AOE290" s="26"/>
      <c r="AOF290" s="26"/>
      <c r="AOG290" s="26"/>
      <c r="AOH290" s="26"/>
      <c r="AOI290" s="26"/>
      <c r="AOJ290" s="26"/>
      <c r="AOK290" s="26"/>
      <c r="AOL290" s="26"/>
      <c r="AOM290" s="26"/>
      <c r="AON290" s="26"/>
      <c r="AOO290" s="26"/>
      <c r="AOP290" s="26"/>
      <c r="AOQ290" s="26"/>
      <c r="AOR290" s="26"/>
      <c r="AOS290" s="26"/>
      <c r="AOT290" s="26"/>
      <c r="AOU290" s="26"/>
      <c r="AOV290" s="26"/>
      <c r="AOW290" s="26"/>
      <c r="AOX290" s="26"/>
      <c r="AOY290" s="26"/>
      <c r="AOZ290" s="26"/>
      <c r="APA290" s="26"/>
      <c r="APB290" s="26"/>
      <c r="APC290" s="26"/>
      <c r="APD290" s="26"/>
      <c r="APE290" s="26"/>
      <c r="APF290" s="26"/>
      <c r="APG290" s="26"/>
      <c r="APH290" s="26"/>
      <c r="API290" s="26"/>
      <c r="APJ290" s="26"/>
      <c r="APK290" s="26"/>
      <c r="APL290" s="26"/>
      <c r="APM290" s="26"/>
      <c r="APN290" s="26"/>
      <c r="APO290" s="26"/>
      <c r="APP290" s="26"/>
      <c r="APQ290" s="26"/>
      <c r="APR290" s="26"/>
      <c r="APS290" s="26"/>
      <c r="APT290" s="26"/>
      <c r="APU290" s="26"/>
      <c r="APV290" s="26"/>
      <c r="APW290" s="26"/>
      <c r="APX290" s="26"/>
      <c r="APY290" s="26"/>
      <c r="APZ290" s="26"/>
      <c r="AQA290" s="26"/>
      <c r="AQB290" s="26"/>
      <c r="AQC290" s="26"/>
      <c r="AQD290" s="26"/>
      <c r="AQE290" s="26"/>
      <c r="AQF290" s="26"/>
      <c r="AQG290" s="26"/>
      <c r="AQH290" s="26"/>
      <c r="AQI290" s="26"/>
      <c r="AQJ290" s="26"/>
      <c r="AQK290" s="26"/>
      <c r="AQL290" s="26"/>
      <c r="AQM290" s="26"/>
      <c r="AQN290" s="26"/>
      <c r="AQO290" s="26"/>
      <c r="AQP290" s="26"/>
      <c r="AQQ290" s="26"/>
      <c r="AQR290" s="26"/>
      <c r="AQS290" s="26"/>
      <c r="AQT290" s="26"/>
      <c r="AQU290" s="26"/>
      <c r="AQV290" s="26"/>
      <c r="AQW290" s="26"/>
      <c r="AQX290" s="26"/>
      <c r="AQY290" s="26"/>
      <c r="AQZ290" s="26"/>
      <c r="ARA290" s="26"/>
      <c r="ARB290" s="26"/>
      <c r="ARC290" s="26"/>
      <c r="ARD290" s="26"/>
      <c r="ARE290" s="26"/>
      <c r="ARF290" s="26"/>
      <c r="ARG290" s="26"/>
      <c r="ARH290" s="26"/>
      <c r="ARI290" s="26"/>
      <c r="ARJ290" s="26"/>
      <c r="ARK290" s="26"/>
      <c r="ARL290" s="26"/>
      <c r="ARM290" s="26"/>
      <c r="ARN290" s="26"/>
      <c r="ARO290" s="26"/>
      <c r="ARP290" s="26"/>
      <c r="ARQ290" s="26"/>
      <c r="ARR290" s="26"/>
      <c r="ARS290" s="26"/>
      <c r="ART290" s="26"/>
      <c r="ARU290" s="26"/>
      <c r="ARV290" s="26"/>
      <c r="ARW290" s="26"/>
      <c r="ARX290" s="26"/>
      <c r="ARY290" s="26"/>
      <c r="ARZ290" s="26"/>
      <c r="ASA290" s="26"/>
      <c r="ASB290" s="26"/>
      <c r="ASC290" s="26"/>
      <c r="ASD290" s="26"/>
      <c r="ASE290" s="26"/>
      <c r="ASF290" s="26"/>
      <c r="ASG290" s="26"/>
      <c r="ASH290" s="26"/>
      <c r="ASI290" s="26"/>
      <c r="ASJ290" s="26"/>
      <c r="ASK290" s="26"/>
      <c r="ASL290" s="26"/>
      <c r="ASM290" s="26"/>
      <c r="ASN290" s="26"/>
      <c r="ASO290" s="26"/>
      <c r="ASP290" s="26"/>
      <c r="ASQ290" s="26"/>
      <c r="ASR290" s="26"/>
      <c r="ASS290" s="26"/>
      <c r="AST290" s="26"/>
      <c r="ASU290" s="26"/>
      <c r="ASV290" s="26"/>
      <c r="ASW290" s="26"/>
      <c r="ASX290" s="26"/>
      <c r="ASY290" s="26"/>
      <c r="ASZ290" s="26"/>
      <c r="ATA290" s="26"/>
      <c r="ATB290" s="26"/>
      <c r="ATC290" s="26"/>
      <c r="ATD290" s="26"/>
      <c r="ATE290" s="26"/>
      <c r="ATF290" s="26"/>
      <c r="ATG290" s="26"/>
      <c r="ATH290" s="26"/>
      <c r="ATI290" s="26"/>
      <c r="ATJ290" s="26"/>
      <c r="ATK290" s="26"/>
      <c r="ATL290" s="26"/>
      <c r="ATM290" s="26"/>
      <c r="ATN290" s="26"/>
      <c r="ATO290" s="26"/>
      <c r="ATP290" s="26"/>
      <c r="ATQ290" s="26"/>
      <c r="ATR290" s="26"/>
      <c r="ATS290" s="26"/>
      <c r="ATT290" s="26"/>
      <c r="ATU290" s="26"/>
      <c r="ATV290" s="26"/>
      <c r="ATW290" s="26"/>
      <c r="ATX290" s="26"/>
      <c r="ATY290" s="26"/>
      <c r="ATZ290" s="26"/>
      <c r="AUA290" s="26"/>
      <c r="AUB290" s="26"/>
      <c r="AUC290" s="26"/>
      <c r="AUD290" s="26"/>
      <c r="AUE290" s="26"/>
      <c r="AUF290" s="26"/>
      <c r="AUG290" s="26"/>
      <c r="AUH290" s="26"/>
      <c r="AUI290" s="26"/>
      <c r="AUJ290" s="26"/>
      <c r="AUK290" s="26"/>
      <c r="AUL290" s="26"/>
      <c r="AUM290" s="26"/>
      <c r="AUN290" s="26"/>
      <c r="AUO290" s="26"/>
      <c r="AUP290" s="26"/>
      <c r="AUQ290" s="26"/>
      <c r="AUR290" s="26"/>
      <c r="AUS290" s="26"/>
      <c r="AUT290" s="26"/>
      <c r="AUU290" s="26"/>
      <c r="AUV290" s="26"/>
      <c r="AUW290" s="26"/>
      <c r="AUX290" s="26"/>
      <c r="AUY290" s="26"/>
      <c r="AUZ290" s="26"/>
      <c r="AVA290" s="26"/>
      <c r="AVB290" s="26"/>
      <c r="AVC290" s="26"/>
      <c r="AVD290" s="26"/>
      <c r="AVE290" s="26"/>
      <c r="AVF290" s="26"/>
      <c r="AVG290" s="26"/>
      <c r="AVH290" s="26"/>
      <c r="AVI290" s="26"/>
      <c r="AVJ290" s="26"/>
      <c r="AVK290" s="26"/>
      <c r="AVL290" s="26"/>
      <c r="AVM290" s="26"/>
      <c r="AVN290" s="26"/>
      <c r="AVO290" s="26"/>
      <c r="AVP290" s="26"/>
      <c r="AVQ290" s="26"/>
      <c r="AVR290" s="26"/>
      <c r="AVS290" s="26"/>
      <c r="AVT290" s="26"/>
      <c r="AVU290" s="26"/>
      <c r="AVV290" s="26"/>
      <c r="AVW290" s="26"/>
      <c r="AVX290" s="26"/>
      <c r="AVY290" s="26"/>
      <c r="AVZ290" s="26"/>
      <c r="AWA290" s="26"/>
      <c r="AWB290" s="26"/>
      <c r="AWC290" s="26"/>
      <c r="AWD290" s="26"/>
      <c r="AWE290" s="26"/>
      <c r="AWF290" s="26"/>
      <c r="AWG290" s="26"/>
      <c r="AWH290" s="26"/>
      <c r="AWI290" s="26"/>
      <c r="AWJ290" s="26"/>
      <c r="AWK290" s="26"/>
      <c r="AWL290" s="26"/>
      <c r="AWM290" s="26"/>
      <c r="AWN290" s="26"/>
      <c r="AWO290" s="26"/>
      <c r="AWP290" s="26"/>
      <c r="AWQ290" s="26"/>
      <c r="AWR290" s="26"/>
      <c r="AWS290" s="26"/>
      <c r="AWT290" s="26"/>
      <c r="AWU290" s="26"/>
      <c r="AWV290" s="26"/>
      <c r="AWW290" s="26"/>
      <c r="AWX290" s="26"/>
      <c r="AWY290" s="26"/>
      <c r="AWZ290" s="26"/>
      <c r="AXA290" s="26"/>
      <c r="AXB290" s="26"/>
      <c r="AXC290" s="26"/>
      <c r="AXD290" s="26"/>
      <c r="AXE290" s="26"/>
      <c r="AXF290" s="26"/>
      <c r="AXG290" s="26"/>
      <c r="AXH290" s="26"/>
      <c r="AXI290" s="26"/>
      <c r="AXJ290" s="26"/>
      <c r="AXK290" s="26"/>
      <c r="AXL290" s="26"/>
      <c r="AXM290" s="26"/>
      <c r="AXN290" s="26"/>
      <c r="AXO290" s="26"/>
      <c r="AXP290" s="26"/>
      <c r="AXQ290" s="26"/>
      <c r="AXR290" s="26"/>
      <c r="AXS290" s="26"/>
      <c r="AXT290" s="26"/>
      <c r="AXU290" s="26"/>
      <c r="AXV290" s="26"/>
      <c r="AXW290" s="26"/>
      <c r="AXX290" s="26"/>
      <c r="AXY290" s="26"/>
      <c r="AXZ290" s="26"/>
      <c r="AYA290" s="26"/>
      <c r="AYB290" s="26"/>
      <c r="AYC290" s="26"/>
      <c r="AYD290" s="26"/>
      <c r="AYE290" s="26"/>
      <c r="AYF290" s="26"/>
      <c r="AYG290" s="26"/>
      <c r="AYH290" s="26"/>
      <c r="AYI290" s="26"/>
      <c r="AYJ290" s="26"/>
      <c r="AYK290" s="26"/>
      <c r="AYL290" s="26"/>
      <c r="AYM290" s="26"/>
      <c r="AYN290" s="26"/>
      <c r="AYO290" s="26"/>
      <c r="AYP290" s="26"/>
      <c r="AYQ290" s="26"/>
      <c r="AYR290" s="26"/>
      <c r="AYS290" s="26"/>
      <c r="AYT290" s="26"/>
      <c r="AYU290" s="26"/>
      <c r="AYV290" s="26"/>
      <c r="AYW290" s="26"/>
      <c r="AYX290" s="26"/>
      <c r="AYY290" s="26"/>
      <c r="AYZ290" s="26"/>
      <c r="AZA290" s="26"/>
      <c r="AZB290" s="26"/>
      <c r="AZC290" s="26"/>
      <c r="AZD290" s="26"/>
      <c r="AZE290" s="26"/>
      <c r="AZF290" s="26"/>
      <c r="AZG290" s="26"/>
      <c r="AZH290" s="26"/>
      <c r="AZI290" s="26"/>
      <c r="AZJ290" s="26"/>
      <c r="AZK290" s="26"/>
      <c r="AZL290" s="26"/>
      <c r="AZM290" s="26"/>
      <c r="AZN290" s="26"/>
      <c r="AZO290" s="26"/>
      <c r="AZP290" s="26"/>
      <c r="AZQ290" s="26"/>
      <c r="AZR290" s="26"/>
      <c r="AZS290" s="26"/>
      <c r="AZT290" s="26"/>
      <c r="AZU290" s="26"/>
      <c r="AZV290" s="26"/>
      <c r="AZW290" s="26"/>
      <c r="AZX290" s="26"/>
      <c r="AZY290" s="26"/>
      <c r="AZZ290" s="26"/>
      <c r="BAA290" s="26"/>
      <c r="BAB290" s="26"/>
      <c r="BAC290" s="26"/>
      <c r="BAD290" s="26"/>
      <c r="BAE290" s="26"/>
      <c r="BAF290" s="26"/>
      <c r="BAG290" s="26"/>
      <c r="BAH290" s="26"/>
      <c r="BAI290" s="26"/>
      <c r="BAJ290" s="26"/>
      <c r="BAK290" s="26"/>
      <c r="BAL290" s="26"/>
      <c r="BAM290" s="26"/>
      <c r="BAN290" s="26"/>
      <c r="BAO290" s="26"/>
      <c r="BAP290" s="26"/>
      <c r="BAQ290" s="26"/>
      <c r="BAR290" s="26"/>
      <c r="BAS290" s="26"/>
      <c r="BAT290" s="26"/>
      <c r="BAU290" s="26"/>
      <c r="BAV290" s="26"/>
      <c r="BAW290" s="26"/>
      <c r="BAX290" s="26"/>
      <c r="BAY290" s="26"/>
      <c r="BAZ290" s="26"/>
      <c r="BBA290" s="26"/>
      <c r="BBB290" s="26"/>
      <c r="BBC290" s="26"/>
      <c r="BBD290" s="26"/>
      <c r="BBE290" s="26"/>
      <c r="BBF290" s="26"/>
      <c r="BBG290" s="26"/>
      <c r="BBH290" s="26"/>
      <c r="BBI290" s="26"/>
      <c r="BBJ290" s="26"/>
      <c r="BBK290" s="26"/>
      <c r="BBL290" s="26"/>
      <c r="BBM290" s="26"/>
      <c r="BBN290" s="26"/>
      <c r="BBO290" s="26"/>
      <c r="BBP290" s="26"/>
      <c r="BBQ290" s="26"/>
      <c r="BBR290" s="26"/>
      <c r="BBS290" s="26"/>
      <c r="BBT290" s="26"/>
      <c r="BBU290" s="26"/>
      <c r="BBV290" s="26"/>
      <c r="BBW290" s="26"/>
      <c r="BBX290" s="26"/>
      <c r="BBY290" s="26"/>
      <c r="BBZ290" s="26"/>
      <c r="BCA290" s="26"/>
      <c r="BCB290" s="26"/>
      <c r="BCC290" s="26"/>
      <c r="BCD290" s="26"/>
      <c r="BCE290" s="26"/>
      <c r="BCF290" s="26"/>
      <c r="BCG290" s="26"/>
      <c r="BCH290" s="26"/>
      <c r="BCI290" s="26"/>
      <c r="BCJ290" s="26"/>
      <c r="BCK290" s="26"/>
      <c r="BCL290" s="26"/>
      <c r="BCM290" s="26"/>
      <c r="BCN290" s="26"/>
      <c r="BCO290" s="26"/>
      <c r="BCP290" s="26"/>
      <c r="BCQ290" s="26"/>
      <c r="BCR290" s="26"/>
      <c r="BCS290" s="26"/>
      <c r="BCT290" s="26"/>
      <c r="BCU290" s="26"/>
      <c r="BCV290" s="26"/>
      <c r="BCW290" s="26"/>
      <c r="BCX290" s="26"/>
      <c r="BCY290" s="26"/>
      <c r="BCZ290" s="26"/>
      <c r="BDA290" s="26"/>
      <c r="BDB290" s="26"/>
      <c r="BDC290" s="26"/>
      <c r="BDD290" s="26"/>
      <c r="BDE290" s="26"/>
      <c r="BDF290" s="26"/>
      <c r="BDG290" s="26"/>
      <c r="BDH290" s="26"/>
      <c r="BDI290" s="26"/>
      <c r="BDJ290" s="26"/>
      <c r="BDK290" s="26"/>
      <c r="BDL290" s="26"/>
      <c r="BDM290" s="26"/>
      <c r="BDN290" s="26"/>
      <c r="BDO290" s="26"/>
      <c r="BDP290" s="26"/>
      <c r="BDQ290" s="26"/>
      <c r="BDR290" s="26"/>
      <c r="BDS290" s="26"/>
      <c r="BDT290" s="26"/>
      <c r="BDU290" s="26"/>
      <c r="BDV290" s="26"/>
      <c r="BDW290" s="26"/>
      <c r="BDX290" s="26"/>
      <c r="BDY290" s="26"/>
      <c r="BDZ290" s="26"/>
      <c r="BEA290" s="26"/>
      <c r="BEB290" s="26"/>
      <c r="BEC290" s="26"/>
      <c r="BED290" s="26"/>
      <c r="BEE290" s="26"/>
      <c r="BEF290" s="26"/>
      <c r="BEG290" s="26"/>
      <c r="BEH290" s="26"/>
      <c r="BEI290" s="26"/>
      <c r="BEJ290" s="26"/>
      <c r="BEK290" s="26"/>
      <c r="BEL290" s="26"/>
      <c r="BEM290" s="26"/>
      <c r="BEN290" s="26"/>
      <c r="BEO290" s="26"/>
      <c r="BEP290" s="26"/>
      <c r="BEQ290" s="26"/>
      <c r="BER290" s="26"/>
      <c r="BES290" s="26"/>
      <c r="BET290" s="26"/>
      <c r="BEU290" s="26"/>
      <c r="BEV290" s="26"/>
      <c r="BEW290" s="26"/>
      <c r="BEX290" s="26"/>
      <c r="BEY290" s="26"/>
      <c r="BEZ290" s="26"/>
      <c r="BFA290" s="26"/>
      <c r="BFB290" s="26"/>
      <c r="BFC290" s="26"/>
      <c r="BFD290" s="26"/>
      <c r="BFE290" s="26"/>
      <c r="BFF290" s="26"/>
      <c r="BFG290" s="26"/>
      <c r="BFH290" s="26"/>
      <c r="BFI290" s="26"/>
      <c r="BFJ290" s="26"/>
      <c r="BFK290" s="26"/>
      <c r="BFL290" s="26"/>
      <c r="BFM290" s="26"/>
      <c r="BFN290" s="26"/>
      <c r="BFO290" s="26"/>
      <c r="BFP290" s="26"/>
      <c r="BFQ290" s="26"/>
      <c r="BFR290" s="26"/>
      <c r="BFS290" s="26"/>
      <c r="BFT290" s="26"/>
      <c r="BFU290" s="26"/>
      <c r="BFV290" s="26"/>
      <c r="BFW290" s="26"/>
      <c r="BFX290" s="26"/>
      <c r="BFY290" s="26"/>
      <c r="BFZ290" s="26"/>
      <c r="BGA290" s="26"/>
      <c r="BGB290" s="26"/>
      <c r="BGC290" s="26"/>
      <c r="BGD290" s="26"/>
      <c r="BGE290" s="26"/>
      <c r="BGF290" s="26"/>
      <c r="BGG290" s="26"/>
      <c r="BGH290" s="26"/>
      <c r="BGI290" s="26"/>
      <c r="BGJ290" s="26"/>
      <c r="BGK290" s="26"/>
      <c r="BGL290" s="26"/>
      <c r="BGM290" s="26"/>
      <c r="BGN290" s="26"/>
      <c r="BGO290" s="26"/>
      <c r="BGP290" s="26"/>
      <c r="BGQ290" s="26"/>
      <c r="BGR290" s="26"/>
      <c r="BGS290" s="26"/>
      <c r="BGT290" s="26"/>
      <c r="BGU290" s="26"/>
      <c r="BGV290" s="26"/>
      <c r="BGW290" s="26"/>
      <c r="BGX290" s="26"/>
      <c r="BGY290" s="26"/>
      <c r="BGZ290" s="26"/>
      <c r="BHA290" s="26"/>
      <c r="BHB290" s="26"/>
      <c r="BHC290" s="26"/>
      <c r="BHD290" s="26"/>
      <c r="BHE290" s="26"/>
      <c r="BHF290" s="26"/>
      <c r="BHG290" s="26"/>
      <c r="BHH290" s="26"/>
      <c r="BHI290" s="26"/>
      <c r="BHJ290" s="26"/>
      <c r="BHK290" s="26"/>
      <c r="BHL290" s="26"/>
      <c r="BHM290" s="26"/>
      <c r="BHN290" s="26"/>
      <c r="BHO290" s="26"/>
      <c r="BHP290" s="26"/>
      <c r="BHQ290" s="26"/>
      <c r="BHR290" s="26"/>
      <c r="BHS290" s="26"/>
      <c r="BHT290" s="26"/>
      <c r="BHU290" s="26"/>
      <c r="BHV290" s="26"/>
      <c r="BHW290" s="26"/>
      <c r="BHX290" s="26"/>
      <c r="BHY290" s="26"/>
      <c r="BHZ290" s="26"/>
      <c r="BIA290" s="26"/>
      <c r="BIB290" s="26"/>
      <c r="BIC290" s="26"/>
      <c r="BID290" s="26"/>
      <c r="BIE290" s="26"/>
      <c r="BIF290" s="26"/>
      <c r="BIG290" s="26"/>
      <c r="BIH290" s="26"/>
      <c r="BII290" s="26"/>
      <c r="BIJ290" s="26"/>
      <c r="BIK290" s="26"/>
      <c r="BIL290" s="26"/>
      <c r="BIM290" s="26"/>
      <c r="BIN290" s="26"/>
      <c r="BIO290" s="26"/>
      <c r="BIP290" s="26"/>
      <c r="BIQ290" s="26"/>
      <c r="BIR290" s="26"/>
      <c r="BIS290" s="26"/>
      <c r="BIT290" s="26"/>
      <c r="BIU290" s="26"/>
      <c r="BIV290" s="26"/>
      <c r="BIW290" s="26"/>
      <c r="BIX290" s="26"/>
      <c r="BIY290" s="26"/>
      <c r="BIZ290" s="26"/>
      <c r="BJA290" s="26"/>
      <c r="BJB290" s="26"/>
      <c r="BJC290" s="26"/>
      <c r="BJD290" s="26"/>
      <c r="BJE290" s="26"/>
      <c r="BJF290" s="26"/>
      <c r="BJG290" s="26"/>
      <c r="BJH290" s="26"/>
      <c r="BJI290" s="26"/>
      <c r="BJJ290" s="26"/>
      <c r="BJK290" s="26"/>
      <c r="BJL290" s="26"/>
      <c r="BJM290" s="26"/>
      <c r="BJN290" s="26"/>
      <c r="BJO290" s="26"/>
      <c r="BJP290" s="26"/>
      <c r="BJQ290" s="26"/>
      <c r="BJR290" s="26"/>
      <c r="BJS290" s="26"/>
      <c r="BJT290" s="26"/>
      <c r="BJU290" s="26"/>
      <c r="BJV290" s="26"/>
      <c r="BJW290" s="26"/>
      <c r="BJX290" s="26"/>
      <c r="BJY290" s="26"/>
      <c r="BJZ290" s="26"/>
      <c r="BKA290" s="26"/>
      <c r="BKB290" s="26"/>
      <c r="BKC290" s="26"/>
      <c r="BKD290" s="26"/>
      <c r="BKE290" s="26"/>
      <c r="BKF290" s="26"/>
      <c r="BKG290" s="26"/>
      <c r="BKH290" s="26"/>
      <c r="BKI290" s="26"/>
      <c r="BKJ290" s="26"/>
      <c r="BKK290" s="26"/>
      <c r="BKL290" s="26"/>
      <c r="BKM290" s="26"/>
      <c r="BKN290" s="26"/>
      <c r="BKO290" s="26"/>
      <c r="BKP290" s="26"/>
      <c r="BKQ290" s="26"/>
      <c r="BKR290" s="26"/>
      <c r="BKS290" s="26"/>
      <c r="BKT290" s="26"/>
      <c r="BKU290" s="26"/>
      <c r="BKV290" s="26"/>
      <c r="BKW290" s="26"/>
      <c r="BKX290" s="26"/>
      <c r="BKY290" s="26"/>
      <c r="BKZ290" s="26"/>
      <c r="BLA290" s="26"/>
      <c r="BLB290" s="26"/>
      <c r="BLC290" s="26"/>
      <c r="BLD290" s="26"/>
      <c r="BLE290" s="26"/>
      <c r="BLF290" s="26"/>
      <c r="BLG290" s="26"/>
      <c r="BLH290" s="26"/>
      <c r="BLI290" s="26"/>
      <c r="BLJ290" s="26"/>
      <c r="BLK290" s="26"/>
      <c r="BLL290" s="26"/>
      <c r="BLM290" s="26"/>
      <c r="BLN290" s="26"/>
      <c r="BLO290" s="26"/>
      <c r="BLP290" s="26"/>
      <c r="BLQ290" s="26"/>
      <c r="BLR290" s="26"/>
      <c r="BLS290" s="26"/>
      <c r="BLT290" s="26"/>
      <c r="BLU290" s="26"/>
      <c r="BLV290" s="26"/>
      <c r="BLW290" s="26"/>
      <c r="BLX290" s="26"/>
      <c r="BLY290" s="26"/>
      <c r="BLZ290" s="26"/>
      <c r="BMA290" s="26"/>
      <c r="BMB290" s="26"/>
      <c r="BMC290" s="26"/>
      <c r="BMD290" s="26"/>
      <c r="BME290" s="26"/>
      <c r="BMF290" s="26"/>
      <c r="BMG290" s="26"/>
      <c r="BMH290" s="26"/>
      <c r="BMI290" s="26"/>
      <c r="BMJ290" s="26"/>
      <c r="BMK290" s="26"/>
      <c r="BML290" s="26"/>
      <c r="BMM290" s="26"/>
      <c r="BMN290" s="26"/>
      <c r="BMO290" s="26"/>
      <c r="BMP290" s="26"/>
      <c r="BMQ290" s="26"/>
      <c r="BMR290" s="26"/>
      <c r="BMS290" s="26"/>
      <c r="BMT290" s="26"/>
      <c r="BMU290" s="26"/>
      <c r="BMV290" s="26"/>
      <c r="BMW290" s="26"/>
      <c r="BMX290" s="26"/>
      <c r="BMY290" s="26"/>
      <c r="BMZ290" s="26"/>
      <c r="BNA290" s="26"/>
      <c r="BNB290" s="26"/>
      <c r="BNC290" s="26"/>
      <c r="BND290" s="26"/>
      <c r="BNE290" s="26"/>
      <c r="BNF290" s="26"/>
      <c r="BNG290" s="26"/>
      <c r="BNH290" s="26"/>
      <c r="BNI290" s="26"/>
      <c r="BNJ290" s="26"/>
      <c r="BNK290" s="26"/>
      <c r="BNL290" s="26"/>
      <c r="BNM290" s="26"/>
      <c r="BNN290" s="26"/>
      <c r="BNO290" s="26"/>
      <c r="BNP290" s="26"/>
      <c r="BNQ290" s="26"/>
      <c r="BNR290" s="26"/>
      <c r="BNS290" s="26"/>
      <c r="BNT290" s="26"/>
      <c r="BNU290" s="26"/>
      <c r="BNV290" s="26"/>
      <c r="BNW290" s="26"/>
      <c r="BNX290" s="26"/>
      <c r="BNY290" s="26"/>
      <c r="BNZ290" s="26"/>
      <c r="BOA290" s="26"/>
      <c r="BOB290" s="26"/>
      <c r="BOC290" s="26"/>
      <c r="BOD290" s="26"/>
      <c r="BOE290" s="26"/>
      <c r="BOF290" s="26"/>
      <c r="BOG290" s="26"/>
      <c r="BOH290" s="26"/>
      <c r="BOI290" s="26"/>
      <c r="BOJ290" s="26"/>
      <c r="BOK290" s="26"/>
      <c r="BOL290" s="26"/>
      <c r="BOM290" s="26"/>
      <c r="BON290" s="26"/>
      <c r="BOO290" s="26"/>
      <c r="BOP290" s="26"/>
      <c r="BOQ290" s="26"/>
      <c r="BOR290" s="26"/>
      <c r="BOS290" s="26"/>
      <c r="BOT290" s="26"/>
      <c r="BOU290" s="26"/>
      <c r="BOV290" s="26"/>
      <c r="BOW290" s="26"/>
      <c r="BOX290" s="26"/>
      <c r="BOY290" s="26"/>
      <c r="BOZ290" s="26"/>
      <c r="BPA290" s="26"/>
      <c r="BPB290" s="26"/>
      <c r="BPC290" s="26"/>
      <c r="BPD290" s="26"/>
      <c r="BPE290" s="26"/>
      <c r="BPF290" s="26"/>
      <c r="BPG290" s="26"/>
      <c r="BPH290" s="26"/>
      <c r="BPI290" s="26"/>
      <c r="BPJ290" s="26"/>
      <c r="BPK290" s="26"/>
      <c r="BPL290" s="26"/>
      <c r="BPM290" s="26"/>
      <c r="BPN290" s="26"/>
      <c r="BPO290" s="26"/>
      <c r="BPP290" s="26"/>
      <c r="BPQ290" s="26"/>
      <c r="BPR290" s="26"/>
      <c r="BPS290" s="26"/>
      <c r="BPT290" s="26"/>
      <c r="BPU290" s="26"/>
      <c r="BPV290" s="26"/>
      <c r="BPW290" s="26"/>
      <c r="BPX290" s="26"/>
      <c r="BPY290" s="26"/>
      <c r="BPZ290" s="26"/>
      <c r="BQA290" s="26"/>
      <c r="BQB290" s="26"/>
      <c r="BQC290" s="26"/>
      <c r="BQD290" s="26"/>
      <c r="BQE290" s="26"/>
      <c r="BQF290" s="26"/>
      <c r="BQG290" s="26"/>
      <c r="BQH290" s="26"/>
      <c r="BQI290" s="26"/>
      <c r="BQJ290" s="26"/>
      <c r="BQK290" s="26"/>
      <c r="BQL290" s="26"/>
      <c r="BQM290" s="26"/>
      <c r="BQN290" s="26"/>
      <c r="BQO290" s="26"/>
      <c r="BQP290" s="26"/>
      <c r="BQQ290" s="26"/>
      <c r="BQR290" s="26"/>
      <c r="BQS290" s="26"/>
      <c r="BQT290" s="26"/>
      <c r="BQU290" s="26"/>
      <c r="BQV290" s="26"/>
      <c r="BQW290" s="26"/>
      <c r="BQX290" s="26"/>
      <c r="BQY290" s="26"/>
      <c r="BQZ290" s="26"/>
      <c r="BRA290" s="26"/>
      <c r="BRB290" s="26"/>
      <c r="BRC290" s="26"/>
      <c r="BRD290" s="26"/>
      <c r="BRE290" s="26"/>
      <c r="BRF290" s="26"/>
      <c r="BRG290" s="26"/>
      <c r="BRH290" s="26"/>
      <c r="BRI290" s="26"/>
      <c r="BRJ290" s="26"/>
      <c r="BRK290" s="26"/>
      <c r="BRL290" s="26"/>
      <c r="BRM290" s="26"/>
      <c r="BRN290" s="26"/>
      <c r="BRO290" s="26"/>
      <c r="BRP290" s="26"/>
      <c r="BRQ290" s="26"/>
      <c r="BRR290" s="26"/>
      <c r="BRS290" s="26"/>
      <c r="BRT290" s="26"/>
      <c r="BRU290" s="26"/>
      <c r="BRV290" s="26"/>
      <c r="BRW290" s="26"/>
      <c r="BRX290" s="26"/>
      <c r="BRY290" s="26"/>
      <c r="BRZ290" s="26"/>
      <c r="BSA290" s="26"/>
      <c r="BSB290" s="26"/>
      <c r="BSC290" s="26"/>
      <c r="BSD290" s="26"/>
      <c r="BSE290" s="26"/>
      <c r="BSF290" s="26"/>
      <c r="BSG290" s="26"/>
      <c r="BSH290" s="26"/>
      <c r="BSI290" s="26"/>
      <c r="BSJ290" s="26"/>
      <c r="BSK290" s="26"/>
      <c r="BSL290" s="26"/>
      <c r="BSM290" s="26"/>
      <c r="BSN290" s="26"/>
      <c r="BSO290" s="26"/>
      <c r="BSP290" s="26"/>
      <c r="BSQ290" s="26"/>
      <c r="BSR290" s="26"/>
      <c r="BSS290" s="26"/>
      <c r="BST290" s="26"/>
      <c r="BSU290" s="26"/>
      <c r="BSV290" s="26"/>
      <c r="BSW290" s="26"/>
      <c r="BSX290" s="26"/>
      <c r="BSY290" s="26"/>
      <c r="BSZ290" s="26"/>
      <c r="BTA290" s="26"/>
      <c r="BTB290" s="26"/>
      <c r="BTC290" s="26"/>
      <c r="BTD290" s="26"/>
      <c r="BTE290" s="26"/>
      <c r="BTF290" s="26"/>
      <c r="BTG290" s="26"/>
      <c r="BTH290" s="26"/>
      <c r="BTI290" s="26"/>
      <c r="BTJ290" s="26"/>
      <c r="BTK290" s="26"/>
      <c r="BTL290" s="26"/>
      <c r="BTM290" s="26"/>
      <c r="BTN290" s="26"/>
      <c r="BTO290" s="26"/>
      <c r="BTP290" s="26"/>
      <c r="BTQ290" s="26"/>
      <c r="BTR290" s="26"/>
      <c r="BTS290" s="26"/>
      <c r="BTT290" s="26"/>
      <c r="BTU290" s="26"/>
      <c r="BTV290" s="26"/>
      <c r="BTW290" s="26"/>
      <c r="BTX290" s="26"/>
      <c r="BTY290" s="26"/>
      <c r="BTZ290" s="26"/>
      <c r="BUA290" s="26"/>
      <c r="BUB290" s="26"/>
      <c r="BUC290" s="26"/>
      <c r="BUD290" s="26"/>
      <c r="BUE290" s="26"/>
      <c r="BUF290" s="26"/>
      <c r="BUG290" s="26"/>
      <c r="BUH290" s="26"/>
      <c r="BUI290" s="26"/>
      <c r="BUJ290" s="26"/>
      <c r="BUK290" s="26"/>
      <c r="BUL290" s="26"/>
      <c r="BUM290" s="26"/>
      <c r="BUN290" s="26"/>
      <c r="BUO290" s="26"/>
      <c r="BUP290" s="26"/>
      <c r="BUQ290" s="26"/>
      <c r="BUR290" s="26"/>
      <c r="BUS290" s="26"/>
      <c r="BUT290" s="26"/>
      <c r="BUU290" s="26"/>
      <c r="BUV290" s="26"/>
      <c r="BUW290" s="26"/>
      <c r="BUX290" s="26"/>
      <c r="BUY290" s="26"/>
      <c r="BUZ290" s="26"/>
      <c r="BVA290" s="26"/>
      <c r="BVB290" s="26"/>
      <c r="BVC290" s="26"/>
      <c r="BVD290" s="26"/>
      <c r="BVE290" s="26"/>
      <c r="BVF290" s="26"/>
      <c r="BVG290" s="26"/>
      <c r="BVH290" s="26"/>
      <c r="BVI290" s="26"/>
      <c r="BVJ290" s="26"/>
      <c r="BVK290" s="26"/>
      <c r="BVL290" s="26"/>
      <c r="BVM290" s="26"/>
      <c r="BVN290" s="26"/>
      <c r="BVO290" s="26"/>
      <c r="BVP290" s="26"/>
      <c r="BVQ290" s="26"/>
      <c r="BVR290" s="26"/>
      <c r="BVS290" s="26"/>
      <c r="BVT290" s="26"/>
      <c r="BVU290" s="26"/>
      <c r="BVV290" s="26"/>
      <c r="BVW290" s="26"/>
      <c r="BVX290" s="26"/>
      <c r="BVY290" s="26"/>
      <c r="BVZ290" s="26"/>
      <c r="BWA290" s="26"/>
      <c r="BWB290" s="26"/>
      <c r="BWC290" s="26"/>
      <c r="BWD290" s="26"/>
      <c r="BWE290" s="26"/>
      <c r="BWF290" s="26"/>
      <c r="BWG290" s="26"/>
      <c r="BWH290" s="26"/>
      <c r="BWI290" s="26"/>
      <c r="BWJ290" s="26"/>
      <c r="BWK290" s="26"/>
      <c r="BWL290" s="26"/>
      <c r="BWM290" s="26"/>
      <c r="BWN290" s="26"/>
      <c r="BWO290" s="26"/>
      <c r="BWP290" s="26"/>
      <c r="BWQ290" s="26"/>
      <c r="BWR290" s="26"/>
      <c r="BWS290" s="26"/>
      <c r="BWT290" s="26"/>
      <c r="BWU290" s="26"/>
      <c r="BWV290" s="26"/>
      <c r="BWW290" s="26"/>
      <c r="BWX290" s="26"/>
      <c r="BWY290" s="26"/>
      <c r="BWZ290" s="26"/>
      <c r="BXA290" s="26"/>
      <c r="BXB290" s="26"/>
      <c r="BXC290" s="26"/>
      <c r="BXD290" s="26"/>
      <c r="BXE290" s="26"/>
      <c r="BXF290" s="26"/>
      <c r="BXG290" s="26"/>
      <c r="BXH290" s="26"/>
      <c r="BXI290" s="26"/>
      <c r="BXJ290" s="26"/>
      <c r="BXK290" s="26"/>
      <c r="BXL290" s="26"/>
      <c r="BXM290" s="26"/>
      <c r="BXN290" s="26"/>
      <c r="BXO290" s="26"/>
      <c r="BXP290" s="26"/>
      <c r="BXQ290" s="26"/>
      <c r="BXR290" s="26"/>
      <c r="BXS290" s="26"/>
      <c r="BXT290" s="26"/>
      <c r="BXU290" s="26"/>
      <c r="BXV290" s="26"/>
      <c r="BXW290" s="26"/>
      <c r="BXX290" s="26"/>
      <c r="BXY290" s="26"/>
      <c r="BXZ290" s="26"/>
      <c r="BYA290" s="26"/>
      <c r="BYB290" s="26"/>
      <c r="BYC290" s="26"/>
      <c r="BYD290" s="26"/>
      <c r="BYE290" s="26"/>
      <c r="BYF290" s="26"/>
      <c r="BYG290" s="26"/>
      <c r="BYH290" s="26"/>
      <c r="BYI290" s="26"/>
      <c r="BYJ290" s="26"/>
      <c r="BYK290" s="26"/>
      <c r="BYL290" s="26"/>
      <c r="BYM290" s="26"/>
      <c r="BYN290" s="26"/>
      <c r="BYO290" s="26"/>
      <c r="BYP290" s="26"/>
      <c r="BYQ290" s="26"/>
      <c r="BYR290" s="26"/>
      <c r="BYS290" s="26"/>
      <c r="BYT290" s="26"/>
      <c r="BYU290" s="26"/>
      <c r="BYV290" s="26"/>
      <c r="BYW290" s="26"/>
      <c r="BYX290" s="26"/>
      <c r="BYY290" s="26"/>
      <c r="BYZ290" s="26"/>
      <c r="BZA290" s="26"/>
      <c r="BZB290" s="26"/>
      <c r="BZC290" s="26"/>
      <c r="BZD290" s="26"/>
      <c r="BZE290" s="26"/>
      <c r="BZF290" s="26"/>
      <c r="BZG290" s="26"/>
      <c r="BZH290" s="26"/>
      <c r="BZI290" s="26"/>
      <c r="BZJ290" s="26"/>
      <c r="BZK290" s="26"/>
      <c r="BZL290" s="26"/>
      <c r="BZM290" s="26"/>
      <c r="BZN290" s="26"/>
      <c r="BZO290" s="26"/>
      <c r="BZP290" s="26"/>
      <c r="BZQ290" s="26"/>
      <c r="BZR290" s="26"/>
      <c r="BZS290" s="26"/>
      <c r="BZT290" s="26"/>
      <c r="BZU290" s="26"/>
      <c r="BZV290" s="26"/>
      <c r="BZW290" s="26"/>
      <c r="BZX290" s="26"/>
      <c r="BZY290" s="26"/>
      <c r="BZZ290" s="26"/>
      <c r="CAA290" s="26"/>
      <c r="CAB290" s="26"/>
      <c r="CAC290" s="26"/>
      <c r="CAD290" s="26"/>
      <c r="CAE290" s="26"/>
      <c r="CAF290" s="26"/>
      <c r="CAG290" s="26"/>
      <c r="CAH290" s="26"/>
      <c r="CAI290" s="26"/>
      <c r="CAJ290" s="26"/>
      <c r="CAK290" s="26"/>
      <c r="CAL290" s="26"/>
      <c r="CAM290" s="26"/>
      <c r="CAN290" s="26"/>
      <c r="CAO290" s="26"/>
      <c r="CAP290" s="26"/>
      <c r="CAQ290" s="26"/>
      <c r="CAR290" s="26"/>
      <c r="CAS290" s="26"/>
      <c r="CAT290" s="26"/>
      <c r="CAU290" s="26"/>
      <c r="CAV290" s="26"/>
      <c r="CAW290" s="26"/>
      <c r="CAX290" s="26"/>
      <c r="CAY290" s="26"/>
      <c r="CAZ290" s="26"/>
      <c r="CBA290" s="26"/>
      <c r="CBB290" s="26"/>
      <c r="CBC290" s="26"/>
      <c r="CBD290" s="26"/>
      <c r="CBE290" s="26"/>
      <c r="CBF290" s="26"/>
      <c r="CBG290" s="26"/>
      <c r="CBH290" s="26"/>
      <c r="CBI290" s="26"/>
    </row>
    <row r="291" spans="1:2089" ht="14" customHeight="1">
      <c r="A291" s="27">
        <v>290</v>
      </c>
      <c r="B291" s="27" t="s">
        <v>414</v>
      </c>
      <c r="C291" s="37">
        <v>2006</v>
      </c>
      <c r="D291" s="26" t="s">
        <v>205</v>
      </c>
      <c r="E291" s="26" t="s">
        <v>563</v>
      </c>
      <c r="F291" s="77" t="s">
        <v>175</v>
      </c>
      <c r="G291" s="2" t="s">
        <v>105</v>
      </c>
      <c r="H291" s="2" t="s">
        <v>24</v>
      </c>
      <c r="I291" s="2" t="s">
        <v>548</v>
      </c>
      <c r="J291" s="2" t="s">
        <v>604</v>
      </c>
      <c r="K291" s="2" t="s">
        <v>548</v>
      </c>
      <c r="L291" s="2" t="s">
        <v>548</v>
      </c>
      <c r="M291" s="2" t="s">
        <v>548</v>
      </c>
      <c r="N291" s="2" t="s">
        <v>51</v>
      </c>
      <c r="O291" s="2" t="s">
        <v>43</v>
      </c>
      <c r="P291" s="2" t="s">
        <v>51</v>
      </c>
      <c r="Q291" s="2" t="s">
        <v>42</v>
      </c>
      <c r="R291" s="79" t="s">
        <v>613</v>
      </c>
      <c r="S291" s="2">
        <f>3/T291</f>
        <v>0.25</v>
      </c>
      <c r="T291" s="26">
        <v>12</v>
      </c>
      <c r="U291" s="77">
        <v>1</v>
      </c>
      <c r="V291" s="26">
        <v>0</v>
      </c>
      <c r="W291" s="26">
        <v>0</v>
      </c>
      <c r="X291" s="26">
        <v>0</v>
      </c>
      <c r="Y291" s="26">
        <v>0</v>
      </c>
      <c r="Z291" s="26">
        <v>0</v>
      </c>
      <c r="AA291" s="26">
        <v>0</v>
      </c>
      <c r="AB291" s="26">
        <v>0</v>
      </c>
      <c r="AC291" s="26">
        <f>1-S291</f>
        <v>0.75</v>
      </c>
      <c r="AD291" s="26">
        <f>1-AC291-AF291</f>
        <v>0.16666666666666669</v>
      </c>
      <c r="AE291" s="26">
        <v>0</v>
      </c>
      <c r="AF291" s="26">
        <f>1/12</f>
        <v>8.3333333333333329E-2</v>
      </c>
      <c r="AG291" s="26" t="s">
        <v>70</v>
      </c>
      <c r="AH291" s="26" t="s">
        <v>70</v>
      </c>
      <c r="AI291" s="26" t="s">
        <v>70</v>
      </c>
      <c r="AJ291" s="26" t="s">
        <v>70</v>
      </c>
      <c r="AK291" s="26" t="s">
        <v>70</v>
      </c>
      <c r="AL291" s="26" t="s">
        <v>70</v>
      </c>
      <c r="AM291" s="35" t="s">
        <v>548</v>
      </c>
      <c r="AN291" s="26" t="s">
        <v>274</v>
      </c>
      <c r="AO291" s="35" t="s">
        <v>548</v>
      </c>
      <c r="AP291" s="35" t="s">
        <v>548</v>
      </c>
      <c r="AQ291" s="35" t="s">
        <v>548</v>
      </c>
      <c r="AR291" s="35" t="s">
        <v>548</v>
      </c>
      <c r="AS291" s="26" t="s">
        <v>175</v>
      </c>
      <c r="AT291" s="26" t="s">
        <v>70</v>
      </c>
      <c r="AU291" s="26" t="s">
        <v>70</v>
      </c>
      <c r="AV291" s="26">
        <v>2</v>
      </c>
    </row>
    <row r="292" spans="1:2089" ht="14" customHeight="1">
      <c r="A292" s="27">
        <v>291</v>
      </c>
      <c r="B292" s="27" t="s">
        <v>414</v>
      </c>
      <c r="C292" s="37">
        <v>2006</v>
      </c>
      <c r="D292" s="26" t="s">
        <v>205</v>
      </c>
      <c r="E292" s="26" t="s">
        <v>563</v>
      </c>
      <c r="F292" s="77" t="s">
        <v>175</v>
      </c>
      <c r="G292" s="2" t="s">
        <v>105</v>
      </c>
      <c r="H292" s="2" t="s">
        <v>24</v>
      </c>
      <c r="I292" s="2" t="s">
        <v>548</v>
      </c>
      <c r="J292" s="2" t="s">
        <v>604</v>
      </c>
      <c r="K292" s="2" t="s">
        <v>548</v>
      </c>
      <c r="L292" s="2" t="s">
        <v>548</v>
      </c>
      <c r="M292" s="2" t="s">
        <v>548</v>
      </c>
      <c r="N292" s="2" t="s">
        <v>609</v>
      </c>
      <c r="O292" s="2" t="s">
        <v>60</v>
      </c>
      <c r="P292" s="2" t="s">
        <v>609</v>
      </c>
      <c r="Q292" s="2" t="s">
        <v>42</v>
      </c>
      <c r="R292" s="79" t="s">
        <v>613</v>
      </c>
      <c r="S292" s="2">
        <v>0.35555555555555557</v>
      </c>
      <c r="T292" s="26">
        <v>135</v>
      </c>
      <c r="U292" s="77">
        <v>1</v>
      </c>
      <c r="V292" s="26">
        <v>0</v>
      </c>
      <c r="W292" s="26">
        <v>0</v>
      </c>
      <c r="X292" s="26">
        <v>0</v>
      </c>
      <c r="Y292" s="26">
        <v>0</v>
      </c>
      <c r="Z292" s="26">
        <v>0</v>
      </c>
      <c r="AA292" s="26">
        <v>0</v>
      </c>
      <c r="AB292" s="26">
        <v>0</v>
      </c>
      <c r="AC292" s="26">
        <v>0.6444444444444446</v>
      </c>
      <c r="AD292" s="26">
        <v>0.18518518518518517</v>
      </c>
      <c r="AE292" s="26">
        <v>5.9259259259259248E-2</v>
      </c>
      <c r="AF292" s="26">
        <v>0.1111111111111111</v>
      </c>
      <c r="AG292" s="26" t="s">
        <v>70</v>
      </c>
      <c r="AH292" s="26" t="s">
        <v>70</v>
      </c>
      <c r="AI292" s="26" t="s">
        <v>70</v>
      </c>
      <c r="AJ292" s="26" t="s">
        <v>70</v>
      </c>
      <c r="AK292" s="26" t="s">
        <v>70</v>
      </c>
      <c r="AL292" s="26" t="s">
        <v>70</v>
      </c>
      <c r="AM292" s="35" t="s">
        <v>548</v>
      </c>
      <c r="AN292" s="26" t="s">
        <v>274</v>
      </c>
      <c r="AO292" s="35" t="s">
        <v>548</v>
      </c>
      <c r="AP292" s="35" t="s">
        <v>548</v>
      </c>
      <c r="AQ292" s="35" t="s">
        <v>548</v>
      </c>
      <c r="AR292" s="35" t="s">
        <v>548</v>
      </c>
      <c r="AS292" s="26" t="s">
        <v>175</v>
      </c>
      <c r="AT292" s="26" t="s">
        <v>70</v>
      </c>
      <c r="AU292" s="26" t="s">
        <v>70</v>
      </c>
      <c r="AV292" s="26">
        <v>2</v>
      </c>
    </row>
    <row r="293" spans="1:2089" s="56" customFormat="1" ht="14" customHeight="1">
      <c r="A293" s="27">
        <v>292</v>
      </c>
      <c r="B293" s="27" t="s">
        <v>415</v>
      </c>
      <c r="C293" s="27">
        <v>2011</v>
      </c>
      <c r="D293" s="26" t="s">
        <v>10</v>
      </c>
      <c r="E293" s="26" t="s">
        <v>563</v>
      </c>
      <c r="F293" s="77" t="s">
        <v>175</v>
      </c>
      <c r="G293" s="2" t="s">
        <v>105</v>
      </c>
      <c r="H293" s="2" t="s">
        <v>24</v>
      </c>
      <c r="I293" s="2" t="s">
        <v>548</v>
      </c>
      <c r="J293" s="2" t="s">
        <v>604</v>
      </c>
      <c r="K293" s="2" t="s">
        <v>548</v>
      </c>
      <c r="L293" s="2" t="s">
        <v>548</v>
      </c>
      <c r="M293" s="2" t="s">
        <v>548</v>
      </c>
      <c r="N293" s="2" t="s">
        <v>51</v>
      </c>
      <c r="O293" s="2" t="s">
        <v>43</v>
      </c>
      <c r="P293" s="2" t="s">
        <v>51</v>
      </c>
      <c r="Q293" s="2" t="s">
        <v>42</v>
      </c>
      <c r="R293" s="79" t="s">
        <v>613</v>
      </c>
      <c r="S293" s="2">
        <v>0.82721</v>
      </c>
      <c r="T293" s="26">
        <v>61</v>
      </c>
      <c r="U293" s="77">
        <v>1</v>
      </c>
      <c r="V293" s="26">
        <v>0</v>
      </c>
      <c r="W293" s="26">
        <v>0</v>
      </c>
      <c r="X293" s="26">
        <v>0</v>
      </c>
      <c r="Y293" s="26">
        <v>0</v>
      </c>
      <c r="Z293" s="26">
        <v>0</v>
      </c>
      <c r="AA293" s="26">
        <v>0</v>
      </c>
      <c r="AB293" s="26">
        <v>0</v>
      </c>
      <c r="AC293" s="26">
        <v>0.17278688524590166</v>
      </c>
      <c r="AD293" s="26">
        <v>0.16442622950819671</v>
      </c>
      <c r="AE293" s="26">
        <v>0.5554098360655737</v>
      </c>
      <c r="AF293" s="26">
        <v>0.10737704918032787</v>
      </c>
      <c r="AG293" s="26" t="s">
        <v>70</v>
      </c>
      <c r="AH293" s="26" t="s">
        <v>70</v>
      </c>
      <c r="AI293" s="26" t="s">
        <v>70</v>
      </c>
      <c r="AJ293" s="26" t="s">
        <v>70</v>
      </c>
      <c r="AK293" s="26" t="s">
        <v>70</v>
      </c>
      <c r="AL293" s="26" t="s">
        <v>70</v>
      </c>
      <c r="AM293" s="35" t="s">
        <v>548</v>
      </c>
      <c r="AN293" s="26" t="s">
        <v>274</v>
      </c>
      <c r="AO293" s="35" t="s">
        <v>548</v>
      </c>
      <c r="AP293" s="35" t="s">
        <v>175</v>
      </c>
      <c r="AQ293" s="35" t="s">
        <v>548</v>
      </c>
      <c r="AR293" s="35" t="s">
        <v>548</v>
      </c>
      <c r="AS293" s="26" t="s">
        <v>175</v>
      </c>
      <c r="AT293" s="26" t="s">
        <v>548</v>
      </c>
      <c r="AU293" s="26" t="s">
        <v>175</v>
      </c>
      <c r="AV293" s="26">
        <v>2</v>
      </c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  <c r="GR293" s="26"/>
      <c r="GS293" s="26"/>
      <c r="GT293" s="26"/>
      <c r="GU293" s="26"/>
      <c r="GV293" s="26"/>
      <c r="GW293" s="26"/>
      <c r="GX293" s="26"/>
      <c r="GY293" s="26"/>
      <c r="GZ293" s="26"/>
      <c r="HA293" s="26"/>
      <c r="HB293" s="26"/>
      <c r="HC293" s="26"/>
      <c r="HD293" s="26"/>
      <c r="HE293" s="26"/>
      <c r="HF293" s="26"/>
      <c r="HG293" s="26"/>
      <c r="HH293" s="26"/>
      <c r="HI293" s="26"/>
      <c r="HJ293" s="26"/>
      <c r="HK293" s="26"/>
      <c r="HL293" s="26"/>
      <c r="HM293" s="26"/>
      <c r="HN293" s="26"/>
      <c r="HO293" s="26"/>
      <c r="HP293" s="26"/>
      <c r="HQ293" s="26"/>
      <c r="HR293" s="26"/>
      <c r="HS293" s="26"/>
      <c r="HT293" s="26"/>
      <c r="HU293" s="26"/>
      <c r="HV293" s="26"/>
      <c r="HW293" s="26"/>
      <c r="HX293" s="26"/>
      <c r="HY293" s="26"/>
      <c r="HZ293" s="26"/>
      <c r="IA293" s="26"/>
      <c r="IB293" s="26"/>
      <c r="IC293" s="26"/>
      <c r="ID293" s="26"/>
      <c r="IE293" s="26"/>
      <c r="IF293" s="26"/>
      <c r="IG293" s="26"/>
      <c r="IH293" s="26"/>
      <c r="II293" s="26"/>
      <c r="IJ293" s="26"/>
      <c r="IK293" s="26"/>
      <c r="IL293" s="26"/>
      <c r="IM293" s="26"/>
      <c r="IN293" s="26"/>
      <c r="IO293" s="26"/>
      <c r="IP293" s="26"/>
      <c r="IQ293" s="26"/>
      <c r="IR293" s="26"/>
      <c r="IS293" s="26"/>
      <c r="IT293" s="26"/>
      <c r="IU293" s="26"/>
      <c r="IV293" s="26"/>
      <c r="IW293" s="26"/>
      <c r="IX293" s="26"/>
      <c r="IY293" s="26"/>
      <c r="IZ293" s="26"/>
      <c r="JA293" s="26"/>
      <c r="JB293" s="26"/>
      <c r="JC293" s="26"/>
      <c r="JD293" s="26"/>
      <c r="JE293" s="26"/>
      <c r="JF293" s="26"/>
      <c r="JG293" s="26"/>
      <c r="JH293" s="26"/>
      <c r="JI293" s="26"/>
      <c r="JJ293" s="26"/>
      <c r="JK293" s="26"/>
      <c r="JL293" s="26"/>
      <c r="JM293" s="26"/>
      <c r="JN293" s="26"/>
      <c r="JO293" s="26"/>
      <c r="JP293" s="26"/>
      <c r="JQ293" s="26"/>
      <c r="JR293" s="26"/>
      <c r="JS293" s="26"/>
      <c r="JT293" s="26"/>
      <c r="JU293" s="26"/>
      <c r="JV293" s="26"/>
      <c r="JW293" s="26"/>
      <c r="JX293" s="26"/>
      <c r="JY293" s="26"/>
      <c r="JZ293" s="26"/>
      <c r="KA293" s="26"/>
      <c r="KB293" s="26"/>
      <c r="KC293" s="26"/>
      <c r="KD293" s="26"/>
      <c r="KE293" s="26"/>
      <c r="KF293" s="26"/>
      <c r="KG293" s="26"/>
      <c r="KH293" s="26"/>
      <c r="KI293" s="26"/>
      <c r="KJ293" s="26"/>
      <c r="KK293" s="26"/>
      <c r="KL293" s="26"/>
      <c r="KM293" s="26"/>
      <c r="KN293" s="26"/>
      <c r="KO293" s="26"/>
      <c r="KP293" s="26"/>
      <c r="KQ293" s="26"/>
      <c r="KR293" s="26"/>
      <c r="KS293" s="26"/>
      <c r="KT293" s="26"/>
      <c r="KU293" s="26"/>
      <c r="KV293" s="26"/>
      <c r="KW293" s="26"/>
      <c r="KX293" s="26"/>
      <c r="KY293" s="26"/>
      <c r="KZ293" s="26"/>
      <c r="LA293" s="26"/>
      <c r="LB293" s="26"/>
      <c r="LC293" s="26"/>
      <c r="LD293" s="26"/>
      <c r="LE293" s="26"/>
      <c r="LF293" s="26"/>
      <c r="LG293" s="26"/>
      <c r="LH293" s="26"/>
      <c r="LI293" s="26"/>
      <c r="LJ293" s="26"/>
      <c r="LK293" s="26"/>
      <c r="LL293" s="26"/>
      <c r="LM293" s="26"/>
      <c r="LN293" s="26"/>
      <c r="LO293" s="26"/>
      <c r="LP293" s="26"/>
      <c r="LQ293" s="26"/>
      <c r="LR293" s="26"/>
      <c r="LS293" s="26"/>
      <c r="LT293" s="26"/>
      <c r="LU293" s="26"/>
      <c r="LV293" s="26"/>
      <c r="LW293" s="26"/>
      <c r="LX293" s="26"/>
      <c r="LY293" s="26"/>
      <c r="LZ293" s="26"/>
      <c r="MA293" s="26"/>
      <c r="MB293" s="26"/>
      <c r="MC293" s="26"/>
      <c r="MD293" s="26"/>
      <c r="ME293" s="26"/>
      <c r="MF293" s="26"/>
      <c r="MG293" s="26"/>
      <c r="MH293" s="26"/>
      <c r="MI293" s="26"/>
      <c r="MJ293" s="26"/>
      <c r="MK293" s="26"/>
      <c r="ML293" s="26"/>
      <c r="MM293" s="26"/>
      <c r="MN293" s="26"/>
      <c r="MO293" s="26"/>
      <c r="MP293" s="26"/>
      <c r="MQ293" s="26"/>
      <c r="MR293" s="26"/>
      <c r="MS293" s="26"/>
      <c r="MT293" s="26"/>
      <c r="MU293" s="26"/>
      <c r="MV293" s="26"/>
      <c r="MW293" s="26"/>
      <c r="MX293" s="26"/>
      <c r="MY293" s="26"/>
      <c r="MZ293" s="26"/>
      <c r="NA293" s="26"/>
      <c r="NB293" s="26"/>
      <c r="NC293" s="26"/>
      <c r="ND293" s="26"/>
      <c r="NE293" s="26"/>
      <c r="NF293" s="26"/>
      <c r="NG293" s="26"/>
      <c r="NH293" s="26"/>
      <c r="NI293" s="26"/>
      <c r="NJ293" s="26"/>
      <c r="NK293" s="26"/>
      <c r="NL293" s="26"/>
      <c r="NM293" s="26"/>
      <c r="NN293" s="26"/>
      <c r="NO293" s="26"/>
      <c r="NP293" s="26"/>
      <c r="NQ293" s="26"/>
      <c r="NR293" s="26"/>
      <c r="NS293" s="26"/>
      <c r="NT293" s="26"/>
      <c r="NU293" s="26"/>
      <c r="NV293" s="26"/>
      <c r="NW293" s="26"/>
      <c r="NX293" s="26"/>
      <c r="NY293" s="26"/>
      <c r="NZ293" s="26"/>
      <c r="OA293" s="26"/>
      <c r="OB293" s="26"/>
      <c r="OC293" s="26"/>
      <c r="OD293" s="26"/>
      <c r="OE293" s="26"/>
      <c r="OF293" s="26"/>
      <c r="OG293" s="26"/>
      <c r="OH293" s="26"/>
      <c r="OI293" s="26"/>
      <c r="OJ293" s="26"/>
      <c r="OK293" s="26"/>
      <c r="OL293" s="26"/>
      <c r="OM293" s="26"/>
      <c r="ON293" s="26"/>
      <c r="OO293" s="26"/>
      <c r="OP293" s="26"/>
      <c r="OQ293" s="26"/>
      <c r="OR293" s="26"/>
      <c r="OS293" s="26"/>
      <c r="OT293" s="26"/>
      <c r="OU293" s="26"/>
      <c r="OV293" s="26"/>
      <c r="OW293" s="26"/>
      <c r="OX293" s="26"/>
      <c r="OY293" s="26"/>
      <c r="OZ293" s="26"/>
      <c r="PA293" s="26"/>
      <c r="PB293" s="26"/>
      <c r="PC293" s="26"/>
      <c r="PD293" s="26"/>
      <c r="PE293" s="26"/>
      <c r="PF293" s="26"/>
      <c r="PG293" s="26"/>
      <c r="PH293" s="26"/>
      <c r="PI293" s="26"/>
      <c r="PJ293" s="26"/>
      <c r="PK293" s="26"/>
      <c r="PL293" s="26"/>
      <c r="PM293" s="26"/>
      <c r="PN293" s="26"/>
      <c r="PO293" s="26"/>
      <c r="PP293" s="26"/>
      <c r="PQ293" s="26"/>
      <c r="PR293" s="26"/>
      <c r="PS293" s="26"/>
      <c r="PT293" s="26"/>
      <c r="PU293" s="26"/>
      <c r="PV293" s="26"/>
      <c r="PW293" s="26"/>
      <c r="PX293" s="26"/>
      <c r="PY293" s="26"/>
      <c r="PZ293" s="26"/>
      <c r="QA293" s="26"/>
      <c r="QB293" s="26"/>
      <c r="QC293" s="26"/>
      <c r="QD293" s="26"/>
      <c r="QE293" s="26"/>
      <c r="QF293" s="26"/>
      <c r="QG293" s="26"/>
      <c r="QH293" s="26"/>
      <c r="QI293" s="26"/>
      <c r="QJ293" s="26"/>
      <c r="QK293" s="26"/>
      <c r="QL293" s="26"/>
      <c r="QM293" s="26"/>
      <c r="QN293" s="26"/>
      <c r="QO293" s="26"/>
      <c r="QP293" s="26"/>
      <c r="QQ293" s="26"/>
      <c r="QR293" s="26"/>
      <c r="QS293" s="26"/>
      <c r="QT293" s="26"/>
      <c r="QU293" s="26"/>
      <c r="QV293" s="26"/>
      <c r="QW293" s="26"/>
      <c r="QX293" s="26"/>
      <c r="QY293" s="26"/>
      <c r="QZ293" s="26"/>
      <c r="RA293" s="26"/>
      <c r="RB293" s="26"/>
      <c r="RC293" s="26"/>
      <c r="RD293" s="26"/>
      <c r="RE293" s="26"/>
      <c r="RF293" s="26"/>
      <c r="RG293" s="26"/>
      <c r="RH293" s="26"/>
      <c r="RI293" s="26"/>
      <c r="RJ293" s="26"/>
      <c r="RK293" s="26"/>
      <c r="RL293" s="26"/>
      <c r="RM293" s="26"/>
      <c r="RN293" s="26"/>
      <c r="RO293" s="26"/>
      <c r="RP293" s="26"/>
      <c r="RQ293" s="26"/>
      <c r="RR293" s="26"/>
      <c r="RS293" s="26"/>
      <c r="RT293" s="26"/>
      <c r="RU293" s="26"/>
      <c r="RV293" s="26"/>
      <c r="RW293" s="26"/>
      <c r="RX293" s="26"/>
      <c r="RY293" s="26"/>
      <c r="RZ293" s="26"/>
      <c r="SA293" s="26"/>
      <c r="SB293" s="26"/>
      <c r="SC293" s="26"/>
      <c r="SD293" s="26"/>
      <c r="SE293" s="26"/>
      <c r="SF293" s="26"/>
      <c r="SG293" s="26"/>
      <c r="SH293" s="26"/>
      <c r="SI293" s="26"/>
      <c r="SJ293" s="26"/>
      <c r="SK293" s="26"/>
      <c r="SL293" s="26"/>
      <c r="SM293" s="26"/>
      <c r="SN293" s="26"/>
      <c r="SO293" s="26"/>
      <c r="SP293" s="26"/>
      <c r="SQ293" s="26"/>
      <c r="SR293" s="26"/>
      <c r="SS293" s="26"/>
      <c r="ST293" s="26"/>
      <c r="SU293" s="26"/>
      <c r="SV293" s="26"/>
      <c r="SW293" s="26"/>
      <c r="SX293" s="26"/>
      <c r="SY293" s="26"/>
      <c r="SZ293" s="26"/>
      <c r="TA293" s="26"/>
      <c r="TB293" s="26"/>
      <c r="TC293" s="26"/>
      <c r="TD293" s="26"/>
      <c r="TE293" s="26"/>
      <c r="TF293" s="26"/>
      <c r="TG293" s="26"/>
      <c r="TH293" s="26"/>
      <c r="TI293" s="26"/>
      <c r="TJ293" s="26"/>
      <c r="TK293" s="26"/>
      <c r="TL293" s="26"/>
      <c r="TM293" s="26"/>
      <c r="TN293" s="26"/>
      <c r="TO293" s="26"/>
      <c r="TP293" s="26"/>
      <c r="TQ293" s="26"/>
      <c r="TR293" s="26"/>
      <c r="TS293" s="26"/>
      <c r="TT293" s="26"/>
      <c r="TU293" s="26"/>
      <c r="TV293" s="26"/>
      <c r="TW293" s="26"/>
      <c r="TX293" s="26"/>
      <c r="TY293" s="26"/>
      <c r="TZ293" s="26"/>
      <c r="UA293" s="26"/>
      <c r="UB293" s="26"/>
      <c r="UC293" s="26"/>
      <c r="UD293" s="26"/>
      <c r="UE293" s="26"/>
      <c r="UF293" s="26"/>
      <c r="UG293" s="26"/>
      <c r="UH293" s="26"/>
      <c r="UI293" s="26"/>
      <c r="UJ293" s="26"/>
      <c r="UK293" s="26"/>
      <c r="UL293" s="26"/>
      <c r="UM293" s="26"/>
      <c r="UN293" s="26"/>
      <c r="UO293" s="26"/>
      <c r="UP293" s="26"/>
      <c r="UQ293" s="26"/>
      <c r="UR293" s="26"/>
      <c r="US293" s="26"/>
      <c r="UT293" s="26"/>
      <c r="UU293" s="26"/>
      <c r="UV293" s="26"/>
      <c r="UW293" s="26"/>
      <c r="UX293" s="26"/>
      <c r="UY293" s="26"/>
      <c r="UZ293" s="26"/>
      <c r="VA293" s="26"/>
      <c r="VB293" s="26"/>
      <c r="VC293" s="26"/>
      <c r="VD293" s="26"/>
      <c r="VE293" s="26"/>
      <c r="VF293" s="26"/>
      <c r="VG293" s="26"/>
      <c r="VH293" s="26"/>
      <c r="VI293" s="26"/>
      <c r="VJ293" s="26"/>
      <c r="VK293" s="26"/>
      <c r="VL293" s="26"/>
      <c r="VM293" s="26"/>
      <c r="VN293" s="26"/>
      <c r="VO293" s="26"/>
      <c r="VP293" s="26"/>
      <c r="VQ293" s="26"/>
      <c r="VR293" s="26"/>
      <c r="VS293" s="26"/>
      <c r="VT293" s="26"/>
      <c r="VU293" s="26"/>
      <c r="VV293" s="26"/>
      <c r="VW293" s="26"/>
      <c r="VX293" s="26"/>
      <c r="VY293" s="26"/>
      <c r="VZ293" s="26"/>
      <c r="WA293" s="26"/>
      <c r="WB293" s="26"/>
      <c r="WC293" s="26"/>
      <c r="WD293" s="26"/>
      <c r="WE293" s="26"/>
      <c r="WF293" s="26"/>
      <c r="WG293" s="26"/>
      <c r="WH293" s="26"/>
      <c r="WI293" s="26"/>
      <c r="WJ293" s="26"/>
      <c r="WK293" s="26"/>
      <c r="WL293" s="26"/>
      <c r="WM293" s="26"/>
      <c r="WN293" s="26"/>
      <c r="WO293" s="26"/>
      <c r="WP293" s="26"/>
      <c r="WQ293" s="26"/>
      <c r="WR293" s="26"/>
      <c r="WS293" s="26"/>
      <c r="WT293" s="26"/>
      <c r="WU293" s="26"/>
      <c r="WV293" s="26"/>
      <c r="WW293" s="26"/>
      <c r="WX293" s="26"/>
      <c r="WY293" s="26"/>
      <c r="WZ293" s="26"/>
      <c r="XA293" s="26"/>
      <c r="XB293" s="26"/>
      <c r="XC293" s="26"/>
      <c r="XD293" s="26"/>
      <c r="XE293" s="26"/>
      <c r="XF293" s="26"/>
      <c r="XG293" s="26"/>
      <c r="XH293" s="26"/>
      <c r="XI293" s="26"/>
      <c r="XJ293" s="26"/>
      <c r="XK293" s="26"/>
      <c r="XL293" s="26"/>
      <c r="XM293" s="26"/>
      <c r="XN293" s="26"/>
      <c r="XO293" s="26"/>
      <c r="XP293" s="26"/>
      <c r="XQ293" s="26"/>
      <c r="XR293" s="26"/>
      <c r="XS293" s="26"/>
      <c r="XT293" s="26"/>
      <c r="XU293" s="26"/>
      <c r="XV293" s="26"/>
      <c r="XW293" s="26"/>
      <c r="XX293" s="26"/>
      <c r="XY293" s="26"/>
      <c r="XZ293" s="26"/>
      <c r="YA293" s="26"/>
      <c r="YB293" s="26"/>
      <c r="YC293" s="26"/>
      <c r="YD293" s="26"/>
      <c r="YE293" s="26"/>
      <c r="YF293" s="26"/>
      <c r="YG293" s="26"/>
      <c r="YH293" s="26"/>
      <c r="YI293" s="26"/>
      <c r="YJ293" s="26"/>
      <c r="YK293" s="26"/>
      <c r="YL293" s="26"/>
      <c r="YM293" s="26"/>
      <c r="YN293" s="26"/>
      <c r="YO293" s="26"/>
      <c r="YP293" s="26"/>
      <c r="YQ293" s="26"/>
      <c r="YR293" s="26"/>
      <c r="YS293" s="26"/>
      <c r="YT293" s="26"/>
      <c r="YU293" s="26"/>
      <c r="YV293" s="26"/>
      <c r="YW293" s="26"/>
      <c r="YX293" s="26"/>
      <c r="YY293" s="26"/>
      <c r="YZ293" s="26"/>
      <c r="ZA293" s="26"/>
      <c r="ZB293" s="26"/>
      <c r="ZC293" s="26"/>
      <c r="ZD293" s="26"/>
      <c r="ZE293" s="26"/>
      <c r="ZF293" s="26"/>
      <c r="ZG293" s="26"/>
      <c r="ZH293" s="26"/>
      <c r="ZI293" s="26"/>
      <c r="ZJ293" s="26"/>
      <c r="ZK293" s="26"/>
      <c r="ZL293" s="26"/>
      <c r="ZM293" s="26"/>
      <c r="ZN293" s="26"/>
      <c r="ZO293" s="26"/>
      <c r="ZP293" s="26"/>
      <c r="ZQ293" s="26"/>
      <c r="ZR293" s="26"/>
      <c r="ZS293" s="26"/>
      <c r="ZT293" s="26"/>
      <c r="ZU293" s="26"/>
      <c r="ZV293" s="26"/>
      <c r="ZW293" s="26"/>
      <c r="ZX293" s="26"/>
      <c r="ZY293" s="26"/>
      <c r="ZZ293" s="26"/>
      <c r="AAA293" s="26"/>
      <c r="AAB293" s="26"/>
      <c r="AAC293" s="26"/>
      <c r="AAD293" s="26"/>
      <c r="AAE293" s="26"/>
      <c r="AAF293" s="26"/>
      <c r="AAG293" s="26"/>
      <c r="AAH293" s="26"/>
      <c r="AAI293" s="26"/>
      <c r="AAJ293" s="26"/>
      <c r="AAK293" s="26"/>
      <c r="AAL293" s="26"/>
      <c r="AAM293" s="26"/>
      <c r="AAN293" s="26"/>
      <c r="AAO293" s="26"/>
      <c r="AAP293" s="26"/>
      <c r="AAQ293" s="26"/>
      <c r="AAR293" s="26"/>
      <c r="AAS293" s="26"/>
      <c r="AAT293" s="26"/>
      <c r="AAU293" s="26"/>
      <c r="AAV293" s="26"/>
      <c r="AAW293" s="26"/>
      <c r="AAX293" s="26"/>
      <c r="AAY293" s="26"/>
      <c r="AAZ293" s="26"/>
      <c r="ABA293" s="26"/>
      <c r="ABB293" s="26"/>
      <c r="ABC293" s="26"/>
      <c r="ABD293" s="26"/>
      <c r="ABE293" s="26"/>
      <c r="ABF293" s="26"/>
      <c r="ABG293" s="26"/>
      <c r="ABH293" s="26"/>
      <c r="ABI293" s="26"/>
      <c r="ABJ293" s="26"/>
      <c r="ABK293" s="26"/>
      <c r="ABL293" s="26"/>
      <c r="ABM293" s="26"/>
      <c r="ABN293" s="26"/>
      <c r="ABO293" s="26"/>
      <c r="ABP293" s="26"/>
      <c r="ABQ293" s="26"/>
      <c r="ABR293" s="26"/>
      <c r="ABS293" s="26"/>
      <c r="ABT293" s="26"/>
      <c r="ABU293" s="26"/>
      <c r="ABV293" s="26"/>
      <c r="ABW293" s="26"/>
      <c r="ABX293" s="26"/>
      <c r="ABY293" s="26"/>
      <c r="ABZ293" s="26"/>
      <c r="ACA293" s="26"/>
      <c r="ACB293" s="26"/>
      <c r="ACC293" s="26"/>
      <c r="ACD293" s="26"/>
      <c r="ACE293" s="26"/>
      <c r="ACF293" s="26"/>
      <c r="ACG293" s="26"/>
      <c r="ACH293" s="26"/>
      <c r="ACI293" s="26"/>
      <c r="ACJ293" s="26"/>
      <c r="ACK293" s="26"/>
      <c r="ACL293" s="26"/>
      <c r="ACM293" s="26"/>
      <c r="ACN293" s="26"/>
      <c r="ACO293" s="26"/>
      <c r="ACP293" s="26"/>
      <c r="ACQ293" s="26"/>
      <c r="ACR293" s="26"/>
      <c r="ACS293" s="26"/>
      <c r="ACT293" s="26"/>
      <c r="ACU293" s="26"/>
      <c r="ACV293" s="26"/>
      <c r="ACW293" s="26"/>
      <c r="ACX293" s="26"/>
      <c r="ACY293" s="26"/>
      <c r="ACZ293" s="26"/>
      <c r="ADA293" s="26"/>
      <c r="ADB293" s="26"/>
      <c r="ADC293" s="26"/>
      <c r="ADD293" s="26"/>
      <c r="ADE293" s="26"/>
      <c r="ADF293" s="26"/>
      <c r="ADG293" s="26"/>
      <c r="ADH293" s="26"/>
      <c r="ADI293" s="26"/>
      <c r="ADJ293" s="26"/>
      <c r="ADK293" s="26"/>
      <c r="ADL293" s="26"/>
      <c r="ADM293" s="26"/>
      <c r="ADN293" s="26"/>
      <c r="ADO293" s="26"/>
      <c r="ADP293" s="26"/>
      <c r="ADQ293" s="26"/>
      <c r="ADR293" s="26"/>
      <c r="ADS293" s="26"/>
      <c r="ADT293" s="26"/>
      <c r="ADU293" s="26"/>
      <c r="ADV293" s="26"/>
      <c r="ADW293" s="26"/>
      <c r="ADX293" s="26"/>
      <c r="ADY293" s="26"/>
      <c r="ADZ293" s="26"/>
      <c r="AEA293" s="26"/>
      <c r="AEB293" s="26"/>
      <c r="AEC293" s="26"/>
      <c r="AED293" s="26"/>
      <c r="AEE293" s="26"/>
      <c r="AEF293" s="26"/>
      <c r="AEG293" s="26"/>
      <c r="AEH293" s="26"/>
      <c r="AEI293" s="26"/>
      <c r="AEJ293" s="26"/>
      <c r="AEK293" s="26"/>
      <c r="AEL293" s="26"/>
      <c r="AEM293" s="26"/>
      <c r="AEN293" s="26"/>
      <c r="AEO293" s="26"/>
      <c r="AEP293" s="26"/>
      <c r="AEQ293" s="26"/>
      <c r="AER293" s="26"/>
      <c r="AES293" s="26"/>
      <c r="AET293" s="26"/>
      <c r="AEU293" s="26"/>
      <c r="AEV293" s="26"/>
      <c r="AEW293" s="26"/>
      <c r="AEX293" s="26"/>
      <c r="AEY293" s="26"/>
      <c r="AEZ293" s="26"/>
      <c r="AFA293" s="26"/>
      <c r="AFB293" s="26"/>
      <c r="AFC293" s="26"/>
      <c r="AFD293" s="26"/>
      <c r="AFE293" s="26"/>
      <c r="AFF293" s="26"/>
      <c r="AFG293" s="26"/>
      <c r="AFH293" s="26"/>
      <c r="AFI293" s="26"/>
      <c r="AFJ293" s="26"/>
      <c r="AFK293" s="26"/>
      <c r="AFL293" s="26"/>
      <c r="AFM293" s="26"/>
      <c r="AFN293" s="26"/>
      <c r="AFO293" s="26"/>
      <c r="AFP293" s="26"/>
      <c r="AFQ293" s="26"/>
      <c r="AFR293" s="26"/>
      <c r="AFS293" s="26"/>
      <c r="AFT293" s="26"/>
      <c r="AFU293" s="26"/>
      <c r="AFV293" s="26"/>
      <c r="AFW293" s="26"/>
      <c r="AFX293" s="26"/>
      <c r="AFY293" s="26"/>
      <c r="AFZ293" s="26"/>
      <c r="AGA293" s="26"/>
      <c r="AGB293" s="26"/>
      <c r="AGC293" s="26"/>
      <c r="AGD293" s="26"/>
      <c r="AGE293" s="26"/>
      <c r="AGF293" s="26"/>
      <c r="AGG293" s="26"/>
      <c r="AGH293" s="26"/>
      <c r="AGI293" s="26"/>
      <c r="AGJ293" s="26"/>
      <c r="AGK293" s="26"/>
      <c r="AGL293" s="26"/>
      <c r="AGM293" s="26"/>
      <c r="AGN293" s="26"/>
      <c r="AGO293" s="26"/>
      <c r="AGP293" s="26"/>
      <c r="AGQ293" s="26"/>
      <c r="AGR293" s="26"/>
      <c r="AGS293" s="26"/>
      <c r="AGT293" s="26"/>
      <c r="AGU293" s="26"/>
      <c r="AGV293" s="26"/>
      <c r="AGW293" s="26"/>
      <c r="AGX293" s="26"/>
      <c r="AGY293" s="26"/>
      <c r="AGZ293" s="26"/>
      <c r="AHA293" s="26"/>
      <c r="AHB293" s="26"/>
      <c r="AHC293" s="26"/>
      <c r="AHD293" s="26"/>
      <c r="AHE293" s="26"/>
      <c r="AHF293" s="26"/>
      <c r="AHG293" s="26"/>
      <c r="AHH293" s="26"/>
      <c r="AHI293" s="26"/>
      <c r="AHJ293" s="26"/>
      <c r="AHK293" s="26"/>
      <c r="AHL293" s="26"/>
      <c r="AHM293" s="26"/>
      <c r="AHN293" s="26"/>
      <c r="AHO293" s="26"/>
      <c r="AHP293" s="26"/>
      <c r="AHQ293" s="26"/>
      <c r="AHR293" s="26"/>
      <c r="AHS293" s="26"/>
      <c r="AHT293" s="26"/>
      <c r="AHU293" s="26"/>
      <c r="AHV293" s="26"/>
      <c r="AHW293" s="26"/>
      <c r="AHX293" s="26"/>
      <c r="AHY293" s="26"/>
      <c r="AHZ293" s="26"/>
      <c r="AIA293" s="26"/>
      <c r="AIB293" s="26"/>
      <c r="AIC293" s="26"/>
      <c r="AID293" s="26"/>
      <c r="AIE293" s="26"/>
      <c r="AIF293" s="26"/>
      <c r="AIG293" s="26"/>
      <c r="AIH293" s="26"/>
      <c r="AII293" s="26"/>
      <c r="AIJ293" s="26"/>
      <c r="AIK293" s="26"/>
      <c r="AIL293" s="26"/>
      <c r="AIM293" s="26"/>
      <c r="AIN293" s="26"/>
      <c r="AIO293" s="26"/>
      <c r="AIP293" s="26"/>
      <c r="AIQ293" s="26"/>
      <c r="AIR293" s="26"/>
      <c r="AIS293" s="26"/>
      <c r="AIT293" s="26"/>
      <c r="AIU293" s="26"/>
      <c r="AIV293" s="26"/>
      <c r="AIW293" s="26"/>
      <c r="AIX293" s="26"/>
      <c r="AIY293" s="26"/>
      <c r="AIZ293" s="26"/>
      <c r="AJA293" s="26"/>
      <c r="AJB293" s="26"/>
      <c r="AJC293" s="26"/>
      <c r="AJD293" s="26"/>
      <c r="AJE293" s="26"/>
      <c r="AJF293" s="26"/>
      <c r="AJG293" s="26"/>
      <c r="AJH293" s="26"/>
      <c r="AJI293" s="26"/>
      <c r="AJJ293" s="26"/>
      <c r="AJK293" s="26"/>
      <c r="AJL293" s="26"/>
      <c r="AJM293" s="26"/>
      <c r="AJN293" s="26"/>
      <c r="AJO293" s="26"/>
      <c r="AJP293" s="26"/>
      <c r="AJQ293" s="26"/>
      <c r="AJR293" s="26"/>
      <c r="AJS293" s="26"/>
      <c r="AJT293" s="26"/>
      <c r="AJU293" s="26"/>
      <c r="AJV293" s="26"/>
      <c r="AJW293" s="26"/>
      <c r="AJX293" s="26"/>
      <c r="AJY293" s="26"/>
      <c r="AJZ293" s="26"/>
      <c r="AKA293" s="26"/>
      <c r="AKB293" s="26"/>
      <c r="AKC293" s="26"/>
      <c r="AKD293" s="26"/>
      <c r="AKE293" s="26"/>
      <c r="AKF293" s="26"/>
      <c r="AKG293" s="26"/>
      <c r="AKH293" s="26"/>
      <c r="AKI293" s="26"/>
      <c r="AKJ293" s="26"/>
      <c r="AKK293" s="26"/>
      <c r="AKL293" s="26"/>
      <c r="AKM293" s="26"/>
      <c r="AKN293" s="26"/>
      <c r="AKO293" s="26"/>
      <c r="AKP293" s="26"/>
      <c r="AKQ293" s="26"/>
      <c r="AKR293" s="26"/>
      <c r="AKS293" s="26"/>
      <c r="AKT293" s="26"/>
      <c r="AKU293" s="26"/>
      <c r="AKV293" s="26"/>
      <c r="AKW293" s="26"/>
      <c r="AKX293" s="26"/>
      <c r="AKY293" s="26"/>
      <c r="AKZ293" s="26"/>
      <c r="ALA293" s="26"/>
      <c r="ALB293" s="26"/>
      <c r="ALC293" s="26"/>
      <c r="ALD293" s="26"/>
      <c r="ALE293" s="26"/>
      <c r="ALF293" s="26"/>
      <c r="ALG293" s="26"/>
      <c r="ALH293" s="26"/>
      <c r="ALI293" s="26"/>
      <c r="ALJ293" s="26"/>
      <c r="ALK293" s="26"/>
      <c r="ALL293" s="26"/>
      <c r="ALM293" s="26"/>
      <c r="ALN293" s="26"/>
      <c r="ALO293" s="26"/>
      <c r="ALP293" s="26"/>
      <c r="ALQ293" s="26"/>
      <c r="ALR293" s="26"/>
      <c r="ALS293" s="26"/>
      <c r="ALT293" s="26"/>
      <c r="ALU293" s="26"/>
      <c r="ALV293" s="26"/>
      <c r="ALW293" s="26"/>
      <c r="ALX293" s="26"/>
      <c r="ALY293" s="26"/>
      <c r="ALZ293" s="26"/>
      <c r="AMA293" s="26"/>
      <c r="AMB293" s="26"/>
      <c r="AMC293" s="26"/>
      <c r="AMD293" s="26"/>
      <c r="AME293" s="26"/>
      <c r="AMF293" s="26"/>
      <c r="AMG293" s="26"/>
      <c r="AMH293" s="26"/>
      <c r="AMI293" s="26"/>
      <c r="AMJ293" s="26"/>
      <c r="AMK293" s="26"/>
      <c r="AML293" s="26"/>
      <c r="AMM293" s="26"/>
      <c r="AMN293" s="26"/>
      <c r="AMO293" s="26"/>
      <c r="AMP293" s="26"/>
      <c r="AMQ293" s="26"/>
      <c r="AMR293" s="26"/>
      <c r="AMS293" s="26"/>
      <c r="AMT293" s="26"/>
      <c r="AMU293" s="26"/>
      <c r="AMV293" s="26"/>
      <c r="AMW293" s="26"/>
      <c r="AMX293" s="26"/>
      <c r="AMY293" s="26"/>
      <c r="AMZ293" s="26"/>
      <c r="ANA293" s="26"/>
      <c r="ANB293" s="26"/>
      <c r="ANC293" s="26"/>
      <c r="AND293" s="26"/>
      <c r="ANE293" s="26"/>
      <c r="ANF293" s="26"/>
      <c r="ANG293" s="26"/>
      <c r="ANH293" s="26"/>
      <c r="ANI293" s="26"/>
      <c r="ANJ293" s="26"/>
      <c r="ANK293" s="26"/>
      <c r="ANL293" s="26"/>
      <c r="ANM293" s="26"/>
      <c r="ANN293" s="26"/>
      <c r="ANO293" s="26"/>
      <c r="ANP293" s="26"/>
      <c r="ANQ293" s="26"/>
      <c r="ANR293" s="26"/>
      <c r="ANS293" s="26"/>
      <c r="ANT293" s="26"/>
      <c r="ANU293" s="26"/>
      <c r="ANV293" s="26"/>
      <c r="ANW293" s="26"/>
      <c r="ANX293" s="26"/>
      <c r="ANY293" s="26"/>
      <c r="ANZ293" s="26"/>
      <c r="AOA293" s="26"/>
      <c r="AOB293" s="26"/>
      <c r="AOC293" s="26"/>
      <c r="AOD293" s="26"/>
      <c r="AOE293" s="26"/>
      <c r="AOF293" s="26"/>
      <c r="AOG293" s="26"/>
      <c r="AOH293" s="26"/>
      <c r="AOI293" s="26"/>
      <c r="AOJ293" s="26"/>
      <c r="AOK293" s="26"/>
      <c r="AOL293" s="26"/>
      <c r="AOM293" s="26"/>
      <c r="AON293" s="26"/>
      <c r="AOO293" s="26"/>
      <c r="AOP293" s="26"/>
      <c r="AOQ293" s="26"/>
      <c r="AOR293" s="26"/>
      <c r="AOS293" s="26"/>
      <c r="AOT293" s="26"/>
      <c r="AOU293" s="26"/>
      <c r="AOV293" s="26"/>
      <c r="AOW293" s="26"/>
      <c r="AOX293" s="26"/>
      <c r="AOY293" s="26"/>
      <c r="AOZ293" s="26"/>
      <c r="APA293" s="26"/>
      <c r="APB293" s="26"/>
      <c r="APC293" s="26"/>
      <c r="APD293" s="26"/>
      <c r="APE293" s="26"/>
      <c r="APF293" s="26"/>
      <c r="APG293" s="26"/>
      <c r="APH293" s="26"/>
      <c r="API293" s="26"/>
      <c r="APJ293" s="26"/>
      <c r="APK293" s="26"/>
      <c r="APL293" s="26"/>
      <c r="APM293" s="26"/>
      <c r="APN293" s="26"/>
      <c r="APO293" s="26"/>
      <c r="APP293" s="26"/>
      <c r="APQ293" s="26"/>
      <c r="APR293" s="26"/>
      <c r="APS293" s="26"/>
      <c r="APT293" s="26"/>
      <c r="APU293" s="26"/>
      <c r="APV293" s="26"/>
      <c r="APW293" s="26"/>
      <c r="APX293" s="26"/>
      <c r="APY293" s="26"/>
      <c r="APZ293" s="26"/>
      <c r="AQA293" s="26"/>
      <c r="AQB293" s="26"/>
      <c r="AQC293" s="26"/>
      <c r="AQD293" s="26"/>
      <c r="AQE293" s="26"/>
      <c r="AQF293" s="26"/>
      <c r="AQG293" s="26"/>
      <c r="AQH293" s="26"/>
      <c r="AQI293" s="26"/>
      <c r="AQJ293" s="26"/>
      <c r="AQK293" s="26"/>
      <c r="AQL293" s="26"/>
      <c r="AQM293" s="26"/>
      <c r="AQN293" s="26"/>
      <c r="AQO293" s="26"/>
      <c r="AQP293" s="26"/>
      <c r="AQQ293" s="26"/>
      <c r="AQR293" s="26"/>
      <c r="AQS293" s="26"/>
      <c r="AQT293" s="26"/>
      <c r="AQU293" s="26"/>
      <c r="AQV293" s="26"/>
      <c r="AQW293" s="26"/>
      <c r="AQX293" s="26"/>
      <c r="AQY293" s="26"/>
      <c r="AQZ293" s="26"/>
      <c r="ARA293" s="26"/>
      <c r="ARB293" s="26"/>
      <c r="ARC293" s="26"/>
      <c r="ARD293" s="26"/>
      <c r="ARE293" s="26"/>
      <c r="ARF293" s="26"/>
      <c r="ARG293" s="26"/>
      <c r="ARH293" s="26"/>
      <c r="ARI293" s="26"/>
      <c r="ARJ293" s="26"/>
      <c r="ARK293" s="26"/>
      <c r="ARL293" s="26"/>
      <c r="ARM293" s="26"/>
      <c r="ARN293" s="26"/>
      <c r="ARO293" s="26"/>
      <c r="ARP293" s="26"/>
      <c r="ARQ293" s="26"/>
      <c r="ARR293" s="26"/>
      <c r="ARS293" s="26"/>
      <c r="ART293" s="26"/>
      <c r="ARU293" s="26"/>
      <c r="ARV293" s="26"/>
      <c r="ARW293" s="26"/>
      <c r="ARX293" s="26"/>
      <c r="ARY293" s="26"/>
      <c r="ARZ293" s="26"/>
      <c r="ASA293" s="26"/>
      <c r="ASB293" s="26"/>
      <c r="ASC293" s="26"/>
      <c r="ASD293" s="26"/>
      <c r="ASE293" s="26"/>
      <c r="ASF293" s="26"/>
      <c r="ASG293" s="26"/>
      <c r="ASH293" s="26"/>
      <c r="ASI293" s="26"/>
      <c r="ASJ293" s="26"/>
      <c r="ASK293" s="26"/>
      <c r="ASL293" s="26"/>
      <c r="ASM293" s="26"/>
      <c r="ASN293" s="26"/>
      <c r="ASO293" s="26"/>
      <c r="ASP293" s="26"/>
      <c r="ASQ293" s="26"/>
      <c r="ASR293" s="26"/>
      <c r="ASS293" s="26"/>
      <c r="AST293" s="26"/>
      <c r="ASU293" s="26"/>
      <c r="ASV293" s="26"/>
      <c r="ASW293" s="26"/>
      <c r="ASX293" s="26"/>
      <c r="ASY293" s="26"/>
      <c r="ASZ293" s="26"/>
      <c r="ATA293" s="26"/>
      <c r="ATB293" s="26"/>
      <c r="ATC293" s="26"/>
      <c r="ATD293" s="26"/>
      <c r="ATE293" s="26"/>
      <c r="ATF293" s="26"/>
      <c r="ATG293" s="26"/>
      <c r="ATH293" s="26"/>
      <c r="ATI293" s="26"/>
      <c r="ATJ293" s="26"/>
      <c r="ATK293" s="26"/>
      <c r="ATL293" s="26"/>
      <c r="ATM293" s="26"/>
      <c r="ATN293" s="26"/>
      <c r="ATO293" s="26"/>
      <c r="ATP293" s="26"/>
      <c r="ATQ293" s="26"/>
      <c r="ATR293" s="26"/>
      <c r="ATS293" s="26"/>
      <c r="ATT293" s="26"/>
      <c r="ATU293" s="26"/>
      <c r="ATV293" s="26"/>
      <c r="ATW293" s="26"/>
      <c r="ATX293" s="26"/>
      <c r="ATY293" s="26"/>
      <c r="ATZ293" s="26"/>
      <c r="AUA293" s="26"/>
      <c r="AUB293" s="26"/>
      <c r="AUC293" s="26"/>
      <c r="AUD293" s="26"/>
      <c r="AUE293" s="26"/>
      <c r="AUF293" s="26"/>
      <c r="AUG293" s="26"/>
      <c r="AUH293" s="26"/>
      <c r="AUI293" s="26"/>
      <c r="AUJ293" s="26"/>
      <c r="AUK293" s="26"/>
      <c r="AUL293" s="26"/>
      <c r="AUM293" s="26"/>
      <c r="AUN293" s="26"/>
      <c r="AUO293" s="26"/>
      <c r="AUP293" s="26"/>
      <c r="AUQ293" s="26"/>
      <c r="AUR293" s="26"/>
      <c r="AUS293" s="26"/>
      <c r="AUT293" s="26"/>
      <c r="AUU293" s="26"/>
      <c r="AUV293" s="26"/>
      <c r="AUW293" s="26"/>
      <c r="AUX293" s="26"/>
      <c r="AUY293" s="26"/>
      <c r="AUZ293" s="26"/>
      <c r="AVA293" s="26"/>
      <c r="AVB293" s="26"/>
      <c r="AVC293" s="26"/>
      <c r="AVD293" s="26"/>
      <c r="AVE293" s="26"/>
      <c r="AVF293" s="26"/>
      <c r="AVG293" s="26"/>
      <c r="AVH293" s="26"/>
      <c r="AVI293" s="26"/>
      <c r="AVJ293" s="26"/>
      <c r="AVK293" s="26"/>
      <c r="AVL293" s="26"/>
      <c r="AVM293" s="26"/>
      <c r="AVN293" s="26"/>
      <c r="AVO293" s="26"/>
      <c r="AVP293" s="26"/>
      <c r="AVQ293" s="26"/>
      <c r="AVR293" s="26"/>
      <c r="AVS293" s="26"/>
      <c r="AVT293" s="26"/>
      <c r="AVU293" s="26"/>
      <c r="AVV293" s="26"/>
      <c r="AVW293" s="26"/>
      <c r="AVX293" s="26"/>
      <c r="AVY293" s="26"/>
      <c r="AVZ293" s="26"/>
      <c r="AWA293" s="26"/>
      <c r="AWB293" s="26"/>
      <c r="AWC293" s="26"/>
      <c r="AWD293" s="26"/>
      <c r="AWE293" s="26"/>
      <c r="AWF293" s="26"/>
      <c r="AWG293" s="26"/>
      <c r="AWH293" s="26"/>
      <c r="AWI293" s="26"/>
      <c r="AWJ293" s="26"/>
      <c r="AWK293" s="26"/>
      <c r="AWL293" s="26"/>
      <c r="AWM293" s="26"/>
      <c r="AWN293" s="26"/>
      <c r="AWO293" s="26"/>
      <c r="AWP293" s="26"/>
      <c r="AWQ293" s="26"/>
      <c r="AWR293" s="26"/>
      <c r="AWS293" s="26"/>
      <c r="AWT293" s="26"/>
      <c r="AWU293" s="26"/>
      <c r="AWV293" s="26"/>
      <c r="AWW293" s="26"/>
      <c r="AWX293" s="26"/>
      <c r="AWY293" s="26"/>
      <c r="AWZ293" s="26"/>
      <c r="AXA293" s="26"/>
      <c r="AXB293" s="26"/>
      <c r="AXC293" s="26"/>
      <c r="AXD293" s="26"/>
      <c r="AXE293" s="26"/>
      <c r="AXF293" s="26"/>
      <c r="AXG293" s="26"/>
      <c r="AXH293" s="26"/>
      <c r="AXI293" s="26"/>
      <c r="AXJ293" s="26"/>
      <c r="AXK293" s="26"/>
      <c r="AXL293" s="26"/>
      <c r="AXM293" s="26"/>
      <c r="AXN293" s="26"/>
      <c r="AXO293" s="26"/>
      <c r="AXP293" s="26"/>
      <c r="AXQ293" s="26"/>
      <c r="AXR293" s="26"/>
      <c r="AXS293" s="26"/>
      <c r="AXT293" s="26"/>
      <c r="AXU293" s="26"/>
      <c r="AXV293" s="26"/>
      <c r="AXW293" s="26"/>
      <c r="AXX293" s="26"/>
      <c r="AXY293" s="26"/>
      <c r="AXZ293" s="26"/>
      <c r="AYA293" s="26"/>
      <c r="AYB293" s="26"/>
      <c r="AYC293" s="26"/>
      <c r="AYD293" s="26"/>
      <c r="AYE293" s="26"/>
      <c r="AYF293" s="26"/>
      <c r="AYG293" s="26"/>
      <c r="AYH293" s="26"/>
      <c r="AYI293" s="26"/>
      <c r="AYJ293" s="26"/>
      <c r="AYK293" s="26"/>
      <c r="AYL293" s="26"/>
      <c r="AYM293" s="26"/>
      <c r="AYN293" s="26"/>
      <c r="AYO293" s="26"/>
      <c r="AYP293" s="26"/>
      <c r="AYQ293" s="26"/>
      <c r="AYR293" s="26"/>
      <c r="AYS293" s="26"/>
      <c r="AYT293" s="26"/>
      <c r="AYU293" s="26"/>
      <c r="AYV293" s="26"/>
      <c r="AYW293" s="26"/>
      <c r="AYX293" s="26"/>
      <c r="AYY293" s="26"/>
      <c r="AYZ293" s="26"/>
      <c r="AZA293" s="26"/>
      <c r="AZB293" s="26"/>
      <c r="AZC293" s="26"/>
      <c r="AZD293" s="26"/>
      <c r="AZE293" s="26"/>
      <c r="AZF293" s="26"/>
      <c r="AZG293" s="26"/>
      <c r="AZH293" s="26"/>
      <c r="AZI293" s="26"/>
      <c r="AZJ293" s="26"/>
      <c r="AZK293" s="26"/>
      <c r="AZL293" s="26"/>
      <c r="AZM293" s="26"/>
      <c r="AZN293" s="26"/>
      <c r="AZO293" s="26"/>
      <c r="AZP293" s="26"/>
      <c r="AZQ293" s="26"/>
      <c r="AZR293" s="26"/>
      <c r="AZS293" s="26"/>
      <c r="AZT293" s="26"/>
      <c r="AZU293" s="26"/>
      <c r="AZV293" s="26"/>
      <c r="AZW293" s="26"/>
      <c r="AZX293" s="26"/>
      <c r="AZY293" s="26"/>
      <c r="AZZ293" s="26"/>
      <c r="BAA293" s="26"/>
      <c r="BAB293" s="26"/>
      <c r="BAC293" s="26"/>
      <c r="BAD293" s="26"/>
      <c r="BAE293" s="26"/>
      <c r="BAF293" s="26"/>
      <c r="BAG293" s="26"/>
      <c r="BAH293" s="26"/>
      <c r="BAI293" s="26"/>
      <c r="BAJ293" s="26"/>
      <c r="BAK293" s="26"/>
      <c r="BAL293" s="26"/>
      <c r="BAM293" s="26"/>
      <c r="BAN293" s="26"/>
      <c r="BAO293" s="26"/>
      <c r="BAP293" s="26"/>
      <c r="BAQ293" s="26"/>
      <c r="BAR293" s="26"/>
      <c r="BAS293" s="26"/>
      <c r="BAT293" s="26"/>
      <c r="BAU293" s="26"/>
      <c r="BAV293" s="26"/>
      <c r="BAW293" s="26"/>
      <c r="BAX293" s="26"/>
      <c r="BAY293" s="26"/>
      <c r="BAZ293" s="26"/>
      <c r="BBA293" s="26"/>
      <c r="BBB293" s="26"/>
      <c r="BBC293" s="26"/>
      <c r="BBD293" s="26"/>
      <c r="BBE293" s="26"/>
      <c r="BBF293" s="26"/>
      <c r="BBG293" s="26"/>
      <c r="BBH293" s="26"/>
      <c r="BBI293" s="26"/>
      <c r="BBJ293" s="26"/>
      <c r="BBK293" s="26"/>
      <c r="BBL293" s="26"/>
      <c r="BBM293" s="26"/>
      <c r="BBN293" s="26"/>
      <c r="BBO293" s="26"/>
      <c r="BBP293" s="26"/>
      <c r="BBQ293" s="26"/>
      <c r="BBR293" s="26"/>
      <c r="BBS293" s="26"/>
      <c r="BBT293" s="26"/>
      <c r="BBU293" s="26"/>
      <c r="BBV293" s="26"/>
      <c r="BBW293" s="26"/>
      <c r="BBX293" s="26"/>
      <c r="BBY293" s="26"/>
      <c r="BBZ293" s="26"/>
      <c r="BCA293" s="26"/>
      <c r="BCB293" s="26"/>
      <c r="BCC293" s="26"/>
      <c r="BCD293" s="26"/>
      <c r="BCE293" s="26"/>
      <c r="BCF293" s="26"/>
      <c r="BCG293" s="26"/>
      <c r="BCH293" s="26"/>
      <c r="BCI293" s="26"/>
      <c r="BCJ293" s="26"/>
      <c r="BCK293" s="26"/>
      <c r="BCL293" s="26"/>
      <c r="BCM293" s="26"/>
      <c r="BCN293" s="26"/>
      <c r="BCO293" s="26"/>
      <c r="BCP293" s="26"/>
      <c r="BCQ293" s="26"/>
      <c r="BCR293" s="26"/>
      <c r="BCS293" s="26"/>
      <c r="BCT293" s="26"/>
      <c r="BCU293" s="26"/>
      <c r="BCV293" s="26"/>
      <c r="BCW293" s="26"/>
      <c r="BCX293" s="26"/>
      <c r="BCY293" s="26"/>
      <c r="BCZ293" s="26"/>
      <c r="BDA293" s="26"/>
      <c r="BDB293" s="26"/>
      <c r="BDC293" s="26"/>
      <c r="BDD293" s="26"/>
      <c r="BDE293" s="26"/>
      <c r="BDF293" s="26"/>
      <c r="BDG293" s="26"/>
      <c r="BDH293" s="26"/>
      <c r="BDI293" s="26"/>
      <c r="BDJ293" s="26"/>
      <c r="BDK293" s="26"/>
      <c r="BDL293" s="26"/>
      <c r="BDM293" s="26"/>
      <c r="BDN293" s="26"/>
      <c r="BDO293" s="26"/>
      <c r="BDP293" s="26"/>
      <c r="BDQ293" s="26"/>
      <c r="BDR293" s="26"/>
      <c r="BDS293" s="26"/>
      <c r="BDT293" s="26"/>
      <c r="BDU293" s="26"/>
      <c r="BDV293" s="26"/>
      <c r="BDW293" s="26"/>
      <c r="BDX293" s="26"/>
      <c r="BDY293" s="26"/>
      <c r="BDZ293" s="26"/>
      <c r="BEA293" s="26"/>
      <c r="BEB293" s="26"/>
      <c r="BEC293" s="26"/>
      <c r="BED293" s="26"/>
      <c r="BEE293" s="26"/>
      <c r="BEF293" s="26"/>
      <c r="BEG293" s="26"/>
      <c r="BEH293" s="26"/>
      <c r="BEI293" s="26"/>
      <c r="BEJ293" s="26"/>
      <c r="BEK293" s="26"/>
      <c r="BEL293" s="26"/>
      <c r="BEM293" s="26"/>
      <c r="BEN293" s="26"/>
      <c r="BEO293" s="26"/>
      <c r="BEP293" s="26"/>
      <c r="BEQ293" s="26"/>
      <c r="BER293" s="26"/>
      <c r="BES293" s="26"/>
      <c r="BET293" s="26"/>
      <c r="BEU293" s="26"/>
      <c r="BEV293" s="26"/>
      <c r="BEW293" s="26"/>
      <c r="BEX293" s="26"/>
      <c r="BEY293" s="26"/>
      <c r="BEZ293" s="26"/>
      <c r="BFA293" s="26"/>
      <c r="BFB293" s="26"/>
      <c r="BFC293" s="26"/>
      <c r="BFD293" s="26"/>
      <c r="BFE293" s="26"/>
      <c r="BFF293" s="26"/>
      <c r="BFG293" s="26"/>
      <c r="BFH293" s="26"/>
      <c r="BFI293" s="26"/>
      <c r="BFJ293" s="26"/>
      <c r="BFK293" s="26"/>
      <c r="BFL293" s="26"/>
      <c r="BFM293" s="26"/>
      <c r="BFN293" s="26"/>
      <c r="BFO293" s="26"/>
      <c r="BFP293" s="26"/>
      <c r="BFQ293" s="26"/>
      <c r="BFR293" s="26"/>
      <c r="BFS293" s="26"/>
      <c r="BFT293" s="26"/>
      <c r="BFU293" s="26"/>
      <c r="BFV293" s="26"/>
      <c r="BFW293" s="26"/>
      <c r="BFX293" s="26"/>
      <c r="BFY293" s="26"/>
      <c r="BFZ293" s="26"/>
      <c r="BGA293" s="26"/>
      <c r="BGB293" s="26"/>
      <c r="BGC293" s="26"/>
      <c r="BGD293" s="26"/>
      <c r="BGE293" s="26"/>
      <c r="BGF293" s="26"/>
      <c r="BGG293" s="26"/>
      <c r="BGH293" s="26"/>
      <c r="BGI293" s="26"/>
      <c r="BGJ293" s="26"/>
      <c r="BGK293" s="26"/>
      <c r="BGL293" s="26"/>
      <c r="BGM293" s="26"/>
      <c r="BGN293" s="26"/>
      <c r="BGO293" s="26"/>
      <c r="BGP293" s="26"/>
      <c r="BGQ293" s="26"/>
      <c r="BGR293" s="26"/>
      <c r="BGS293" s="26"/>
      <c r="BGT293" s="26"/>
      <c r="BGU293" s="26"/>
      <c r="BGV293" s="26"/>
      <c r="BGW293" s="26"/>
      <c r="BGX293" s="26"/>
      <c r="BGY293" s="26"/>
      <c r="BGZ293" s="26"/>
      <c r="BHA293" s="26"/>
      <c r="BHB293" s="26"/>
      <c r="BHC293" s="26"/>
      <c r="BHD293" s="26"/>
      <c r="BHE293" s="26"/>
      <c r="BHF293" s="26"/>
      <c r="BHG293" s="26"/>
      <c r="BHH293" s="26"/>
      <c r="BHI293" s="26"/>
      <c r="BHJ293" s="26"/>
      <c r="BHK293" s="26"/>
      <c r="BHL293" s="26"/>
      <c r="BHM293" s="26"/>
      <c r="BHN293" s="26"/>
      <c r="BHO293" s="26"/>
      <c r="BHP293" s="26"/>
      <c r="BHQ293" s="26"/>
      <c r="BHR293" s="26"/>
      <c r="BHS293" s="26"/>
      <c r="BHT293" s="26"/>
      <c r="BHU293" s="26"/>
      <c r="BHV293" s="26"/>
      <c r="BHW293" s="26"/>
      <c r="BHX293" s="26"/>
      <c r="BHY293" s="26"/>
      <c r="BHZ293" s="26"/>
      <c r="BIA293" s="26"/>
      <c r="BIB293" s="26"/>
      <c r="BIC293" s="26"/>
      <c r="BID293" s="26"/>
      <c r="BIE293" s="26"/>
      <c r="BIF293" s="26"/>
      <c r="BIG293" s="26"/>
      <c r="BIH293" s="26"/>
      <c r="BII293" s="26"/>
      <c r="BIJ293" s="26"/>
      <c r="BIK293" s="26"/>
      <c r="BIL293" s="26"/>
      <c r="BIM293" s="26"/>
      <c r="BIN293" s="26"/>
      <c r="BIO293" s="26"/>
      <c r="BIP293" s="26"/>
      <c r="BIQ293" s="26"/>
      <c r="BIR293" s="26"/>
      <c r="BIS293" s="26"/>
      <c r="BIT293" s="26"/>
      <c r="BIU293" s="26"/>
      <c r="BIV293" s="26"/>
      <c r="BIW293" s="26"/>
      <c r="BIX293" s="26"/>
      <c r="BIY293" s="26"/>
      <c r="BIZ293" s="26"/>
      <c r="BJA293" s="26"/>
      <c r="BJB293" s="26"/>
      <c r="BJC293" s="26"/>
      <c r="BJD293" s="26"/>
      <c r="BJE293" s="26"/>
      <c r="BJF293" s="26"/>
      <c r="BJG293" s="26"/>
      <c r="BJH293" s="26"/>
      <c r="BJI293" s="26"/>
      <c r="BJJ293" s="26"/>
      <c r="BJK293" s="26"/>
      <c r="BJL293" s="26"/>
      <c r="BJM293" s="26"/>
      <c r="BJN293" s="26"/>
      <c r="BJO293" s="26"/>
      <c r="BJP293" s="26"/>
      <c r="BJQ293" s="26"/>
      <c r="BJR293" s="26"/>
      <c r="BJS293" s="26"/>
      <c r="BJT293" s="26"/>
      <c r="BJU293" s="26"/>
      <c r="BJV293" s="26"/>
      <c r="BJW293" s="26"/>
      <c r="BJX293" s="26"/>
      <c r="BJY293" s="26"/>
      <c r="BJZ293" s="26"/>
      <c r="BKA293" s="26"/>
      <c r="BKB293" s="26"/>
      <c r="BKC293" s="26"/>
      <c r="BKD293" s="26"/>
      <c r="BKE293" s="26"/>
      <c r="BKF293" s="26"/>
      <c r="BKG293" s="26"/>
      <c r="BKH293" s="26"/>
      <c r="BKI293" s="26"/>
      <c r="BKJ293" s="26"/>
      <c r="BKK293" s="26"/>
      <c r="BKL293" s="26"/>
      <c r="BKM293" s="26"/>
      <c r="BKN293" s="26"/>
      <c r="BKO293" s="26"/>
      <c r="BKP293" s="26"/>
      <c r="BKQ293" s="26"/>
      <c r="BKR293" s="26"/>
      <c r="BKS293" s="26"/>
      <c r="BKT293" s="26"/>
      <c r="BKU293" s="26"/>
      <c r="BKV293" s="26"/>
      <c r="BKW293" s="26"/>
      <c r="BKX293" s="26"/>
      <c r="BKY293" s="26"/>
      <c r="BKZ293" s="26"/>
      <c r="BLA293" s="26"/>
      <c r="BLB293" s="26"/>
      <c r="BLC293" s="26"/>
      <c r="BLD293" s="26"/>
      <c r="BLE293" s="26"/>
      <c r="BLF293" s="26"/>
      <c r="BLG293" s="26"/>
      <c r="BLH293" s="26"/>
      <c r="BLI293" s="26"/>
      <c r="BLJ293" s="26"/>
      <c r="BLK293" s="26"/>
      <c r="BLL293" s="26"/>
      <c r="BLM293" s="26"/>
      <c r="BLN293" s="26"/>
      <c r="BLO293" s="26"/>
      <c r="BLP293" s="26"/>
      <c r="BLQ293" s="26"/>
      <c r="BLR293" s="26"/>
      <c r="BLS293" s="26"/>
      <c r="BLT293" s="26"/>
      <c r="BLU293" s="26"/>
      <c r="BLV293" s="26"/>
      <c r="BLW293" s="26"/>
      <c r="BLX293" s="26"/>
      <c r="BLY293" s="26"/>
      <c r="BLZ293" s="26"/>
      <c r="BMA293" s="26"/>
      <c r="BMB293" s="26"/>
      <c r="BMC293" s="26"/>
      <c r="BMD293" s="26"/>
      <c r="BME293" s="26"/>
      <c r="BMF293" s="26"/>
      <c r="BMG293" s="26"/>
      <c r="BMH293" s="26"/>
      <c r="BMI293" s="26"/>
      <c r="BMJ293" s="26"/>
      <c r="BMK293" s="26"/>
      <c r="BML293" s="26"/>
      <c r="BMM293" s="26"/>
      <c r="BMN293" s="26"/>
      <c r="BMO293" s="26"/>
      <c r="BMP293" s="26"/>
      <c r="BMQ293" s="26"/>
      <c r="BMR293" s="26"/>
      <c r="BMS293" s="26"/>
      <c r="BMT293" s="26"/>
      <c r="BMU293" s="26"/>
      <c r="BMV293" s="26"/>
      <c r="BMW293" s="26"/>
      <c r="BMX293" s="26"/>
      <c r="BMY293" s="26"/>
      <c r="BMZ293" s="26"/>
      <c r="BNA293" s="26"/>
      <c r="BNB293" s="26"/>
      <c r="BNC293" s="26"/>
      <c r="BND293" s="26"/>
      <c r="BNE293" s="26"/>
      <c r="BNF293" s="26"/>
      <c r="BNG293" s="26"/>
      <c r="BNH293" s="26"/>
      <c r="BNI293" s="26"/>
      <c r="BNJ293" s="26"/>
      <c r="BNK293" s="26"/>
      <c r="BNL293" s="26"/>
      <c r="BNM293" s="26"/>
      <c r="BNN293" s="26"/>
      <c r="BNO293" s="26"/>
      <c r="BNP293" s="26"/>
      <c r="BNQ293" s="26"/>
      <c r="BNR293" s="26"/>
      <c r="BNS293" s="26"/>
      <c r="BNT293" s="26"/>
      <c r="BNU293" s="26"/>
      <c r="BNV293" s="26"/>
      <c r="BNW293" s="26"/>
      <c r="BNX293" s="26"/>
      <c r="BNY293" s="26"/>
      <c r="BNZ293" s="26"/>
      <c r="BOA293" s="26"/>
      <c r="BOB293" s="26"/>
      <c r="BOC293" s="26"/>
      <c r="BOD293" s="26"/>
      <c r="BOE293" s="26"/>
      <c r="BOF293" s="26"/>
      <c r="BOG293" s="26"/>
      <c r="BOH293" s="26"/>
      <c r="BOI293" s="26"/>
      <c r="BOJ293" s="26"/>
      <c r="BOK293" s="26"/>
      <c r="BOL293" s="26"/>
      <c r="BOM293" s="26"/>
      <c r="BON293" s="26"/>
      <c r="BOO293" s="26"/>
      <c r="BOP293" s="26"/>
      <c r="BOQ293" s="26"/>
      <c r="BOR293" s="26"/>
      <c r="BOS293" s="26"/>
      <c r="BOT293" s="26"/>
      <c r="BOU293" s="26"/>
      <c r="BOV293" s="26"/>
      <c r="BOW293" s="26"/>
      <c r="BOX293" s="26"/>
      <c r="BOY293" s="26"/>
      <c r="BOZ293" s="26"/>
      <c r="BPA293" s="26"/>
      <c r="BPB293" s="26"/>
      <c r="BPC293" s="26"/>
      <c r="BPD293" s="26"/>
      <c r="BPE293" s="26"/>
      <c r="BPF293" s="26"/>
      <c r="BPG293" s="26"/>
      <c r="BPH293" s="26"/>
      <c r="BPI293" s="26"/>
      <c r="BPJ293" s="26"/>
      <c r="BPK293" s="26"/>
      <c r="BPL293" s="26"/>
      <c r="BPM293" s="26"/>
      <c r="BPN293" s="26"/>
      <c r="BPO293" s="26"/>
      <c r="BPP293" s="26"/>
      <c r="BPQ293" s="26"/>
      <c r="BPR293" s="26"/>
      <c r="BPS293" s="26"/>
      <c r="BPT293" s="26"/>
      <c r="BPU293" s="26"/>
      <c r="BPV293" s="26"/>
      <c r="BPW293" s="26"/>
      <c r="BPX293" s="26"/>
      <c r="BPY293" s="26"/>
      <c r="BPZ293" s="26"/>
      <c r="BQA293" s="26"/>
      <c r="BQB293" s="26"/>
      <c r="BQC293" s="26"/>
      <c r="BQD293" s="26"/>
      <c r="BQE293" s="26"/>
      <c r="BQF293" s="26"/>
      <c r="BQG293" s="26"/>
      <c r="BQH293" s="26"/>
      <c r="BQI293" s="26"/>
      <c r="BQJ293" s="26"/>
      <c r="BQK293" s="26"/>
      <c r="BQL293" s="26"/>
      <c r="BQM293" s="26"/>
      <c r="BQN293" s="26"/>
      <c r="BQO293" s="26"/>
      <c r="BQP293" s="26"/>
      <c r="BQQ293" s="26"/>
      <c r="BQR293" s="26"/>
      <c r="BQS293" s="26"/>
      <c r="BQT293" s="26"/>
      <c r="BQU293" s="26"/>
      <c r="BQV293" s="26"/>
      <c r="BQW293" s="26"/>
      <c r="BQX293" s="26"/>
      <c r="BQY293" s="26"/>
      <c r="BQZ293" s="26"/>
      <c r="BRA293" s="26"/>
      <c r="BRB293" s="26"/>
      <c r="BRC293" s="26"/>
      <c r="BRD293" s="26"/>
      <c r="BRE293" s="26"/>
      <c r="BRF293" s="26"/>
      <c r="BRG293" s="26"/>
      <c r="BRH293" s="26"/>
      <c r="BRI293" s="26"/>
      <c r="BRJ293" s="26"/>
      <c r="BRK293" s="26"/>
      <c r="BRL293" s="26"/>
      <c r="BRM293" s="26"/>
      <c r="BRN293" s="26"/>
      <c r="BRO293" s="26"/>
      <c r="BRP293" s="26"/>
      <c r="BRQ293" s="26"/>
      <c r="BRR293" s="26"/>
      <c r="BRS293" s="26"/>
      <c r="BRT293" s="26"/>
      <c r="BRU293" s="26"/>
      <c r="BRV293" s="26"/>
      <c r="BRW293" s="26"/>
      <c r="BRX293" s="26"/>
      <c r="BRY293" s="26"/>
      <c r="BRZ293" s="26"/>
      <c r="BSA293" s="26"/>
      <c r="BSB293" s="26"/>
      <c r="BSC293" s="26"/>
      <c r="BSD293" s="26"/>
      <c r="BSE293" s="26"/>
      <c r="BSF293" s="26"/>
      <c r="BSG293" s="26"/>
      <c r="BSH293" s="26"/>
      <c r="BSI293" s="26"/>
      <c r="BSJ293" s="26"/>
      <c r="BSK293" s="26"/>
      <c r="BSL293" s="26"/>
      <c r="BSM293" s="26"/>
      <c r="BSN293" s="26"/>
      <c r="BSO293" s="26"/>
      <c r="BSP293" s="26"/>
      <c r="BSQ293" s="26"/>
      <c r="BSR293" s="26"/>
      <c r="BSS293" s="26"/>
      <c r="BST293" s="26"/>
      <c r="BSU293" s="26"/>
      <c r="BSV293" s="26"/>
      <c r="BSW293" s="26"/>
      <c r="BSX293" s="26"/>
      <c r="BSY293" s="26"/>
      <c r="BSZ293" s="26"/>
      <c r="BTA293" s="26"/>
      <c r="BTB293" s="26"/>
      <c r="BTC293" s="26"/>
      <c r="BTD293" s="26"/>
      <c r="BTE293" s="26"/>
      <c r="BTF293" s="26"/>
      <c r="BTG293" s="26"/>
      <c r="BTH293" s="26"/>
      <c r="BTI293" s="26"/>
      <c r="BTJ293" s="26"/>
      <c r="BTK293" s="26"/>
      <c r="BTL293" s="26"/>
      <c r="BTM293" s="26"/>
      <c r="BTN293" s="26"/>
      <c r="BTO293" s="26"/>
      <c r="BTP293" s="26"/>
      <c r="BTQ293" s="26"/>
      <c r="BTR293" s="26"/>
      <c r="BTS293" s="26"/>
      <c r="BTT293" s="26"/>
      <c r="BTU293" s="26"/>
      <c r="BTV293" s="26"/>
      <c r="BTW293" s="26"/>
      <c r="BTX293" s="26"/>
      <c r="BTY293" s="26"/>
      <c r="BTZ293" s="26"/>
      <c r="BUA293" s="26"/>
      <c r="BUB293" s="26"/>
      <c r="BUC293" s="26"/>
      <c r="BUD293" s="26"/>
      <c r="BUE293" s="26"/>
      <c r="BUF293" s="26"/>
      <c r="BUG293" s="26"/>
      <c r="BUH293" s="26"/>
      <c r="BUI293" s="26"/>
      <c r="BUJ293" s="26"/>
      <c r="BUK293" s="26"/>
      <c r="BUL293" s="26"/>
      <c r="BUM293" s="26"/>
      <c r="BUN293" s="26"/>
      <c r="BUO293" s="26"/>
      <c r="BUP293" s="26"/>
      <c r="BUQ293" s="26"/>
      <c r="BUR293" s="26"/>
      <c r="BUS293" s="26"/>
      <c r="BUT293" s="26"/>
      <c r="BUU293" s="26"/>
      <c r="BUV293" s="26"/>
      <c r="BUW293" s="26"/>
      <c r="BUX293" s="26"/>
      <c r="BUY293" s="26"/>
      <c r="BUZ293" s="26"/>
      <c r="BVA293" s="26"/>
      <c r="BVB293" s="26"/>
      <c r="BVC293" s="26"/>
      <c r="BVD293" s="26"/>
      <c r="BVE293" s="26"/>
      <c r="BVF293" s="26"/>
      <c r="BVG293" s="26"/>
      <c r="BVH293" s="26"/>
      <c r="BVI293" s="26"/>
      <c r="BVJ293" s="26"/>
      <c r="BVK293" s="26"/>
      <c r="BVL293" s="26"/>
      <c r="BVM293" s="26"/>
      <c r="BVN293" s="26"/>
      <c r="BVO293" s="26"/>
      <c r="BVP293" s="26"/>
      <c r="BVQ293" s="26"/>
      <c r="BVR293" s="26"/>
      <c r="BVS293" s="26"/>
      <c r="BVT293" s="26"/>
      <c r="BVU293" s="26"/>
      <c r="BVV293" s="26"/>
      <c r="BVW293" s="26"/>
      <c r="BVX293" s="26"/>
      <c r="BVY293" s="26"/>
      <c r="BVZ293" s="26"/>
      <c r="BWA293" s="26"/>
      <c r="BWB293" s="26"/>
      <c r="BWC293" s="26"/>
      <c r="BWD293" s="26"/>
      <c r="BWE293" s="26"/>
      <c r="BWF293" s="26"/>
      <c r="BWG293" s="26"/>
      <c r="BWH293" s="26"/>
      <c r="BWI293" s="26"/>
      <c r="BWJ293" s="26"/>
      <c r="BWK293" s="26"/>
      <c r="BWL293" s="26"/>
      <c r="BWM293" s="26"/>
      <c r="BWN293" s="26"/>
      <c r="BWO293" s="26"/>
      <c r="BWP293" s="26"/>
      <c r="BWQ293" s="26"/>
      <c r="BWR293" s="26"/>
      <c r="BWS293" s="26"/>
      <c r="BWT293" s="26"/>
      <c r="BWU293" s="26"/>
      <c r="BWV293" s="26"/>
      <c r="BWW293" s="26"/>
      <c r="BWX293" s="26"/>
      <c r="BWY293" s="26"/>
      <c r="BWZ293" s="26"/>
      <c r="BXA293" s="26"/>
      <c r="BXB293" s="26"/>
      <c r="BXC293" s="26"/>
      <c r="BXD293" s="26"/>
      <c r="BXE293" s="26"/>
      <c r="BXF293" s="26"/>
      <c r="BXG293" s="26"/>
      <c r="BXH293" s="26"/>
      <c r="BXI293" s="26"/>
      <c r="BXJ293" s="26"/>
      <c r="BXK293" s="26"/>
      <c r="BXL293" s="26"/>
      <c r="BXM293" s="26"/>
      <c r="BXN293" s="26"/>
      <c r="BXO293" s="26"/>
      <c r="BXP293" s="26"/>
      <c r="BXQ293" s="26"/>
      <c r="BXR293" s="26"/>
      <c r="BXS293" s="26"/>
      <c r="BXT293" s="26"/>
      <c r="BXU293" s="26"/>
      <c r="BXV293" s="26"/>
      <c r="BXW293" s="26"/>
      <c r="BXX293" s="26"/>
      <c r="BXY293" s="26"/>
      <c r="BXZ293" s="26"/>
      <c r="BYA293" s="26"/>
      <c r="BYB293" s="26"/>
      <c r="BYC293" s="26"/>
      <c r="BYD293" s="26"/>
      <c r="BYE293" s="26"/>
      <c r="BYF293" s="26"/>
      <c r="BYG293" s="26"/>
      <c r="BYH293" s="26"/>
      <c r="BYI293" s="26"/>
      <c r="BYJ293" s="26"/>
      <c r="BYK293" s="26"/>
      <c r="BYL293" s="26"/>
      <c r="BYM293" s="26"/>
      <c r="BYN293" s="26"/>
      <c r="BYO293" s="26"/>
      <c r="BYP293" s="26"/>
      <c r="BYQ293" s="26"/>
      <c r="BYR293" s="26"/>
      <c r="BYS293" s="26"/>
      <c r="BYT293" s="26"/>
      <c r="BYU293" s="26"/>
      <c r="BYV293" s="26"/>
      <c r="BYW293" s="26"/>
      <c r="BYX293" s="26"/>
      <c r="BYY293" s="26"/>
      <c r="BYZ293" s="26"/>
      <c r="BZA293" s="26"/>
      <c r="BZB293" s="26"/>
      <c r="BZC293" s="26"/>
      <c r="BZD293" s="26"/>
      <c r="BZE293" s="26"/>
      <c r="BZF293" s="26"/>
      <c r="BZG293" s="26"/>
      <c r="BZH293" s="26"/>
      <c r="BZI293" s="26"/>
      <c r="BZJ293" s="26"/>
      <c r="BZK293" s="26"/>
      <c r="BZL293" s="26"/>
      <c r="BZM293" s="26"/>
      <c r="BZN293" s="26"/>
      <c r="BZO293" s="26"/>
      <c r="BZP293" s="26"/>
      <c r="BZQ293" s="26"/>
      <c r="BZR293" s="26"/>
      <c r="BZS293" s="26"/>
      <c r="BZT293" s="26"/>
      <c r="BZU293" s="26"/>
      <c r="BZV293" s="26"/>
      <c r="BZW293" s="26"/>
      <c r="BZX293" s="26"/>
      <c r="BZY293" s="26"/>
      <c r="BZZ293" s="26"/>
      <c r="CAA293" s="26"/>
      <c r="CAB293" s="26"/>
      <c r="CAC293" s="26"/>
      <c r="CAD293" s="26"/>
      <c r="CAE293" s="26"/>
      <c r="CAF293" s="26"/>
      <c r="CAG293" s="26"/>
      <c r="CAH293" s="26"/>
      <c r="CAI293" s="26"/>
      <c r="CAJ293" s="26"/>
      <c r="CAK293" s="26"/>
      <c r="CAL293" s="26"/>
      <c r="CAM293" s="26"/>
      <c r="CAN293" s="26"/>
      <c r="CAO293" s="26"/>
      <c r="CAP293" s="26"/>
      <c r="CAQ293" s="26"/>
      <c r="CAR293" s="26"/>
      <c r="CAS293" s="26"/>
      <c r="CAT293" s="26"/>
      <c r="CAU293" s="26"/>
      <c r="CAV293" s="26"/>
      <c r="CAW293" s="26"/>
      <c r="CAX293" s="26"/>
      <c r="CAY293" s="26"/>
      <c r="CAZ293" s="26"/>
      <c r="CBA293" s="26"/>
      <c r="CBB293" s="26"/>
      <c r="CBC293" s="26"/>
      <c r="CBD293" s="26"/>
      <c r="CBE293" s="26"/>
      <c r="CBF293" s="26"/>
      <c r="CBG293" s="26"/>
      <c r="CBH293" s="26"/>
      <c r="CBI293" s="26"/>
    </row>
    <row r="294" spans="1:2089" ht="14" customHeight="1">
      <c r="A294" s="27">
        <v>293</v>
      </c>
      <c r="B294" s="27" t="s">
        <v>415</v>
      </c>
      <c r="C294" s="27">
        <v>2011</v>
      </c>
      <c r="D294" s="26" t="s">
        <v>10</v>
      </c>
      <c r="E294" s="26" t="s">
        <v>563</v>
      </c>
      <c r="F294" s="77" t="s">
        <v>175</v>
      </c>
      <c r="G294" s="2" t="s">
        <v>105</v>
      </c>
      <c r="H294" s="2" t="s">
        <v>24</v>
      </c>
      <c r="I294" s="2" t="s">
        <v>548</v>
      </c>
      <c r="J294" s="2" t="s">
        <v>604</v>
      </c>
      <c r="K294" s="2" t="s">
        <v>548</v>
      </c>
      <c r="L294" s="2" t="s">
        <v>548</v>
      </c>
      <c r="M294" s="2" t="s">
        <v>548</v>
      </c>
      <c r="N294" s="2" t="s">
        <v>609</v>
      </c>
      <c r="O294" s="2" t="s">
        <v>60</v>
      </c>
      <c r="P294" s="2" t="s">
        <v>609</v>
      </c>
      <c r="Q294" s="2" t="s">
        <v>42</v>
      </c>
      <c r="R294" s="79" t="s">
        <v>613</v>
      </c>
      <c r="S294" s="2">
        <v>0.92411003236245937</v>
      </c>
      <c r="T294" s="26">
        <v>309</v>
      </c>
      <c r="U294" s="77">
        <v>1</v>
      </c>
      <c r="V294" s="26">
        <v>0</v>
      </c>
      <c r="W294" s="26">
        <v>0</v>
      </c>
      <c r="X294" s="26">
        <v>0</v>
      </c>
      <c r="Y294" s="26">
        <v>0</v>
      </c>
      <c r="Z294" s="26">
        <v>0</v>
      </c>
      <c r="AA294" s="26">
        <v>0</v>
      </c>
      <c r="AB294" s="26">
        <v>0</v>
      </c>
      <c r="AC294" s="26">
        <v>7.5889967637540467E-2</v>
      </c>
      <c r="AD294" s="26">
        <v>0.17</v>
      </c>
      <c r="AE294" s="26">
        <v>0.57411003236245961</v>
      </c>
      <c r="AF294" s="26">
        <v>0.18</v>
      </c>
      <c r="AG294" s="26" t="s">
        <v>70</v>
      </c>
      <c r="AH294" s="26" t="s">
        <v>70</v>
      </c>
      <c r="AI294" s="26" t="s">
        <v>70</v>
      </c>
      <c r="AJ294" s="26" t="s">
        <v>70</v>
      </c>
      <c r="AK294" s="26" t="s">
        <v>70</v>
      </c>
      <c r="AL294" s="26" t="s">
        <v>70</v>
      </c>
      <c r="AM294" s="35" t="s">
        <v>548</v>
      </c>
      <c r="AN294" s="26" t="s">
        <v>274</v>
      </c>
      <c r="AO294" s="35" t="s">
        <v>548</v>
      </c>
      <c r="AP294" s="35" t="s">
        <v>175</v>
      </c>
      <c r="AQ294" s="35" t="s">
        <v>548</v>
      </c>
      <c r="AR294" s="35" t="s">
        <v>548</v>
      </c>
      <c r="AS294" s="26" t="s">
        <v>175</v>
      </c>
      <c r="AT294" s="26" t="s">
        <v>548</v>
      </c>
      <c r="AU294" s="26" t="s">
        <v>175</v>
      </c>
      <c r="AV294" s="26">
        <v>2</v>
      </c>
    </row>
    <row r="295" spans="1:2089" ht="14" customHeight="1">
      <c r="A295" s="27">
        <v>294</v>
      </c>
      <c r="B295" s="27" t="s">
        <v>416</v>
      </c>
      <c r="C295" s="37">
        <v>2005</v>
      </c>
      <c r="D295" s="26" t="s">
        <v>18</v>
      </c>
      <c r="E295" s="26" t="s">
        <v>566</v>
      </c>
      <c r="F295" s="77" t="s">
        <v>175</v>
      </c>
      <c r="G295" s="2" t="s">
        <v>84</v>
      </c>
      <c r="H295" s="2" t="s">
        <v>24</v>
      </c>
      <c r="I295" s="2" t="s">
        <v>548</v>
      </c>
      <c r="J295" s="2" t="s">
        <v>604</v>
      </c>
      <c r="K295" s="2" t="s">
        <v>548</v>
      </c>
      <c r="L295" s="2" t="s">
        <v>548</v>
      </c>
      <c r="M295" s="2" t="s">
        <v>175</v>
      </c>
      <c r="N295" s="2" t="s">
        <v>70</v>
      </c>
      <c r="O295" s="2" t="s">
        <v>209</v>
      </c>
      <c r="P295" s="2" t="s">
        <v>612</v>
      </c>
      <c r="Q295" s="2" t="s">
        <v>42</v>
      </c>
      <c r="R295" s="79" t="s">
        <v>613</v>
      </c>
      <c r="S295" s="2">
        <f>7/T295</f>
        <v>0.63636363636363635</v>
      </c>
      <c r="T295" s="26">
        <v>11</v>
      </c>
      <c r="U295" s="77">
        <v>1</v>
      </c>
      <c r="V295" s="26">
        <v>0</v>
      </c>
      <c r="W295" s="26">
        <v>1</v>
      </c>
      <c r="X295" s="26">
        <v>0</v>
      </c>
      <c r="Y295" s="26">
        <v>0</v>
      </c>
      <c r="Z295" s="26">
        <v>0</v>
      </c>
      <c r="AA295" s="26">
        <v>0</v>
      </c>
      <c r="AB295" s="26">
        <v>0</v>
      </c>
      <c r="AC295" s="26">
        <f>1-S295</f>
        <v>0.36363636363636365</v>
      </c>
      <c r="AD295" s="26">
        <v>0</v>
      </c>
      <c r="AE295" s="26">
        <f>1/T295</f>
        <v>9.0909090909090912E-2</v>
      </c>
      <c r="AF295" s="26">
        <f>1-SUM(AC295:AE295)</f>
        <v>0.54545454545454541</v>
      </c>
      <c r="AG295" s="33">
        <v>281</v>
      </c>
      <c r="AH295" s="33" t="s">
        <v>70</v>
      </c>
      <c r="AI295" s="33">
        <v>108</v>
      </c>
      <c r="AJ295" s="26" t="s">
        <v>198</v>
      </c>
      <c r="AK295" s="33">
        <v>405</v>
      </c>
      <c r="AL295" s="33" t="s">
        <v>70</v>
      </c>
      <c r="AM295" s="35" t="s">
        <v>548</v>
      </c>
      <c r="AN295" s="32" t="s">
        <v>274</v>
      </c>
      <c r="AO295" s="35" t="s">
        <v>548</v>
      </c>
      <c r="AP295" s="35" t="s">
        <v>548</v>
      </c>
      <c r="AQ295" s="35" t="s">
        <v>548</v>
      </c>
      <c r="AR295" s="35" t="s">
        <v>548</v>
      </c>
      <c r="AS295" s="26" t="s">
        <v>175</v>
      </c>
      <c r="AT295" s="26" t="s">
        <v>70</v>
      </c>
      <c r="AU295" s="26" t="s">
        <v>70</v>
      </c>
      <c r="AV295" s="26">
        <v>4</v>
      </c>
    </row>
    <row r="296" spans="1:2089" ht="14" customHeight="1">
      <c r="A296" s="27">
        <v>295</v>
      </c>
      <c r="B296" s="27" t="s">
        <v>416</v>
      </c>
      <c r="C296" s="37">
        <v>2005</v>
      </c>
      <c r="D296" s="26" t="s">
        <v>18</v>
      </c>
      <c r="E296" s="26" t="s">
        <v>566</v>
      </c>
      <c r="F296" s="77" t="s">
        <v>175</v>
      </c>
      <c r="G296" s="2" t="s">
        <v>84</v>
      </c>
      <c r="H296" s="2" t="s">
        <v>24</v>
      </c>
      <c r="I296" s="2" t="s">
        <v>548</v>
      </c>
      <c r="J296" s="2" t="s">
        <v>604</v>
      </c>
      <c r="K296" s="2" t="s">
        <v>548</v>
      </c>
      <c r="L296" s="2" t="s">
        <v>548</v>
      </c>
      <c r="M296" s="2" t="s">
        <v>175</v>
      </c>
      <c r="N296" s="2" t="s">
        <v>609</v>
      </c>
      <c r="O296" s="2" t="s">
        <v>60</v>
      </c>
      <c r="P296" s="2" t="s">
        <v>609</v>
      </c>
      <c r="Q296" s="2" t="s">
        <v>42</v>
      </c>
      <c r="R296" s="79" t="s">
        <v>613</v>
      </c>
      <c r="S296" s="2">
        <f>14/T296</f>
        <v>0.875</v>
      </c>
      <c r="T296" s="26">
        <v>16</v>
      </c>
      <c r="U296" s="77">
        <v>1</v>
      </c>
      <c r="V296" s="26">
        <v>0</v>
      </c>
      <c r="W296" s="26">
        <v>1</v>
      </c>
      <c r="X296" s="26">
        <v>0</v>
      </c>
      <c r="Y296" s="26">
        <v>0</v>
      </c>
      <c r="Z296" s="26">
        <v>0</v>
      </c>
      <c r="AA296" s="26">
        <v>0</v>
      </c>
      <c r="AB296" s="26">
        <v>0</v>
      </c>
      <c r="AC296" s="26">
        <f>1-S296</f>
        <v>0.125</v>
      </c>
      <c r="AD296" s="26">
        <v>0</v>
      </c>
      <c r="AE296" s="26">
        <f>2/T296</f>
        <v>0.125</v>
      </c>
      <c r="AF296" s="26">
        <f>1-SUM(AC296:AE296)</f>
        <v>0.75</v>
      </c>
      <c r="AG296" s="33">
        <v>553</v>
      </c>
      <c r="AH296" s="33" t="s">
        <v>70</v>
      </c>
      <c r="AI296" s="33">
        <v>315</v>
      </c>
      <c r="AJ296" s="26" t="s">
        <v>197</v>
      </c>
      <c r="AK296" s="33">
        <v>635</v>
      </c>
      <c r="AL296" s="33" t="s">
        <v>70</v>
      </c>
      <c r="AM296" s="35" t="s">
        <v>548</v>
      </c>
      <c r="AN296" s="26" t="s">
        <v>274</v>
      </c>
      <c r="AO296" s="35" t="s">
        <v>548</v>
      </c>
      <c r="AP296" s="35" t="s">
        <v>548</v>
      </c>
      <c r="AQ296" s="35" t="s">
        <v>548</v>
      </c>
      <c r="AR296" s="35" t="s">
        <v>548</v>
      </c>
      <c r="AS296" s="26" t="s">
        <v>175</v>
      </c>
      <c r="AT296" s="26" t="s">
        <v>70</v>
      </c>
      <c r="AU296" s="26" t="s">
        <v>70</v>
      </c>
      <c r="AV296" s="26">
        <v>4</v>
      </c>
    </row>
    <row r="297" spans="1:2089" ht="14" customHeight="1">
      <c r="A297" s="27">
        <v>296</v>
      </c>
      <c r="B297" s="27" t="s">
        <v>532</v>
      </c>
      <c r="C297" s="27">
        <v>2010</v>
      </c>
      <c r="D297" s="26" t="s">
        <v>123</v>
      </c>
      <c r="E297" s="26" t="s">
        <v>565</v>
      </c>
      <c r="F297" s="77" t="s">
        <v>175</v>
      </c>
      <c r="G297" s="2" t="s">
        <v>147</v>
      </c>
      <c r="H297" s="2" t="s">
        <v>24</v>
      </c>
      <c r="I297" s="2" t="s">
        <v>175</v>
      </c>
      <c r="J297" s="2" t="s">
        <v>604</v>
      </c>
      <c r="K297" s="2" t="s">
        <v>175</v>
      </c>
      <c r="L297" s="2" t="s">
        <v>175</v>
      </c>
      <c r="M297" s="2" t="s">
        <v>175</v>
      </c>
      <c r="N297" s="2" t="s">
        <v>62</v>
      </c>
      <c r="O297" s="2" t="s">
        <v>43</v>
      </c>
      <c r="P297" s="2" t="s">
        <v>62</v>
      </c>
      <c r="Q297" s="26" t="s">
        <v>606</v>
      </c>
      <c r="R297" s="79" t="s">
        <v>613</v>
      </c>
      <c r="S297" s="88">
        <v>0.36599999999999999</v>
      </c>
      <c r="T297" s="61">
        <v>41</v>
      </c>
      <c r="U297" s="77">
        <v>1</v>
      </c>
      <c r="V297" s="26">
        <v>1</v>
      </c>
      <c r="W297" s="26">
        <v>1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 t="s">
        <v>70</v>
      </c>
      <c r="AD297" s="26" t="s">
        <v>70</v>
      </c>
      <c r="AE297" s="26" t="s">
        <v>70</v>
      </c>
      <c r="AF297" s="26" t="s">
        <v>70</v>
      </c>
      <c r="AG297" s="33" t="s">
        <v>70</v>
      </c>
      <c r="AH297" s="33" t="s">
        <v>70</v>
      </c>
      <c r="AI297" s="33" t="s">
        <v>70</v>
      </c>
      <c r="AJ297" s="26" t="s">
        <v>550</v>
      </c>
      <c r="AK297" s="33" t="s">
        <v>70</v>
      </c>
      <c r="AL297" s="33" t="s">
        <v>70</v>
      </c>
      <c r="AM297" s="61" t="s">
        <v>175</v>
      </c>
      <c r="AN297" s="32" t="s">
        <v>9</v>
      </c>
      <c r="AO297" s="35" t="s">
        <v>548</v>
      </c>
      <c r="AP297" s="35" t="s">
        <v>548</v>
      </c>
      <c r="AQ297" s="35" t="s">
        <v>548</v>
      </c>
      <c r="AR297" s="35" t="s">
        <v>548</v>
      </c>
      <c r="AS297" s="26" t="s">
        <v>175</v>
      </c>
      <c r="AT297" s="26" t="s">
        <v>70</v>
      </c>
      <c r="AU297" s="26" t="s">
        <v>70</v>
      </c>
      <c r="AV297" s="26">
        <v>9</v>
      </c>
    </row>
    <row r="298" spans="1:2089" ht="14" customHeight="1">
      <c r="A298" s="27">
        <v>297</v>
      </c>
      <c r="B298" s="27" t="s">
        <v>532</v>
      </c>
      <c r="C298" s="27">
        <v>2011</v>
      </c>
      <c r="D298" s="26" t="s">
        <v>123</v>
      </c>
      <c r="E298" s="26" t="s">
        <v>565</v>
      </c>
      <c r="F298" s="77" t="s">
        <v>175</v>
      </c>
      <c r="G298" s="2" t="s">
        <v>147</v>
      </c>
      <c r="H298" s="2" t="s">
        <v>24</v>
      </c>
      <c r="I298" s="2" t="s">
        <v>175</v>
      </c>
      <c r="J298" s="2" t="s">
        <v>603</v>
      </c>
      <c r="K298" s="2" t="s">
        <v>175</v>
      </c>
      <c r="L298" s="2" t="s">
        <v>175</v>
      </c>
      <c r="M298" s="2" t="s">
        <v>175</v>
      </c>
      <c r="N298" s="2" t="s">
        <v>62</v>
      </c>
      <c r="O298" s="2" t="s">
        <v>43</v>
      </c>
      <c r="P298" s="2" t="s">
        <v>62</v>
      </c>
      <c r="Q298" s="26" t="s">
        <v>275</v>
      </c>
      <c r="R298" s="79" t="s">
        <v>613</v>
      </c>
      <c r="S298" s="88">
        <f>15/T298</f>
        <v>0.36585365853658536</v>
      </c>
      <c r="T298" s="61">
        <v>41</v>
      </c>
      <c r="U298" s="77">
        <v>1</v>
      </c>
      <c r="V298" s="26">
        <v>1</v>
      </c>
      <c r="W298" s="26">
        <v>0</v>
      </c>
      <c r="X298" s="26">
        <v>0</v>
      </c>
      <c r="Y298" s="26">
        <v>0</v>
      </c>
      <c r="Z298" s="26">
        <v>0</v>
      </c>
      <c r="AA298" s="26">
        <v>0</v>
      </c>
      <c r="AB298" s="26">
        <v>0</v>
      </c>
      <c r="AC298" s="26" t="s">
        <v>70</v>
      </c>
      <c r="AD298" s="26" t="s">
        <v>70</v>
      </c>
      <c r="AE298" s="26" t="s">
        <v>70</v>
      </c>
      <c r="AF298" s="26" t="s">
        <v>70</v>
      </c>
      <c r="AG298" s="26" t="s">
        <v>70</v>
      </c>
      <c r="AH298" s="26" t="s">
        <v>70</v>
      </c>
      <c r="AI298" s="26" t="s">
        <v>70</v>
      </c>
      <c r="AJ298" s="26" t="s">
        <v>70</v>
      </c>
      <c r="AK298" s="26" t="s">
        <v>70</v>
      </c>
      <c r="AL298" s="26" t="s">
        <v>70</v>
      </c>
      <c r="AM298" s="61" t="s">
        <v>175</v>
      </c>
      <c r="AN298" s="32" t="s">
        <v>9</v>
      </c>
      <c r="AO298" s="35" t="s">
        <v>175</v>
      </c>
      <c r="AP298" s="35" t="s">
        <v>548</v>
      </c>
      <c r="AQ298" s="35" t="s">
        <v>548</v>
      </c>
      <c r="AR298" s="35" t="s">
        <v>548</v>
      </c>
      <c r="AS298" s="26" t="s">
        <v>175</v>
      </c>
      <c r="AT298" s="26" t="s">
        <v>70</v>
      </c>
      <c r="AU298" s="26" t="s">
        <v>70</v>
      </c>
      <c r="AV298" s="26">
        <v>8</v>
      </c>
    </row>
    <row r="299" spans="1:2089" ht="14" customHeight="1">
      <c r="A299" s="27">
        <v>298</v>
      </c>
      <c r="B299" s="27" t="s">
        <v>417</v>
      </c>
      <c r="C299" s="37">
        <v>2008</v>
      </c>
      <c r="D299" s="26" t="s">
        <v>59</v>
      </c>
      <c r="E299" s="26" t="s">
        <v>563</v>
      </c>
      <c r="F299" s="77" t="s">
        <v>175</v>
      </c>
      <c r="G299" s="2" t="s">
        <v>105</v>
      </c>
      <c r="H299" s="2" t="s">
        <v>30</v>
      </c>
      <c r="I299" s="2" t="s">
        <v>548</v>
      </c>
      <c r="J299" s="2" t="s">
        <v>604</v>
      </c>
      <c r="K299" s="2" t="s">
        <v>548</v>
      </c>
      <c r="L299" s="2" t="s">
        <v>548</v>
      </c>
      <c r="M299" s="2" t="s">
        <v>175</v>
      </c>
      <c r="N299" s="2" t="s">
        <v>210</v>
      </c>
      <c r="O299" s="2" t="s">
        <v>43</v>
      </c>
      <c r="P299" s="2" t="s">
        <v>210</v>
      </c>
      <c r="Q299" s="2" t="s">
        <v>42</v>
      </c>
      <c r="R299" s="102" t="s">
        <v>614</v>
      </c>
      <c r="S299" s="2">
        <f>3/T299</f>
        <v>0.23076923076923078</v>
      </c>
      <c r="T299" s="26">
        <v>13</v>
      </c>
      <c r="U299" s="77">
        <v>1</v>
      </c>
      <c r="V299" s="26">
        <v>0</v>
      </c>
      <c r="W299" s="26">
        <v>1</v>
      </c>
      <c r="X299" s="26">
        <v>0</v>
      </c>
      <c r="Y299" s="26">
        <v>0</v>
      </c>
      <c r="Z299" s="26">
        <v>0</v>
      </c>
      <c r="AA299" s="26">
        <v>1</v>
      </c>
      <c r="AB299" s="26">
        <v>1</v>
      </c>
      <c r="AC299" s="26">
        <f>10/T299</f>
        <v>0.76923076923076927</v>
      </c>
      <c r="AD299" s="26">
        <f>2/13</f>
        <v>0.15384615384615385</v>
      </c>
      <c r="AE299" s="26">
        <f>1/13</f>
        <v>7.6923076923076927E-2</v>
      </c>
      <c r="AF299" s="26">
        <v>0</v>
      </c>
      <c r="AG299" s="33">
        <f>18/13</f>
        <v>1.3846153846153846</v>
      </c>
      <c r="AH299" s="26" t="s">
        <v>70</v>
      </c>
      <c r="AI299" s="26" t="s">
        <v>70</v>
      </c>
      <c r="AJ299" s="26" t="s">
        <v>201</v>
      </c>
      <c r="AK299" s="26" t="s">
        <v>70</v>
      </c>
      <c r="AL299" s="26" t="s">
        <v>70</v>
      </c>
      <c r="AM299" s="35" t="s">
        <v>548</v>
      </c>
      <c r="AN299" s="26" t="s">
        <v>274</v>
      </c>
      <c r="AO299" s="35" t="s">
        <v>548</v>
      </c>
      <c r="AP299" s="35" t="s">
        <v>548</v>
      </c>
      <c r="AQ299" s="35" t="s">
        <v>548</v>
      </c>
      <c r="AR299" s="35" t="s">
        <v>548</v>
      </c>
      <c r="AS299" s="26" t="s">
        <v>175</v>
      </c>
      <c r="AT299" s="26" t="s">
        <v>70</v>
      </c>
      <c r="AU299" s="26" t="s">
        <v>70</v>
      </c>
      <c r="AV299" s="26">
        <v>6</v>
      </c>
    </row>
    <row r="300" spans="1:2089" ht="14" customHeight="1">
      <c r="A300" s="27">
        <v>299</v>
      </c>
      <c r="B300" s="27" t="s">
        <v>418</v>
      </c>
      <c r="C300" s="40">
        <v>2002</v>
      </c>
      <c r="D300" s="26" t="s">
        <v>77</v>
      </c>
      <c r="E300" s="26" t="s">
        <v>563</v>
      </c>
      <c r="F300" s="2" t="s">
        <v>175</v>
      </c>
      <c r="G300" s="2" t="s">
        <v>105</v>
      </c>
      <c r="H300" s="2" t="s">
        <v>24</v>
      </c>
      <c r="I300" s="2" t="s">
        <v>548</v>
      </c>
      <c r="J300" s="2" t="s">
        <v>189</v>
      </c>
      <c r="K300" s="2" t="s">
        <v>548</v>
      </c>
      <c r="L300" s="2" t="s">
        <v>548</v>
      </c>
      <c r="M300" s="2" t="s">
        <v>175</v>
      </c>
      <c r="N300" s="2" t="s">
        <v>51</v>
      </c>
      <c r="O300" s="2" t="s">
        <v>43</v>
      </c>
      <c r="P300" s="2" t="s">
        <v>622</v>
      </c>
      <c r="Q300" s="2" t="s">
        <v>42</v>
      </c>
      <c r="R300" s="79" t="s">
        <v>613</v>
      </c>
      <c r="S300" s="88" t="s">
        <v>70</v>
      </c>
      <c r="T300" s="61">
        <v>144</v>
      </c>
      <c r="U300" s="2">
        <v>1</v>
      </c>
      <c r="V300" s="26">
        <v>1</v>
      </c>
      <c r="W300" s="26">
        <v>1</v>
      </c>
      <c r="X300" s="26">
        <v>1</v>
      </c>
      <c r="Y300" s="26">
        <v>1</v>
      </c>
      <c r="Z300" s="26">
        <v>1</v>
      </c>
      <c r="AA300" s="26">
        <v>0</v>
      </c>
      <c r="AB300" s="26">
        <v>0</v>
      </c>
      <c r="AC300" s="70" t="s">
        <v>70</v>
      </c>
      <c r="AD300" s="70" t="s">
        <v>70</v>
      </c>
      <c r="AE300" s="70" t="s">
        <v>70</v>
      </c>
      <c r="AF300" s="70" t="s">
        <v>70</v>
      </c>
      <c r="AG300" s="33">
        <v>1181.85964912281</v>
      </c>
      <c r="AH300" s="70" t="s">
        <v>70</v>
      </c>
      <c r="AI300" s="70" t="s">
        <v>70</v>
      </c>
      <c r="AJ300" s="70" t="s">
        <v>70</v>
      </c>
      <c r="AK300" s="70" t="s">
        <v>70</v>
      </c>
      <c r="AL300" s="70" t="s">
        <v>70</v>
      </c>
      <c r="AM300" s="61" t="s">
        <v>548</v>
      </c>
      <c r="AN300" s="26" t="s">
        <v>274</v>
      </c>
      <c r="AO300" s="26" t="s">
        <v>548</v>
      </c>
      <c r="AP300" s="26" t="s">
        <v>548</v>
      </c>
      <c r="AQ300" s="26" t="s">
        <v>548</v>
      </c>
      <c r="AR300" s="26" t="s">
        <v>548</v>
      </c>
      <c r="AS300" s="26" t="s">
        <v>175</v>
      </c>
      <c r="AT300" s="26" t="s">
        <v>70</v>
      </c>
      <c r="AU300" s="26" t="s">
        <v>70</v>
      </c>
      <c r="AV300" s="26">
        <v>8</v>
      </c>
    </row>
    <row r="301" spans="1:2089" ht="14" customHeight="1">
      <c r="A301" s="27">
        <v>300</v>
      </c>
      <c r="B301" s="27" t="s">
        <v>418</v>
      </c>
      <c r="C301" s="40">
        <v>2002</v>
      </c>
      <c r="D301" s="26" t="s">
        <v>77</v>
      </c>
      <c r="E301" s="26" t="s">
        <v>563</v>
      </c>
      <c r="F301" s="2" t="s">
        <v>175</v>
      </c>
      <c r="G301" s="2" t="s">
        <v>105</v>
      </c>
      <c r="H301" s="2" t="s">
        <v>24</v>
      </c>
      <c r="I301" s="2" t="s">
        <v>548</v>
      </c>
      <c r="J301" s="2" t="s">
        <v>189</v>
      </c>
      <c r="K301" s="2" t="s">
        <v>548</v>
      </c>
      <c r="L301" s="2" t="s">
        <v>548</v>
      </c>
      <c r="M301" s="2" t="s">
        <v>175</v>
      </c>
      <c r="N301" s="2" t="s">
        <v>51</v>
      </c>
      <c r="O301" s="2" t="s">
        <v>43</v>
      </c>
      <c r="P301" s="2" t="s">
        <v>51</v>
      </c>
      <c r="Q301" s="2" t="s">
        <v>42</v>
      </c>
      <c r="R301" s="79" t="s">
        <v>613</v>
      </c>
      <c r="S301" s="88" t="s">
        <v>70</v>
      </c>
      <c r="T301" s="61">
        <v>114</v>
      </c>
      <c r="U301" s="2">
        <v>1</v>
      </c>
      <c r="V301" s="26">
        <v>1</v>
      </c>
      <c r="W301" s="26">
        <v>1</v>
      </c>
      <c r="X301" s="26">
        <v>1</v>
      </c>
      <c r="Y301" s="26">
        <v>1</v>
      </c>
      <c r="Z301" s="26">
        <v>1</v>
      </c>
      <c r="AA301" s="26">
        <v>0</v>
      </c>
      <c r="AB301" s="26">
        <v>0</v>
      </c>
      <c r="AC301" s="70" t="s">
        <v>70</v>
      </c>
      <c r="AD301" s="70" t="s">
        <v>70</v>
      </c>
      <c r="AE301" s="70" t="s">
        <v>70</v>
      </c>
      <c r="AF301" s="70" t="s">
        <v>70</v>
      </c>
      <c r="AG301" s="33">
        <v>1302</v>
      </c>
      <c r="AH301" s="70" t="s">
        <v>70</v>
      </c>
      <c r="AI301" s="70" t="s">
        <v>70</v>
      </c>
      <c r="AJ301" s="70" t="s">
        <v>70</v>
      </c>
      <c r="AK301" s="70" t="s">
        <v>70</v>
      </c>
      <c r="AL301" s="70" t="s">
        <v>70</v>
      </c>
      <c r="AM301" s="61" t="s">
        <v>548</v>
      </c>
      <c r="AN301" s="26" t="s">
        <v>274</v>
      </c>
      <c r="AO301" s="26" t="s">
        <v>548</v>
      </c>
      <c r="AP301" s="26" t="s">
        <v>548</v>
      </c>
      <c r="AQ301" s="26" t="s">
        <v>548</v>
      </c>
      <c r="AR301" s="26" t="s">
        <v>548</v>
      </c>
      <c r="AS301" s="26" t="s">
        <v>175</v>
      </c>
      <c r="AT301" s="26" t="s">
        <v>70</v>
      </c>
      <c r="AU301" s="26" t="s">
        <v>70</v>
      </c>
      <c r="AV301" s="26">
        <v>8</v>
      </c>
    </row>
    <row r="302" spans="1:2089" ht="14" customHeight="1">
      <c r="A302" s="27">
        <v>301</v>
      </c>
      <c r="B302" s="27" t="s">
        <v>419</v>
      </c>
      <c r="C302" s="27">
        <v>1990</v>
      </c>
      <c r="D302" s="26" t="s">
        <v>57</v>
      </c>
      <c r="E302" s="26" t="s">
        <v>566</v>
      </c>
      <c r="F302" s="77" t="s">
        <v>175</v>
      </c>
      <c r="G302" s="2" t="s">
        <v>84</v>
      </c>
      <c r="H302" s="2" t="s">
        <v>24</v>
      </c>
      <c r="I302" s="2" t="s">
        <v>548</v>
      </c>
      <c r="J302" s="2" t="s">
        <v>605</v>
      </c>
      <c r="K302" s="2" t="s">
        <v>548</v>
      </c>
      <c r="L302" s="2" t="s">
        <v>548</v>
      </c>
      <c r="M302" s="2" t="s">
        <v>175</v>
      </c>
      <c r="N302" s="2" t="s">
        <v>210</v>
      </c>
      <c r="O302" s="2" t="s">
        <v>43</v>
      </c>
      <c r="P302" s="2" t="s">
        <v>210</v>
      </c>
      <c r="Q302" s="2" t="s">
        <v>42</v>
      </c>
      <c r="R302" s="79" t="s">
        <v>613</v>
      </c>
      <c r="S302" s="90">
        <f>47/T302</f>
        <v>0.51648351648351654</v>
      </c>
      <c r="T302" s="26">
        <v>91</v>
      </c>
      <c r="U302" s="77">
        <v>1</v>
      </c>
      <c r="V302" s="26">
        <v>1</v>
      </c>
      <c r="W302" s="26">
        <v>1</v>
      </c>
      <c r="X302" s="26">
        <v>1</v>
      </c>
      <c r="Y302" s="26">
        <v>1</v>
      </c>
      <c r="Z302" s="26">
        <v>1</v>
      </c>
      <c r="AA302" s="26">
        <v>0</v>
      </c>
      <c r="AB302" s="26">
        <v>1</v>
      </c>
      <c r="AC302" s="26" t="s">
        <v>70</v>
      </c>
      <c r="AD302" s="26" t="s">
        <v>70</v>
      </c>
      <c r="AE302" s="26" t="s">
        <v>70</v>
      </c>
      <c r="AF302" s="26" t="s">
        <v>70</v>
      </c>
      <c r="AG302" s="26" t="s">
        <v>70</v>
      </c>
      <c r="AH302" s="33">
        <v>91</v>
      </c>
      <c r="AI302" s="26" t="s">
        <v>70</v>
      </c>
      <c r="AJ302" s="26" t="s">
        <v>70</v>
      </c>
      <c r="AK302" s="26" t="s">
        <v>70</v>
      </c>
      <c r="AL302" s="26" t="s">
        <v>70</v>
      </c>
      <c r="AM302" s="35" t="s">
        <v>175</v>
      </c>
      <c r="AN302" s="32" t="s">
        <v>9</v>
      </c>
      <c r="AO302" s="35" t="s">
        <v>175</v>
      </c>
      <c r="AP302" s="35" t="s">
        <v>548</v>
      </c>
      <c r="AQ302" s="35" t="s">
        <v>548</v>
      </c>
      <c r="AR302" s="35" t="s">
        <v>548</v>
      </c>
      <c r="AS302" s="26" t="s">
        <v>175</v>
      </c>
      <c r="AT302" s="26" t="s">
        <v>70</v>
      </c>
      <c r="AU302" s="26" t="s">
        <v>70</v>
      </c>
      <c r="AV302" s="26">
        <v>10</v>
      </c>
    </row>
    <row r="303" spans="1:2089" ht="14" customHeight="1">
      <c r="A303" s="27">
        <v>302</v>
      </c>
      <c r="B303" s="27" t="s">
        <v>419</v>
      </c>
      <c r="C303" s="27">
        <v>1990</v>
      </c>
      <c r="D303" s="26" t="s">
        <v>57</v>
      </c>
      <c r="E303" s="26" t="s">
        <v>566</v>
      </c>
      <c r="F303" s="77" t="s">
        <v>175</v>
      </c>
      <c r="G303" s="2" t="s">
        <v>84</v>
      </c>
      <c r="H303" s="2" t="s">
        <v>24</v>
      </c>
      <c r="I303" s="2" t="s">
        <v>548</v>
      </c>
      <c r="J303" s="2" t="s">
        <v>605</v>
      </c>
      <c r="K303" s="2" t="s">
        <v>548</v>
      </c>
      <c r="L303" s="2" t="s">
        <v>548</v>
      </c>
      <c r="M303" s="2" t="s">
        <v>175</v>
      </c>
      <c r="N303" s="2" t="s">
        <v>62</v>
      </c>
      <c r="O303" s="2" t="s">
        <v>43</v>
      </c>
      <c r="P303" s="2" t="s">
        <v>62</v>
      </c>
      <c r="Q303" s="38" t="s">
        <v>247</v>
      </c>
      <c r="R303" s="79" t="s">
        <v>613</v>
      </c>
      <c r="S303" s="90">
        <f>23/T303</f>
        <v>0.74193548387096775</v>
      </c>
      <c r="T303" s="26">
        <v>31</v>
      </c>
      <c r="U303" s="77">
        <v>1</v>
      </c>
      <c r="V303" s="26">
        <v>1</v>
      </c>
      <c r="W303" s="26">
        <v>1</v>
      </c>
      <c r="X303" s="26">
        <v>1</v>
      </c>
      <c r="Y303" s="26">
        <v>1</v>
      </c>
      <c r="Z303" s="26">
        <v>1</v>
      </c>
      <c r="AA303" s="26">
        <v>0</v>
      </c>
      <c r="AB303" s="26">
        <v>1</v>
      </c>
      <c r="AC303" s="26" t="s">
        <v>70</v>
      </c>
      <c r="AD303" s="26" t="s">
        <v>70</v>
      </c>
      <c r="AE303" s="26" t="s">
        <v>70</v>
      </c>
      <c r="AF303" s="26" t="s">
        <v>70</v>
      </c>
      <c r="AG303" s="26" t="s">
        <v>70</v>
      </c>
      <c r="AH303" s="33">
        <v>62</v>
      </c>
      <c r="AI303" s="26" t="s">
        <v>70</v>
      </c>
      <c r="AJ303" s="26" t="s">
        <v>70</v>
      </c>
      <c r="AK303" s="26" t="s">
        <v>70</v>
      </c>
      <c r="AL303" s="26" t="s">
        <v>70</v>
      </c>
      <c r="AM303" s="35" t="s">
        <v>175</v>
      </c>
      <c r="AN303" s="32" t="s">
        <v>9</v>
      </c>
      <c r="AO303" s="35" t="s">
        <v>175</v>
      </c>
      <c r="AP303" s="35" t="s">
        <v>548</v>
      </c>
      <c r="AQ303" s="35" t="s">
        <v>548</v>
      </c>
      <c r="AR303" s="35" t="s">
        <v>548</v>
      </c>
      <c r="AS303" s="26" t="s">
        <v>175</v>
      </c>
      <c r="AT303" s="26" t="s">
        <v>70</v>
      </c>
      <c r="AU303" s="26" t="s">
        <v>70</v>
      </c>
      <c r="AV303" s="26">
        <v>10</v>
      </c>
    </row>
    <row r="304" spans="1:2089" ht="14" customHeight="1">
      <c r="A304" s="27">
        <v>303</v>
      </c>
      <c r="B304" s="27" t="s">
        <v>419</v>
      </c>
      <c r="C304" s="27">
        <v>1990</v>
      </c>
      <c r="D304" s="26" t="s">
        <v>57</v>
      </c>
      <c r="E304" s="26" t="s">
        <v>566</v>
      </c>
      <c r="F304" s="77" t="s">
        <v>175</v>
      </c>
      <c r="G304" s="2" t="s">
        <v>84</v>
      </c>
      <c r="H304" s="2" t="s">
        <v>24</v>
      </c>
      <c r="I304" s="2" t="s">
        <v>548</v>
      </c>
      <c r="J304" s="2" t="s">
        <v>605</v>
      </c>
      <c r="K304" s="2" t="s">
        <v>548</v>
      </c>
      <c r="L304" s="2" t="s">
        <v>548</v>
      </c>
      <c r="M304" s="2" t="s">
        <v>175</v>
      </c>
      <c r="N304" s="2" t="s">
        <v>210</v>
      </c>
      <c r="O304" s="2" t="s">
        <v>43</v>
      </c>
      <c r="P304" s="2" t="s">
        <v>618</v>
      </c>
      <c r="Q304" s="2" t="s">
        <v>42</v>
      </c>
      <c r="R304" s="79" t="s">
        <v>613</v>
      </c>
      <c r="S304" s="90">
        <v>0.74978260869565205</v>
      </c>
      <c r="T304" s="26">
        <v>184</v>
      </c>
      <c r="U304" s="77">
        <v>1</v>
      </c>
      <c r="V304" s="26">
        <v>1</v>
      </c>
      <c r="W304" s="26">
        <v>1</v>
      </c>
      <c r="X304" s="26">
        <v>1</v>
      </c>
      <c r="Y304" s="26">
        <v>1</v>
      </c>
      <c r="Z304" s="26">
        <v>1</v>
      </c>
      <c r="AA304" s="26">
        <v>0</v>
      </c>
      <c r="AB304" s="26">
        <v>1</v>
      </c>
      <c r="AC304" s="26" t="s">
        <v>70</v>
      </c>
      <c r="AD304" s="26" t="s">
        <v>70</v>
      </c>
      <c r="AE304" s="26" t="s">
        <v>70</v>
      </c>
      <c r="AF304" s="26" t="s">
        <v>70</v>
      </c>
      <c r="AG304" s="26" t="s">
        <v>70</v>
      </c>
      <c r="AH304" s="26" t="s">
        <v>70</v>
      </c>
      <c r="AI304" s="26" t="s">
        <v>70</v>
      </c>
      <c r="AJ304" s="26" t="s">
        <v>70</v>
      </c>
      <c r="AK304" s="26" t="s">
        <v>70</v>
      </c>
      <c r="AL304" s="26" t="s">
        <v>70</v>
      </c>
      <c r="AM304" s="35" t="s">
        <v>175</v>
      </c>
      <c r="AN304" s="32" t="s">
        <v>9</v>
      </c>
      <c r="AO304" s="35" t="s">
        <v>175</v>
      </c>
      <c r="AP304" s="35" t="s">
        <v>548</v>
      </c>
      <c r="AQ304" s="35" t="s">
        <v>548</v>
      </c>
      <c r="AR304" s="35" t="s">
        <v>548</v>
      </c>
      <c r="AS304" s="26" t="s">
        <v>175</v>
      </c>
      <c r="AT304" s="26" t="s">
        <v>70</v>
      </c>
      <c r="AU304" s="26" t="s">
        <v>70</v>
      </c>
      <c r="AV304" s="26">
        <v>10</v>
      </c>
    </row>
    <row r="305" spans="1:2089" ht="14" customHeight="1">
      <c r="A305" s="27">
        <v>304</v>
      </c>
      <c r="B305" s="27" t="s">
        <v>419</v>
      </c>
      <c r="C305" s="27">
        <v>1990</v>
      </c>
      <c r="D305" s="26" t="s">
        <v>57</v>
      </c>
      <c r="E305" s="26" t="s">
        <v>566</v>
      </c>
      <c r="F305" s="77" t="s">
        <v>175</v>
      </c>
      <c r="G305" s="2" t="s">
        <v>84</v>
      </c>
      <c r="H305" s="2" t="s">
        <v>24</v>
      </c>
      <c r="I305" s="2" t="s">
        <v>548</v>
      </c>
      <c r="J305" s="2" t="s">
        <v>605</v>
      </c>
      <c r="K305" s="2" t="s">
        <v>548</v>
      </c>
      <c r="L305" s="2" t="s">
        <v>548</v>
      </c>
      <c r="M305" s="2" t="s">
        <v>175</v>
      </c>
      <c r="N305" s="2" t="s">
        <v>62</v>
      </c>
      <c r="O305" s="2" t="s">
        <v>43</v>
      </c>
      <c r="P305" s="2" t="s">
        <v>621</v>
      </c>
      <c r="Q305" s="2" t="s">
        <v>42</v>
      </c>
      <c r="R305" s="79" t="s">
        <v>613</v>
      </c>
      <c r="S305" s="90">
        <v>0.7534042553191489</v>
      </c>
      <c r="T305" s="26">
        <v>94</v>
      </c>
      <c r="U305" s="77">
        <v>1</v>
      </c>
      <c r="V305" s="26">
        <v>1</v>
      </c>
      <c r="W305" s="26">
        <v>1</v>
      </c>
      <c r="X305" s="26">
        <v>1</v>
      </c>
      <c r="Y305" s="26">
        <v>1</v>
      </c>
      <c r="Z305" s="26">
        <v>1</v>
      </c>
      <c r="AA305" s="26">
        <v>0</v>
      </c>
      <c r="AB305" s="26">
        <v>1</v>
      </c>
      <c r="AC305" s="26" t="s">
        <v>70</v>
      </c>
      <c r="AD305" s="26" t="s">
        <v>70</v>
      </c>
      <c r="AE305" s="26" t="s">
        <v>70</v>
      </c>
      <c r="AF305" s="26" t="s">
        <v>70</v>
      </c>
      <c r="AG305" s="26" t="s">
        <v>70</v>
      </c>
      <c r="AH305" s="26" t="s">
        <v>70</v>
      </c>
      <c r="AI305" s="26" t="s">
        <v>70</v>
      </c>
      <c r="AJ305" s="26" t="s">
        <v>70</v>
      </c>
      <c r="AK305" s="26" t="s">
        <v>70</v>
      </c>
      <c r="AL305" s="26" t="s">
        <v>70</v>
      </c>
      <c r="AM305" s="35" t="s">
        <v>175</v>
      </c>
      <c r="AN305" s="32" t="s">
        <v>9</v>
      </c>
      <c r="AO305" s="35" t="s">
        <v>175</v>
      </c>
      <c r="AP305" s="35" t="s">
        <v>548</v>
      </c>
      <c r="AQ305" s="35" t="s">
        <v>548</v>
      </c>
      <c r="AR305" s="35" t="s">
        <v>548</v>
      </c>
      <c r="AS305" s="26" t="s">
        <v>175</v>
      </c>
      <c r="AT305" s="26" t="s">
        <v>70</v>
      </c>
      <c r="AU305" s="26" t="s">
        <v>70</v>
      </c>
      <c r="AV305" s="26">
        <v>10</v>
      </c>
    </row>
    <row r="306" spans="1:2089" ht="14" customHeight="1">
      <c r="A306" s="27">
        <v>305</v>
      </c>
      <c r="B306" s="27" t="s">
        <v>419</v>
      </c>
      <c r="C306" s="27">
        <v>1990</v>
      </c>
      <c r="D306" s="26" t="s">
        <v>57</v>
      </c>
      <c r="E306" s="26" t="s">
        <v>566</v>
      </c>
      <c r="F306" s="77" t="s">
        <v>175</v>
      </c>
      <c r="G306" s="2" t="s">
        <v>84</v>
      </c>
      <c r="H306" s="2" t="s">
        <v>24</v>
      </c>
      <c r="I306" s="2" t="s">
        <v>548</v>
      </c>
      <c r="J306" s="2" t="s">
        <v>605</v>
      </c>
      <c r="K306" s="2" t="s">
        <v>548</v>
      </c>
      <c r="L306" s="2" t="s">
        <v>548</v>
      </c>
      <c r="M306" s="2" t="s">
        <v>175</v>
      </c>
      <c r="N306" s="2" t="s">
        <v>51</v>
      </c>
      <c r="O306" s="2" t="s">
        <v>43</v>
      </c>
      <c r="P306" s="2" t="s">
        <v>622</v>
      </c>
      <c r="Q306" s="2" t="s">
        <v>42</v>
      </c>
      <c r="R306" s="79" t="s">
        <v>613</v>
      </c>
      <c r="S306" s="90">
        <v>0.83593201133144479</v>
      </c>
      <c r="T306" s="26">
        <v>1765</v>
      </c>
      <c r="U306" s="77">
        <v>1</v>
      </c>
      <c r="V306" s="26">
        <v>1</v>
      </c>
      <c r="W306" s="26">
        <v>1</v>
      </c>
      <c r="X306" s="26">
        <v>1</v>
      </c>
      <c r="Y306" s="26">
        <v>1</v>
      </c>
      <c r="Z306" s="26">
        <v>1</v>
      </c>
      <c r="AA306" s="26">
        <v>0</v>
      </c>
      <c r="AB306" s="26">
        <v>1</v>
      </c>
      <c r="AC306" s="26" t="s">
        <v>70</v>
      </c>
      <c r="AD306" s="26" t="s">
        <v>70</v>
      </c>
      <c r="AE306" s="26" t="s">
        <v>70</v>
      </c>
      <c r="AF306" s="26" t="s">
        <v>70</v>
      </c>
      <c r="AG306" s="26" t="s">
        <v>70</v>
      </c>
      <c r="AH306" s="26" t="s">
        <v>70</v>
      </c>
      <c r="AI306" s="26" t="s">
        <v>70</v>
      </c>
      <c r="AJ306" s="26" t="s">
        <v>70</v>
      </c>
      <c r="AK306" s="26" t="s">
        <v>70</v>
      </c>
      <c r="AL306" s="26" t="s">
        <v>70</v>
      </c>
      <c r="AM306" s="35" t="s">
        <v>175</v>
      </c>
      <c r="AN306" s="32" t="s">
        <v>9</v>
      </c>
      <c r="AO306" s="35" t="s">
        <v>175</v>
      </c>
      <c r="AP306" s="35" t="s">
        <v>548</v>
      </c>
      <c r="AQ306" s="35" t="s">
        <v>548</v>
      </c>
      <c r="AR306" s="35" t="s">
        <v>548</v>
      </c>
      <c r="AS306" s="26" t="s">
        <v>175</v>
      </c>
      <c r="AT306" s="26" t="s">
        <v>70</v>
      </c>
      <c r="AU306" s="26" t="s">
        <v>70</v>
      </c>
      <c r="AV306" s="26">
        <v>10</v>
      </c>
    </row>
    <row r="307" spans="1:2089" ht="14" customHeight="1">
      <c r="A307" s="27">
        <v>306</v>
      </c>
      <c r="B307" s="27" t="s">
        <v>419</v>
      </c>
      <c r="C307" s="27">
        <v>1990</v>
      </c>
      <c r="D307" s="26" t="s">
        <v>57</v>
      </c>
      <c r="E307" s="26" t="s">
        <v>566</v>
      </c>
      <c r="F307" s="77" t="s">
        <v>175</v>
      </c>
      <c r="G307" s="2" t="s">
        <v>84</v>
      </c>
      <c r="H307" s="2" t="s">
        <v>24</v>
      </c>
      <c r="I307" s="2" t="s">
        <v>548</v>
      </c>
      <c r="J307" s="2" t="s">
        <v>605</v>
      </c>
      <c r="K307" s="2" t="s">
        <v>548</v>
      </c>
      <c r="L307" s="2" t="s">
        <v>548</v>
      </c>
      <c r="M307" s="2" t="s">
        <v>175</v>
      </c>
      <c r="N307" s="2" t="s">
        <v>51</v>
      </c>
      <c r="O307" s="2" t="s">
        <v>43</v>
      </c>
      <c r="P307" s="2" t="s">
        <v>51</v>
      </c>
      <c r="Q307" s="2" t="s">
        <v>42</v>
      </c>
      <c r="R307" s="79" t="s">
        <v>613</v>
      </c>
      <c r="S307" s="90">
        <f>753/T307</f>
        <v>0.95195954487989887</v>
      </c>
      <c r="T307" s="26">
        <v>791</v>
      </c>
      <c r="U307" s="77">
        <v>1</v>
      </c>
      <c r="V307" s="26">
        <v>1</v>
      </c>
      <c r="W307" s="26">
        <v>1</v>
      </c>
      <c r="X307" s="26">
        <v>1</v>
      </c>
      <c r="Y307" s="26">
        <v>1</v>
      </c>
      <c r="Z307" s="26">
        <v>1</v>
      </c>
      <c r="AA307" s="26">
        <v>0</v>
      </c>
      <c r="AB307" s="26">
        <v>1</v>
      </c>
      <c r="AC307" s="26" t="s">
        <v>70</v>
      </c>
      <c r="AD307" s="26" t="s">
        <v>70</v>
      </c>
      <c r="AE307" s="26" t="s">
        <v>70</v>
      </c>
      <c r="AF307" s="26" t="s">
        <v>70</v>
      </c>
      <c r="AG307" s="26" t="s">
        <v>70</v>
      </c>
      <c r="AH307" s="33">
        <v>93</v>
      </c>
      <c r="AI307" s="26" t="s">
        <v>70</v>
      </c>
      <c r="AJ307" s="26" t="s">
        <v>70</v>
      </c>
      <c r="AK307" s="26" t="s">
        <v>70</v>
      </c>
      <c r="AL307" s="26" t="s">
        <v>70</v>
      </c>
      <c r="AM307" s="35" t="s">
        <v>175</v>
      </c>
      <c r="AN307" s="32" t="s">
        <v>9</v>
      </c>
      <c r="AO307" s="35" t="s">
        <v>175</v>
      </c>
      <c r="AP307" s="35" t="s">
        <v>548</v>
      </c>
      <c r="AQ307" s="35" t="s">
        <v>548</v>
      </c>
      <c r="AR307" s="35" t="s">
        <v>548</v>
      </c>
      <c r="AS307" s="26" t="s">
        <v>175</v>
      </c>
      <c r="AT307" s="26" t="s">
        <v>70</v>
      </c>
      <c r="AU307" s="26" t="s">
        <v>70</v>
      </c>
      <c r="AV307" s="26">
        <v>10</v>
      </c>
    </row>
    <row r="308" spans="1:2089" ht="14" customHeight="1">
      <c r="A308" s="27">
        <v>307</v>
      </c>
      <c r="B308" s="27" t="s">
        <v>420</v>
      </c>
      <c r="C308" s="26">
        <v>2003</v>
      </c>
      <c r="D308" s="26" t="s">
        <v>58</v>
      </c>
      <c r="E308" s="26" t="s">
        <v>566</v>
      </c>
      <c r="F308" s="2" t="s">
        <v>175</v>
      </c>
      <c r="G308" s="2" t="s">
        <v>147</v>
      </c>
      <c r="H308" s="2" t="s">
        <v>30</v>
      </c>
      <c r="I308" s="2" t="s">
        <v>548</v>
      </c>
      <c r="J308" s="2" t="s">
        <v>604</v>
      </c>
      <c r="K308" s="2" t="s">
        <v>548</v>
      </c>
      <c r="L308" s="2" t="s">
        <v>548</v>
      </c>
      <c r="M308" s="2" t="s">
        <v>548</v>
      </c>
      <c r="N308" s="2" t="s">
        <v>70</v>
      </c>
      <c r="O308" s="2" t="s">
        <v>209</v>
      </c>
      <c r="P308" s="2" t="s">
        <v>612</v>
      </c>
      <c r="Q308" s="2" t="s">
        <v>42</v>
      </c>
      <c r="R308" s="79" t="s">
        <v>613</v>
      </c>
      <c r="S308" s="88">
        <v>0.67</v>
      </c>
      <c r="T308" s="61">
        <v>51</v>
      </c>
      <c r="U308" s="2">
        <v>1</v>
      </c>
      <c r="V308" s="26">
        <v>0</v>
      </c>
      <c r="W308" s="26">
        <v>1</v>
      </c>
      <c r="X308" s="26">
        <v>0</v>
      </c>
      <c r="Y308" s="26">
        <v>1</v>
      </c>
      <c r="Z308" s="26">
        <v>1</v>
      </c>
      <c r="AA308" s="26">
        <v>0</v>
      </c>
      <c r="AB308" s="26">
        <v>0</v>
      </c>
      <c r="AC308" s="70" t="s">
        <v>70</v>
      </c>
      <c r="AD308" s="70" t="s">
        <v>70</v>
      </c>
      <c r="AE308" s="70" t="s">
        <v>70</v>
      </c>
      <c r="AF308" s="70" t="s">
        <v>70</v>
      </c>
      <c r="AG308" s="70" t="s">
        <v>70</v>
      </c>
      <c r="AH308" s="70" t="s">
        <v>70</v>
      </c>
      <c r="AI308" s="70" t="s">
        <v>70</v>
      </c>
      <c r="AJ308" s="70" t="s">
        <v>70</v>
      </c>
      <c r="AK308" s="70" t="s">
        <v>70</v>
      </c>
      <c r="AL308" s="70" t="s">
        <v>70</v>
      </c>
      <c r="AM308" s="61" t="s">
        <v>548</v>
      </c>
      <c r="AN308" s="32" t="s">
        <v>274</v>
      </c>
      <c r="AO308" s="26" t="s">
        <v>548</v>
      </c>
      <c r="AP308" s="26" t="s">
        <v>548</v>
      </c>
      <c r="AQ308" s="26" t="s">
        <v>548</v>
      </c>
      <c r="AR308" s="26" t="s">
        <v>548</v>
      </c>
      <c r="AS308" s="26" t="s">
        <v>175</v>
      </c>
      <c r="AT308" s="26" t="s">
        <v>70</v>
      </c>
      <c r="AU308" s="26" t="s">
        <v>70</v>
      </c>
      <c r="AV308" s="26">
        <v>5</v>
      </c>
    </row>
    <row r="309" spans="1:2089" ht="14" customHeight="1">
      <c r="A309" s="27">
        <v>308</v>
      </c>
      <c r="B309" s="27" t="s">
        <v>421</v>
      </c>
      <c r="C309" s="27">
        <v>2006</v>
      </c>
      <c r="D309" s="26" t="s">
        <v>69</v>
      </c>
      <c r="E309" s="26" t="s">
        <v>565</v>
      </c>
      <c r="F309" s="77" t="s">
        <v>175</v>
      </c>
      <c r="G309" s="2" t="s">
        <v>106</v>
      </c>
      <c r="H309" s="2" t="s">
        <v>275</v>
      </c>
      <c r="I309" s="2" t="s">
        <v>548</v>
      </c>
      <c r="J309" s="2" t="s">
        <v>603</v>
      </c>
      <c r="K309" s="2" t="s">
        <v>548</v>
      </c>
      <c r="L309" s="2" t="s">
        <v>548</v>
      </c>
      <c r="M309" s="2" t="s">
        <v>175</v>
      </c>
      <c r="N309" s="2" t="s">
        <v>62</v>
      </c>
      <c r="O309" s="2" t="s">
        <v>43</v>
      </c>
      <c r="P309" s="2" t="s">
        <v>62</v>
      </c>
      <c r="Q309" s="26" t="s">
        <v>606</v>
      </c>
      <c r="R309" s="79" t="s">
        <v>613</v>
      </c>
      <c r="S309" s="2">
        <f>(17+19+24+74)/T309</f>
        <v>2.2255439295798041E-2</v>
      </c>
      <c r="T309" s="26">
        <f>1028+1510+1732+1751</f>
        <v>6021</v>
      </c>
      <c r="U309" s="77">
        <v>1</v>
      </c>
      <c r="V309" s="26">
        <v>1</v>
      </c>
      <c r="W309" s="26">
        <v>1</v>
      </c>
      <c r="X309" s="26">
        <v>1</v>
      </c>
      <c r="Y309" s="26">
        <v>1</v>
      </c>
      <c r="Z309" s="26">
        <v>1</v>
      </c>
      <c r="AA309" s="26">
        <v>1</v>
      </c>
      <c r="AB309" s="26">
        <v>1</v>
      </c>
      <c r="AC309" s="26" t="s">
        <v>70</v>
      </c>
      <c r="AD309" s="26" t="s">
        <v>70</v>
      </c>
      <c r="AE309" s="26" t="s">
        <v>70</v>
      </c>
      <c r="AF309" s="26" t="s">
        <v>70</v>
      </c>
      <c r="AG309" s="26" t="s">
        <v>70</v>
      </c>
      <c r="AH309" s="26" t="s">
        <v>70</v>
      </c>
      <c r="AI309" s="26" t="s">
        <v>70</v>
      </c>
      <c r="AJ309" s="26" t="s">
        <v>70</v>
      </c>
      <c r="AK309" s="26" t="s">
        <v>70</v>
      </c>
      <c r="AL309" s="26" t="s">
        <v>70</v>
      </c>
      <c r="AM309" s="35" t="s">
        <v>175</v>
      </c>
      <c r="AN309" s="32" t="s">
        <v>9</v>
      </c>
      <c r="AO309" s="35" t="s">
        <v>175</v>
      </c>
      <c r="AP309" s="26" t="s">
        <v>548</v>
      </c>
      <c r="AQ309" s="26" t="s">
        <v>548</v>
      </c>
      <c r="AR309" s="26" t="s">
        <v>548</v>
      </c>
      <c r="AS309" s="26" t="s">
        <v>175</v>
      </c>
      <c r="AT309" s="26" t="s">
        <v>70</v>
      </c>
      <c r="AU309" s="26" t="s">
        <v>70</v>
      </c>
      <c r="AV309" s="26">
        <v>11</v>
      </c>
    </row>
    <row r="310" spans="1:2089" ht="14" customHeight="1">
      <c r="A310" s="27">
        <v>309</v>
      </c>
      <c r="B310" s="27" t="s">
        <v>578</v>
      </c>
      <c r="C310" s="27">
        <v>2011</v>
      </c>
      <c r="D310" s="26" t="s">
        <v>63</v>
      </c>
      <c r="E310" s="26" t="s">
        <v>565</v>
      </c>
      <c r="F310" s="77" t="s">
        <v>175</v>
      </c>
      <c r="G310" s="2" t="s">
        <v>106</v>
      </c>
      <c r="H310" s="2" t="s">
        <v>275</v>
      </c>
      <c r="I310" s="2" t="s">
        <v>175</v>
      </c>
      <c r="J310" s="2" t="s">
        <v>603</v>
      </c>
      <c r="K310" s="2" t="s">
        <v>175</v>
      </c>
      <c r="L310" s="2" t="s">
        <v>175</v>
      </c>
      <c r="M310" s="2" t="s">
        <v>175</v>
      </c>
      <c r="N310" s="2" t="s">
        <v>209</v>
      </c>
      <c r="O310" s="2" t="s">
        <v>209</v>
      </c>
      <c r="P310" s="2" t="s">
        <v>620</v>
      </c>
      <c r="Q310" s="2" t="s">
        <v>42</v>
      </c>
      <c r="R310" s="102" t="s">
        <v>614</v>
      </c>
      <c r="S310" s="88">
        <v>0.80952380000000002</v>
      </c>
      <c r="T310" s="61">
        <v>252</v>
      </c>
      <c r="U310" s="77">
        <v>1</v>
      </c>
      <c r="V310" s="26">
        <v>0</v>
      </c>
      <c r="W310" s="26">
        <v>1</v>
      </c>
      <c r="X310" s="26">
        <v>1</v>
      </c>
      <c r="Y310" s="26">
        <v>1</v>
      </c>
      <c r="Z310" s="26">
        <v>0</v>
      </c>
      <c r="AA310" s="26">
        <v>0</v>
      </c>
      <c r="AB310" s="26">
        <v>0</v>
      </c>
      <c r="AC310" s="26" t="s">
        <v>70</v>
      </c>
      <c r="AD310" s="26" t="s">
        <v>70</v>
      </c>
      <c r="AE310" s="26" t="s">
        <v>70</v>
      </c>
      <c r="AF310" s="26" t="s">
        <v>70</v>
      </c>
      <c r="AG310" s="26" t="s">
        <v>70</v>
      </c>
      <c r="AH310" s="26" t="s">
        <v>70</v>
      </c>
      <c r="AI310" s="26" t="s">
        <v>70</v>
      </c>
      <c r="AJ310" s="26" t="s">
        <v>70</v>
      </c>
      <c r="AK310" s="26" t="s">
        <v>70</v>
      </c>
      <c r="AL310" s="26" t="s">
        <v>70</v>
      </c>
      <c r="AM310" s="61" t="s">
        <v>175</v>
      </c>
      <c r="AN310" s="32" t="s">
        <v>9</v>
      </c>
      <c r="AO310" s="35" t="s">
        <v>175</v>
      </c>
      <c r="AP310" s="35" t="s">
        <v>548</v>
      </c>
      <c r="AQ310" s="35" t="s">
        <v>548</v>
      </c>
      <c r="AR310" s="35" t="s">
        <v>548</v>
      </c>
      <c r="AS310" s="26" t="s">
        <v>175</v>
      </c>
      <c r="AT310" s="26" t="s">
        <v>70</v>
      </c>
      <c r="AU310" s="26" t="s">
        <v>70</v>
      </c>
      <c r="AV310" s="26">
        <v>10</v>
      </c>
    </row>
    <row r="311" spans="1:2089" ht="14" customHeight="1">
      <c r="A311" s="27">
        <v>310</v>
      </c>
      <c r="B311" s="27" t="s">
        <v>578</v>
      </c>
      <c r="C311" s="27">
        <v>2011</v>
      </c>
      <c r="D311" s="26" t="s">
        <v>63</v>
      </c>
      <c r="E311" s="26" t="s">
        <v>565</v>
      </c>
      <c r="F311" s="77" t="s">
        <v>175</v>
      </c>
      <c r="G311" s="2" t="s">
        <v>106</v>
      </c>
      <c r="H311" s="2" t="s">
        <v>275</v>
      </c>
      <c r="I311" s="2" t="s">
        <v>175</v>
      </c>
      <c r="J311" s="2" t="s">
        <v>603</v>
      </c>
      <c r="K311" s="2" t="s">
        <v>175</v>
      </c>
      <c r="L311" s="2" t="s">
        <v>175</v>
      </c>
      <c r="M311" s="2" t="s">
        <v>175</v>
      </c>
      <c r="N311" s="2" t="s">
        <v>62</v>
      </c>
      <c r="O311" s="2" t="s">
        <v>43</v>
      </c>
      <c r="P311" s="2" t="s">
        <v>621</v>
      </c>
      <c r="Q311" s="26" t="s">
        <v>275</v>
      </c>
      <c r="R311" s="102" t="s">
        <v>614</v>
      </c>
      <c r="S311" s="88">
        <v>0.3889242</v>
      </c>
      <c r="T311" s="61">
        <v>2392</v>
      </c>
      <c r="U311" s="77">
        <v>1</v>
      </c>
      <c r="V311" s="26">
        <v>0</v>
      </c>
      <c r="W311" s="26">
        <v>1</v>
      </c>
      <c r="X311" s="26">
        <v>1</v>
      </c>
      <c r="Y311" s="26">
        <v>1</v>
      </c>
      <c r="Z311" s="26">
        <v>0</v>
      </c>
      <c r="AA311" s="26">
        <v>0</v>
      </c>
      <c r="AB311" s="26">
        <v>0</v>
      </c>
      <c r="AC311" s="26" t="s">
        <v>70</v>
      </c>
      <c r="AD311" s="26" t="s">
        <v>70</v>
      </c>
      <c r="AE311" s="26" t="s">
        <v>70</v>
      </c>
      <c r="AF311" s="26" t="s">
        <v>70</v>
      </c>
      <c r="AG311" s="26" t="s">
        <v>70</v>
      </c>
      <c r="AH311" s="26" t="s">
        <v>70</v>
      </c>
      <c r="AI311" s="26" t="s">
        <v>70</v>
      </c>
      <c r="AJ311" s="26" t="s">
        <v>70</v>
      </c>
      <c r="AK311" s="26" t="s">
        <v>70</v>
      </c>
      <c r="AL311" s="26" t="s">
        <v>70</v>
      </c>
      <c r="AM311" s="61" t="s">
        <v>175</v>
      </c>
      <c r="AN311" s="32" t="s">
        <v>9</v>
      </c>
      <c r="AO311" s="35" t="s">
        <v>175</v>
      </c>
      <c r="AP311" s="35" t="s">
        <v>548</v>
      </c>
      <c r="AQ311" s="35" t="s">
        <v>548</v>
      </c>
      <c r="AR311" s="35" t="s">
        <v>548</v>
      </c>
      <c r="AS311" s="26" t="s">
        <v>175</v>
      </c>
      <c r="AT311" s="26" t="s">
        <v>70</v>
      </c>
      <c r="AU311" s="26" t="s">
        <v>70</v>
      </c>
      <c r="AV311" s="26">
        <v>10</v>
      </c>
    </row>
    <row r="312" spans="1:2089" ht="14" customHeight="1">
      <c r="A312" s="27">
        <v>311</v>
      </c>
      <c r="B312" s="27" t="s">
        <v>578</v>
      </c>
      <c r="C312" s="27">
        <v>2011</v>
      </c>
      <c r="D312" s="26" t="s">
        <v>63</v>
      </c>
      <c r="E312" s="26" t="s">
        <v>565</v>
      </c>
      <c r="F312" s="77" t="s">
        <v>175</v>
      </c>
      <c r="G312" s="2" t="s">
        <v>106</v>
      </c>
      <c r="H312" s="2" t="s">
        <v>275</v>
      </c>
      <c r="I312" s="2" t="s">
        <v>175</v>
      </c>
      <c r="J312" s="2" t="s">
        <v>603</v>
      </c>
      <c r="K312" s="2" t="s">
        <v>175</v>
      </c>
      <c r="L312" s="2" t="s">
        <v>175</v>
      </c>
      <c r="M312" s="2" t="s">
        <v>175</v>
      </c>
      <c r="N312" s="2" t="s">
        <v>60</v>
      </c>
      <c r="O312" s="2" t="s">
        <v>60</v>
      </c>
      <c r="P312" s="81" t="s">
        <v>624</v>
      </c>
      <c r="Q312" s="2" t="s">
        <v>42</v>
      </c>
      <c r="R312" s="102" t="s">
        <v>614</v>
      </c>
      <c r="S312" s="88">
        <v>8.1079999999999999E-2</v>
      </c>
      <c r="T312" s="61">
        <v>176</v>
      </c>
      <c r="U312" s="77">
        <v>1</v>
      </c>
      <c r="V312" s="26">
        <v>0</v>
      </c>
      <c r="W312" s="26">
        <v>1</v>
      </c>
      <c r="X312" s="26">
        <v>1</v>
      </c>
      <c r="Y312" s="26">
        <v>1</v>
      </c>
      <c r="Z312" s="26">
        <v>0</v>
      </c>
      <c r="AA312" s="26">
        <v>0</v>
      </c>
      <c r="AB312" s="26">
        <v>0</v>
      </c>
      <c r="AC312" s="26" t="s">
        <v>70</v>
      </c>
      <c r="AD312" s="26" t="s">
        <v>70</v>
      </c>
      <c r="AE312" s="26" t="s">
        <v>70</v>
      </c>
      <c r="AF312" s="26" t="s">
        <v>70</v>
      </c>
      <c r="AG312" s="26" t="s">
        <v>70</v>
      </c>
      <c r="AH312" s="26" t="s">
        <v>70</v>
      </c>
      <c r="AI312" s="26" t="s">
        <v>70</v>
      </c>
      <c r="AJ312" s="26" t="s">
        <v>70</v>
      </c>
      <c r="AK312" s="26" t="s">
        <v>70</v>
      </c>
      <c r="AL312" s="26" t="s">
        <v>70</v>
      </c>
      <c r="AM312" s="61" t="s">
        <v>175</v>
      </c>
      <c r="AN312" s="32" t="s">
        <v>9</v>
      </c>
      <c r="AO312" s="35" t="s">
        <v>175</v>
      </c>
      <c r="AP312" s="35" t="s">
        <v>548</v>
      </c>
      <c r="AQ312" s="35" t="s">
        <v>548</v>
      </c>
      <c r="AR312" s="35" t="s">
        <v>548</v>
      </c>
      <c r="AS312" s="26" t="s">
        <v>175</v>
      </c>
      <c r="AT312" s="26" t="s">
        <v>70</v>
      </c>
      <c r="AU312" s="26" t="s">
        <v>70</v>
      </c>
      <c r="AV312" s="26">
        <v>10</v>
      </c>
    </row>
    <row r="313" spans="1:2089" ht="14" customHeight="1">
      <c r="A313" s="27">
        <v>312</v>
      </c>
      <c r="B313" s="27" t="s">
        <v>552</v>
      </c>
      <c r="C313" s="27">
        <v>2011</v>
      </c>
      <c r="D313" s="26" t="s">
        <v>160</v>
      </c>
      <c r="E313" s="26" t="s">
        <v>565</v>
      </c>
      <c r="F313" s="77" t="s">
        <v>175</v>
      </c>
      <c r="G313" s="2" t="s">
        <v>147</v>
      </c>
      <c r="H313" s="2" t="s">
        <v>24</v>
      </c>
      <c r="I313" s="2" t="s">
        <v>548</v>
      </c>
      <c r="J313" s="2" t="s">
        <v>604</v>
      </c>
      <c r="K313" s="2" t="s">
        <v>548</v>
      </c>
      <c r="L313" s="2" t="s">
        <v>548</v>
      </c>
      <c r="M313" s="2" t="s">
        <v>175</v>
      </c>
      <c r="N313" s="2" t="s">
        <v>62</v>
      </c>
      <c r="O313" s="2" t="s">
        <v>43</v>
      </c>
      <c r="P313" s="2" t="s">
        <v>62</v>
      </c>
      <c r="Q313" s="26" t="s">
        <v>606</v>
      </c>
      <c r="R313" s="79" t="s">
        <v>613</v>
      </c>
      <c r="S313" s="88">
        <v>0</v>
      </c>
      <c r="T313" s="61">
        <v>40</v>
      </c>
      <c r="U313" s="77">
        <v>1</v>
      </c>
      <c r="V313" s="26">
        <v>1</v>
      </c>
      <c r="W313" s="26">
        <v>1</v>
      </c>
      <c r="X313" s="26">
        <v>1</v>
      </c>
      <c r="Y313" s="26">
        <v>1</v>
      </c>
      <c r="Z313" s="26">
        <v>0</v>
      </c>
      <c r="AA313" s="26">
        <v>0</v>
      </c>
      <c r="AB313" s="26">
        <v>0</v>
      </c>
      <c r="AC313" s="26" t="s">
        <v>70</v>
      </c>
      <c r="AD313" s="26" t="s">
        <v>70</v>
      </c>
      <c r="AE313" s="26" t="s">
        <v>70</v>
      </c>
      <c r="AF313" s="26" t="s">
        <v>70</v>
      </c>
      <c r="AG313" s="26" t="s">
        <v>70</v>
      </c>
      <c r="AH313" s="26" t="s">
        <v>70</v>
      </c>
      <c r="AI313" s="26" t="s">
        <v>70</v>
      </c>
      <c r="AJ313" s="26" t="s">
        <v>70</v>
      </c>
      <c r="AK313" s="26" t="s">
        <v>70</v>
      </c>
      <c r="AL313" s="26" t="s">
        <v>70</v>
      </c>
      <c r="AM313" s="26" t="s">
        <v>175</v>
      </c>
      <c r="AN313" s="32" t="s">
        <v>9</v>
      </c>
      <c r="AO313" s="35" t="s">
        <v>548</v>
      </c>
      <c r="AP313" s="35" t="s">
        <v>548</v>
      </c>
      <c r="AQ313" s="35" t="s">
        <v>548</v>
      </c>
      <c r="AR313" s="35" t="s">
        <v>548</v>
      </c>
      <c r="AS313" s="26" t="s">
        <v>175</v>
      </c>
      <c r="AT313" s="26" t="s">
        <v>70</v>
      </c>
      <c r="AU313" s="26" t="s">
        <v>70</v>
      </c>
      <c r="AV313" s="26">
        <v>8</v>
      </c>
    </row>
    <row r="314" spans="1:2089" ht="14" customHeight="1">
      <c r="A314" s="27">
        <v>313</v>
      </c>
      <c r="B314" s="27" t="s">
        <v>422</v>
      </c>
      <c r="C314" s="27">
        <v>2013</v>
      </c>
      <c r="D314" s="26" t="s">
        <v>160</v>
      </c>
      <c r="E314" s="26" t="s">
        <v>565</v>
      </c>
      <c r="F314" s="77" t="s">
        <v>175</v>
      </c>
      <c r="G314" s="2" t="s">
        <v>84</v>
      </c>
      <c r="H314" s="2" t="s">
        <v>30</v>
      </c>
      <c r="I314" s="2" t="s">
        <v>548</v>
      </c>
      <c r="J314" s="2" t="s">
        <v>604</v>
      </c>
      <c r="K314" s="2" t="s">
        <v>548</v>
      </c>
      <c r="L314" s="2" t="s">
        <v>548</v>
      </c>
      <c r="M314" s="2" t="s">
        <v>175</v>
      </c>
      <c r="N314" s="2" t="s">
        <v>48</v>
      </c>
      <c r="O314" s="2" t="s">
        <v>209</v>
      </c>
      <c r="P314" s="2" t="s">
        <v>48</v>
      </c>
      <c r="Q314" s="2" t="s">
        <v>42</v>
      </c>
      <c r="R314" s="79" t="s">
        <v>613</v>
      </c>
      <c r="S314" s="2">
        <v>0</v>
      </c>
      <c r="T314" s="26">
        <v>21</v>
      </c>
      <c r="U314" s="77">
        <v>1</v>
      </c>
      <c r="V314" s="26">
        <v>0</v>
      </c>
      <c r="W314" s="26">
        <v>0</v>
      </c>
      <c r="X314" s="26">
        <v>1</v>
      </c>
      <c r="Y314" s="26">
        <v>0</v>
      </c>
      <c r="Z314" s="26">
        <v>0</v>
      </c>
      <c r="AA314" s="26">
        <v>0</v>
      </c>
      <c r="AB314" s="26">
        <v>0</v>
      </c>
      <c r="AC314" s="26" t="s">
        <v>70</v>
      </c>
      <c r="AD314" s="26" t="s">
        <v>70</v>
      </c>
      <c r="AE314" s="26" t="s">
        <v>70</v>
      </c>
      <c r="AF314" s="26" t="s">
        <v>70</v>
      </c>
      <c r="AG314" s="26" t="s">
        <v>70</v>
      </c>
      <c r="AH314" s="26" t="s">
        <v>70</v>
      </c>
      <c r="AI314" s="26" t="s">
        <v>70</v>
      </c>
      <c r="AJ314" s="26" t="s">
        <v>70</v>
      </c>
      <c r="AK314" s="26" t="s">
        <v>70</v>
      </c>
      <c r="AL314" s="26" t="s">
        <v>70</v>
      </c>
      <c r="AM314" s="35" t="s">
        <v>548</v>
      </c>
      <c r="AN314" s="26" t="s">
        <v>274</v>
      </c>
      <c r="AO314" s="35" t="s">
        <v>548</v>
      </c>
      <c r="AP314" s="35" t="s">
        <v>548</v>
      </c>
      <c r="AQ314" s="35" t="s">
        <v>548</v>
      </c>
      <c r="AR314" s="35" t="s">
        <v>548</v>
      </c>
      <c r="AS314" s="26" t="s">
        <v>175</v>
      </c>
      <c r="AT314" s="26" t="s">
        <v>70</v>
      </c>
      <c r="AU314" s="26" t="s">
        <v>70</v>
      </c>
      <c r="AV314" s="26">
        <v>4</v>
      </c>
    </row>
    <row r="315" spans="1:2089" ht="14" customHeight="1">
      <c r="A315" s="27">
        <v>314</v>
      </c>
      <c r="B315" s="27" t="s">
        <v>423</v>
      </c>
      <c r="C315" s="28">
        <v>1991</v>
      </c>
      <c r="D315" s="26" t="s">
        <v>161</v>
      </c>
      <c r="E315" s="26" t="s">
        <v>566</v>
      </c>
      <c r="F315" s="2" t="s">
        <v>175</v>
      </c>
      <c r="G315" s="2" t="s">
        <v>108</v>
      </c>
      <c r="H315" s="2" t="s">
        <v>30</v>
      </c>
      <c r="I315" s="2" t="s">
        <v>175</v>
      </c>
      <c r="J315" s="2" t="s">
        <v>603</v>
      </c>
      <c r="K315" s="2" t="s">
        <v>175</v>
      </c>
      <c r="L315" s="2" t="s">
        <v>175</v>
      </c>
      <c r="M315" s="2" t="s">
        <v>175</v>
      </c>
      <c r="N315" s="2" t="s">
        <v>210</v>
      </c>
      <c r="O315" s="2" t="s">
        <v>43</v>
      </c>
      <c r="P315" s="2" t="s">
        <v>210</v>
      </c>
      <c r="Q315" s="2" t="s">
        <v>42</v>
      </c>
      <c r="R315" s="102" t="s">
        <v>614</v>
      </c>
      <c r="S315" s="88">
        <f>(751-77)/751</f>
        <v>0.89747003994673769</v>
      </c>
      <c r="T315" s="61">
        <v>751</v>
      </c>
      <c r="U315" s="2">
        <v>1</v>
      </c>
      <c r="V315" s="26">
        <v>0</v>
      </c>
      <c r="W315" s="26">
        <v>1</v>
      </c>
      <c r="X315" s="26">
        <v>1</v>
      </c>
      <c r="Y315" s="26">
        <v>1</v>
      </c>
      <c r="Z315" s="26">
        <v>1</v>
      </c>
      <c r="AA315" s="26">
        <v>0</v>
      </c>
      <c r="AB315" s="26">
        <v>0</v>
      </c>
      <c r="AC315" s="26">
        <v>0.77</v>
      </c>
      <c r="AD315" s="26">
        <v>0.11</v>
      </c>
      <c r="AE315" s="26">
        <v>0.05</v>
      </c>
      <c r="AF315" s="26">
        <v>7.0000000000000007E-2</v>
      </c>
      <c r="AG315" s="70" t="s">
        <v>70</v>
      </c>
      <c r="AH315" s="70" t="s">
        <v>70</v>
      </c>
      <c r="AI315" s="70" t="s">
        <v>70</v>
      </c>
      <c r="AJ315" s="70" t="s">
        <v>70</v>
      </c>
      <c r="AK315" s="70" t="s">
        <v>70</v>
      </c>
      <c r="AL315" s="70" t="s">
        <v>70</v>
      </c>
      <c r="AM315" s="61" t="s">
        <v>175</v>
      </c>
      <c r="AN315" s="32" t="s">
        <v>9</v>
      </c>
      <c r="AO315" s="26" t="s">
        <v>175</v>
      </c>
      <c r="AP315" s="26" t="s">
        <v>548</v>
      </c>
      <c r="AQ315" s="26" t="s">
        <v>548</v>
      </c>
      <c r="AR315" s="26" t="s">
        <v>548</v>
      </c>
      <c r="AS315" s="26" t="s">
        <v>175</v>
      </c>
      <c r="AT315" s="26" t="s">
        <v>70</v>
      </c>
      <c r="AU315" s="26" t="s">
        <v>70</v>
      </c>
      <c r="AV315" s="26">
        <v>11</v>
      </c>
    </row>
    <row r="316" spans="1:2089" ht="14" customHeight="1">
      <c r="A316" s="27">
        <v>315</v>
      </c>
      <c r="B316" s="27" t="s">
        <v>423</v>
      </c>
      <c r="C316" s="28">
        <v>1991</v>
      </c>
      <c r="D316" s="26" t="s">
        <v>161</v>
      </c>
      <c r="E316" s="26" t="s">
        <v>566</v>
      </c>
      <c r="F316" s="2" t="s">
        <v>175</v>
      </c>
      <c r="G316" s="2" t="s">
        <v>108</v>
      </c>
      <c r="H316" s="2" t="s">
        <v>30</v>
      </c>
      <c r="I316" s="2" t="s">
        <v>175</v>
      </c>
      <c r="J316" s="2" t="s">
        <v>603</v>
      </c>
      <c r="K316" s="2" t="s">
        <v>175</v>
      </c>
      <c r="L316" s="2" t="s">
        <v>175</v>
      </c>
      <c r="M316" s="2" t="s">
        <v>175</v>
      </c>
      <c r="N316" s="2" t="s">
        <v>70</v>
      </c>
      <c r="O316" s="2" t="s">
        <v>209</v>
      </c>
      <c r="P316" s="2" t="s">
        <v>611</v>
      </c>
      <c r="Q316" s="2" t="s">
        <v>42</v>
      </c>
      <c r="R316" s="102" t="s">
        <v>614</v>
      </c>
      <c r="S316" s="88">
        <f>(123-13)/123</f>
        <v>0.89430894308943087</v>
      </c>
      <c r="T316" s="61">
        <v>123</v>
      </c>
      <c r="U316" s="2">
        <v>1</v>
      </c>
      <c r="V316" s="26">
        <v>0</v>
      </c>
      <c r="W316" s="26">
        <v>1</v>
      </c>
      <c r="X316" s="26">
        <v>1</v>
      </c>
      <c r="Y316" s="26">
        <v>1</v>
      </c>
      <c r="Z316" s="26">
        <v>1</v>
      </c>
      <c r="AA316" s="26">
        <v>0</v>
      </c>
      <c r="AB316" s="26">
        <v>0</v>
      </c>
      <c r="AC316" s="26">
        <v>0.13</v>
      </c>
      <c r="AD316" s="26">
        <v>0.14000000000000001</v>
      </c>
      <c r="AE316" s="26">
        <v>0.2</v>
      </c>
      <c r="AF316" s="26">
        <v>0.53</v>
      </c>
      <c r="AG316" s="70" t="s">
        <v>70</v>
      </c>
      <c r="AH316" s="70" t="s">
        <v>70</v>
      </c>
      <c r="AI316" s="70" t="s">
        <v>70</v>
      </c>
      <c r="AJ316" s="70" t="s">
        <v>70</v>
      </c>
      <c r="AK316" s="70" t="s">
        <v>70</v>
      </c>
      <c r="AL316" s="70" t="s">
        <v>70</v>
      </c>
      <c r="AM316" s="61" t="s">
        <v>175</v>
      </c>
      <c r="AN316" s="32" t="s">
        <v>9</v>
      </c>
      <c r="AO316" s="26" t="s">
        <v>175</v>
      </c>
      <c r="AP316" s="26" t="s">
        <v>548</v>
      </c>
      <c r="AQ316" s="26" t="s">
        <v>548</v>
      </c>
      <c r="AR316" s="26" t="s">
        <v>548</v>
      </c>
      <c r="AS316" s="26" t="s">
        <v>175</v>
      </c>
      <c r="AT316" s="26" t="s">
        <v>70</v>
      </c>
      <c r="AU316" s="26" t="s">
        <v>70</v>
      </c>
      <c r="AV316" s="26">
        <v>11</v>
      </c>
    </row>
    <row r="317" spans="1:2089" ht="14" customHeight="1">
      <c r="A317" s="27">
        <v>316</v>
      </c>
      <c r="B317" s="27" t="s">
        <v>423</v>
      </c>
      <c r="C317" s="28">
        <v>1991</v>
      </c>
      <c r="D317" s="26" t="s">
        <v>161</v>
      </c>
      <c r="E317" s="26" t="s">
        <v>566</v>
      </c>
      <c r="F317" s="2" t="s">
        <v>175</v>
      </c>
      <c r="G317" s="2" t="s">
        <v>108</v>
      </c>
      <c r="H317" s="2" t="s">
        <v>30</v>
      </c>
      <c r="I317" s="2" t="s">
        <v>175</v>
      </c>
      <c r="J317" s="2" t="s">
        <v>603</v>
      </c>
      <c r="K317" s="2" t="s">
        <v>175</v>
      </c>
      <c r="L317" s="2" t="s">
        <v>175</v>
      </c>
      <c r="M317" s="2" t="s">
        <v>175</v>
      </c>
      <c r="N317" s="2" t="s">
        <v>70</v>
      </c>
      <c r="O317" s="2" t="s">
        <v>209</v>
      </c>
      <c r="P317" s="2" t="s">
        <v>612</v>
      </c>
      <c r="Q317" s="2" t="s">
        <v>42</v>
      </c>
      <c r="R317" s="102" t="s">
        <v>614</v>
      </c>
      <c r="S317" s="88">
        <f>(52-19)/52</f>
        <v>0.63461538461538458</v>
      </c>
      <c r="T317" s="61">
        <v>52</v>
      </c>
      <c r="U317" s="2">
        <v>1</v>
      </c>
      <c r="V317" s="26">
        <v>0</v>
      </c>
      <c r="W317" s="26">
        <v>1</v>
      </c>
      <c r="X317" s="26">
        <v>1</v>
      </c>
      <c r="Y317" s="26">
        <v>1</v>
      </c>
      <c r="Z317" s="26">
        <v>1</v>
      </c>
      <c r="AA317" s="26">
        <v>0</v>
      </c>
      <c r="AB317" s="26">
        <v>0</v>
      </c>
      <c r="AC317" s="26">
        <v>0.19</v>
      </c>
      <c r="AD317" s="26">
        <v>0.21</v>
      </c>
      <c r="AE317" s="26">
        <v>0.21</v>
      </c>
      <c r="AF317" s="26">
        <v>0.39</v>
      </c>
      <c r="AG317" s="70" t="s">
        <v>70</v>
      </c>
      <c r="AH317" s="70" t="s">
        <v>70</v>
      </c>
      <c r="AI317" s="70" t="s">
        <v>70</v>
      </c>
      <c r="AJ317" s="70" t="s">
        <v>70</v>
      </c>
      <c r="AK317" s="70" t="s">
        <v>70</v>
      </c>
      <c r="AL317" s="70" t="s">
        <v>70</v>
      </c>
      <c r="AM317" s="61" t="s">
        <v>175</v>
      </c>
      <c r="AN317" s="32" t="s">
        <v>9</v>
      </c>
      <c r="AO317" s="26" t="s">
        <v>175</v>
      </c>
      <c r="AP317" s="26" t="s">
        <v>548</v>
      </c>
      <c r="AQ317" s="26" t="s">
        <v>548</v>
      </c>
      <c r="AR317" s="26" t="s">
        <v>548</v>
      </c>
      <c r="AS317" s="26" t="s">
        <v>175</v>
      </c>
      <c r="AT317" s="26" t="s">
        <v>70</v>
      </c>
      <c r="AU317" s="26" t="s">
        <v>70</v>
      </c>
      <c r="AV317" s="26">
        <v>11</v>
      </c>
    </row>
    <row r="318" spans="1:2089" s="56" customFormat="1" ht="14" customHeight="1">
      <c r="A318" s="27">
        <v>317</v>
      </c>
      <c r="B318" s="27" t="s">
        <v>423</v>
      </c>
      <c r="C318" s="28">
        <v>1991</v>
      </c>
      <c r="D318" s="26" t="s">
        <v>161</v>
      </c>
      <c r="E318" s="26" t="s">
        <v>566</v>
      </c>
      <c r="F318" s="2" t="s">
        <v>175</v>
      </c>
      <c r="G318" s="2" t="s">
        <v>108</v>
      </c>
      <c r="H318" s="2" t="s">
        <v>30</v>
      </c>
      <c r="I318" s="2" t="s">
        <v>175</v>
      </c>
      <c r="J318" s="2" t="s">
        <v>603</v>
      </c>
      <c r="K318" s="2" t="s">
        <v>175</v>
      </c>
      <c r="L318" s="2" t="s">
        <v>175</v>
      </c>
      <c r="M318" s="2" t="s">
        <v>175</v>
      </c>
      <c r="N318" s="2" t="s">
        <v>609</v>
      </c>
      <c r="O318" s="2" t="s">
        <v>60</v>
      </c>
      <c r="P318" s="2" t="s">
        <v>609</v>
      </c>
      <c r="Q318" s="2" t="s">
        <v>42</v>
      </c>
      <c r="R318" s="102" t="s">
        <v>614</v>
      </c>
      <c r="S318" s="88">
        <v>0.97699999999999998</v>
      </c>
      <c r="T318" s="61">
        <v>131</v>
      </c>
      <c r="U318" s="2">
        <v>1</v>
      </c>
      <c r="V318" s="26">
        <v>0</v>
      </c>
      <c r="W318" s="26">
        <v>1</v>
      </c>
      <c r="X318" s="26">
        <v>1</v>
      </c>
      <c r="Y318" s="26">
        <v>1</v>
      </c>
      <c r="Z318" s="26">
        <v>1</v>
      </c>
      <c r="AA318" s="26">
        <v>0</v>
      </c>
      <c r="AB318" s="26">
        <v>0</v>
      </c>
      <c r="AC318" s="26">
        <v>0.03</v>
      </c>
      <c r="AD318" s="26">
        <v>0.14000000000000001</v>
      </c>
      <c r="AE318" s="26">
        <v>0.4</v>
      </c>
      <c r="AF318" s="26">
        <v>0.43</v>
      </c>
      <c r="AG318" s="70" t="s">
        <v>70</v>
      </c>
      <c r="AH318" s="70" t="s">
        <v>70</v>
      </c>
      <c r="AI318" s="70" t="s">
        <v>70</v>
      </c>
      <c r="AJ318" s="70" t="s">
        <v>70</v>
      </c>
      <c r="AK318" s="70" t="s">
        <v>70</v>
      </c>
      <c r="AL318" s="70" t="s">
        <v>70</v>
      </c>
      <c r="AM318" s="61" t="s">
        <v>175</v>
      </c>
      <c r="AN318" s="32" t="s">
        <v>9</v>
      </c>
      <c r="AO318" s="26" t="s">
        <v>175</v>
      </c>
      <c r="AP318" s="26" t="s">
        <v>548</v>
      </c>
      <c r="AQ318" s="26" t="s">
        <v>548</v>
      </c>
      <c r="AR318" s="26" t="s">
        <v>548</v>
      </c>
      <c r="AS318" s="26" t="s">
        <v>175</v>
      </c>
      <c r="AT318" s="26" t="s">
        <v>70</v>
      </c>
      <c r="AU318" s="26" t="s">
        <v>70</v>
      </c>
      <c r="AV318" s="26">
        <v>11</v>
      </c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  <c r="GR318" s="26"/>
      <c r="GS318" s="26"/>
      <c r="GT318" s="26"/>
      <c r="GU318" s="26"/>
      <c r="GV318" s="26"/>
      <c r="GW318" s="26"/>
      <c r="GX318" s="26"/>
      <c r="GY318" s="26"/>
      <c r="GZ318" s="26"/>
      <c r="HA318" s="26"/>
      <c r="HB318" s="26"/>
      <c r="HC318" s="26"/>
      <c r="HD318" s="26"/>
      <c r="HE318" s="26"/>
      <c r="HF318" s="26"/>
      <c r="HG318" s="26"/>
      <c r="HH318" s="26"/>
      <c r="HI318" s="26"/>
      <c r="HJ318" s="26"/>
      <c r="HK318" s="26"/>
      <c r="HL318" s="26"/>
      <c r="HM318" s="26"/>
      <c r="HN318" s="26"/>
      <c r="HO318" s="26"/>
      <c r="HP318" s="26"/>
      <c r="HQ318" s="26"/>
      <c r="HR318" s="26"/>
      <c r="HS318" s="26"/>
      <c r="HT318" s="26"/>
      <c r="HU318" s="26"/>
      <c r="HV318" s="26"/>
      <c r="HW318" s="26"/>
      <c r="HX318" s="26"/>
      <c r="HY318" s="26"/>
      <c r="HZ318" s="26"/>
      <c r="IA318" s="26"/>
      <c r="IB318" s="26"/>
      <c r="IC318" s="26"/>
      <c r="ID318" s="26"/>
      <c r="IE318" s="26"/>
      <c r="IF318" s="26"/>
      <c r="IG318" s="26"/>
      <c r="IH318" s="26"/>
      <c r="II318" s="26"/>
      <c r="IJ318" s="26"/>
      <c r="IK318" s="26"/>
      <c r="IL318" s="26"/>
      <c r="IM318" s="26"/>
      <c r="IN318" s="26"/>
      <c r="IO318" s="26"/>
      <c r="IP318" s="26"/>
      <c r="IQ318" s="26"/>
      <c r="IR318" s="26"/>
      <c r="IS318" s="26"/>
      <c r="IT318" s="26"/>
      <c r="IU318" s="26"/>
      <c r="IV318" s="26"/>
      <c r="IW318" s="26"/>
      <c r="IX318" s="26"/>
      <c r="IY318" s="26"/>
      <c r="IZ318" s="26"/>
      <c r="JA318" s="26"/>
      <c r="JB318" s="26"/>
      <c r="JC318" s="26"/>
      <c r="JD318" s="26"/>
      <c r="JE318" s="26"/>
      <c r="JF318" s="26"/>
      <c r="JG318" s="26"/>
      <c r="JH318" s="26"/>
      <c r="JI318" s="26"/>
      <c r="JJ318" s="26"/>
      <c r="JK318" s="26"/>
      <c r="JL318" s="26"/>
      <c r="JM318" s="26"/>
      <c r="JN318" s="26"/>
      <c r="JO318" s="26"/>
      <c r="JP318" s="26"/>
      <c r="JQ318" s="26"/>
      <c r="JR318" s="26"/>
      <c r="JS318" s="26"/>
      <c r="JT318" s="26"/>
      <c r="JU318" s="26"/>
      <c r="JV318" s="26"/>
      <c r="JW318" s="26"/>
      <c r="JX318" s="26"/>
      <c r="JY318" s="26"/>
      <c r="JZ318" s="26"/>
      <c r="KA318" s="26"/>
      <c r="KB318" s="26"/>
      <c r="KC318" s="26"/>
      <c r="KD318" s="26"/>
      <c r="KE318" s="26"/>
      <c r="KF318" s="26"/>
      <c r="KG318" s="26"/>
      <c r="KH318" s="26"/>
      <c r="KI318" s="26"/>
      <c r="KJ318" s="26"/>
      <c r="KK318" s="26"/>
      <c r="KL318" s="26"/>
      <c r="KM318" s="26"/>
      <c r="KN318" s="26"/>
      <c r="KO318" s="26"/>
      <c r="KP318" s="26"/>
      <c r="KQ318" s="26"/>
      <c r="KR318" s="26"/>
      <c r="KS318" s="26"/>
      <c r="KT318" s="26"/>
      <c r="KU318" s="26"/>
      <c r="KV318" s="26"/>
      <c r="KW318" s="26"/>
      <c r="KX318" s="26"/>
      <c r="KY318" s="26"/>
      <c r="KZ318" s="26"/>
      <c r="LA318" s="26"/>
      <c r="LB318" s="26"/>
      <c r="LC318" s="26"/>
      <c r="LD318" s="26"/>
      <c r="LE318" s="26"/>
      <c r="LF318" s="26"/>
      <c r="LG318" s="26"/>
      <c r="LH318" s="26"/>
      <c r="LI318" s="26"/>
      <c r="LJ318" s="26"/>
      <c r="LK318" s="26"/>
      <c r="LL318" s="26"/>
      <c r="LM318" s="26"/>
      <c r="LN318" s="26"/>
      <c r="LO318" s="26"/>
      <c r="LP318" s="26"/>
      <c r="LQ318" s="26"/>
      <c r="LR318" s="26"/>
      <c r="LS318" s="26"/>
      <c r="LT318" s="26"/>
      <c r="LU318" s="26"/>
      <c r="LV318" s="26"/>
      <c r="LW318" s="26"/>
      <c r="LX318" s="26"/>
      <c r="LY318" s="26"/>
      <c r="LZ318" s="26"/>
      <c r="MA318" s="26"/>
      <c r="MB318" s="26"/>
      <c r="MC318" s="26"/>
      <c r="MD318" s="26"/>
      <c r="ME318" s="26"/>
      <c r="MF318" s="26"/>
      <c r="MG318" s="26"/>
      <c r="MH318" s="26"/>
      <c r="MI318" s="26"/>
      <c r="MJ318" s="26"/>
      <c r="MK318" s="26"/>
      <c r="ML318" s="26"/>
      <c r="MM318" s="26"/>
      <c r="MN318" s="26"/>
      <c r="MO318" s="26"/>
      <c r="MP318" s="26"/>
      <c r="MQ318" s="26"/>
      <c r="MR318" s="26"/>
      <c r="MS318" s="26"/>
      <c r="MT318" s="26"/>
      <c r="MU318" s="26"/>
      <c r="MV318" s="26"/>
      <c r="MW318" s="26"/>
      <c r="MX318" s="26"/>
      <c r="MY318" s="26"/>
      <c r="MZ318" s="26"/>
      <c r="NA318" s="26"/>
      <c r="NB318" s="26"/>
      <c r="NC318" s="26"/>
      <c r="ND318" s="26"/>
      <c r="NE318" s="26"/>
      <c r="NF318" s="26"/>
      <c r="NG318" s="26"/>
      <c r="NH318" s="26"/>
      <c r="NI318" s="26"/>
      <c r="NJ318" s="26"/>
      <c r="NK318" s="26"/>
      <c r="NL318" s="26"/>
      <c r="NM318" s="26"/>
      <c r="NN318" s="26"/>
      <c r="NO318" s="26"/>
      <c r="NP318" s="26"/>
      <c r="NQ318" s="26"/>
      <c r="NR318" s="26"/>
      <c r="NS318" s="26"/>
      <c r="NT318" s="26"/>
      <c r="NU318" s="26"/>
      <c r="NV318" s="26"/>
      <c r="NW318" s="26"/>
      <c r="NX318" s="26"/>
      <c r="NY318" s="26"/>
      <c r="NZ318" s="26"/>
      <c r="OA318" s="26"/>
      <c r="OB318" s="26"/>
      <c r="OC318" s="26"/>
      <c r="OD318" s="26"/>
      <c r="OE318" s="26"/>
      <c r="OF318" s="26"/>
      <c r="OG318" s="26"/>
      <c r="OH318" s="26"/>
      <c r="OI318" s="26"/>
      <c r="OJ318" s="26"/>
      <c r="OK318" s="26"/>
      <c r="OL318" s="26"/>
      <c r="OM318" s="26"/>
      <c r="ON318" s="26"/>
      <c r="OO318" s="26"/>
      <c r="OP318" s="26"/>
      <c r="OQ318" s="26"/>
      <c r="OR318" s="26"/>
      <c r="OS318" s="26"/>
      <c r="OT318" s="26"/>
      <c r="OU318" s="26"/>
      <c r="OV318" s="26"/>
      <c r="OW318" s="26"/>
      <c r="OX318" s="26"/>
      <c r="OY318" s="26"/>
      <c r="OZ318" s="26"/>
      <c r="PA318" s="26"/>
      <c r="PB318" s="26"/>
      <c r="PC318" s="26"/>
      <c r="PD318" s="26"/>
      <c r="PE318" s="26"/>
      <c r="PF318" s="26"/>
      <c r="PG318" s="26"/>
      <c r="PH318" s="26"/>
      <c r="PI318" s="26"/>
      <c r="PJ318" s="26"/>
      <c r="PK318" s="26"/>
      <c r="PL318" s="26"/>
      <c r="PM318" s="26"/>
      <c r="PN318" s="26"/>
      <c r="PO318" s="26"/>
      <c r="PP318" s="26"/>
      <c r="PQ318" s="26"/>
      <c r="PR318" s="26"/>
      <c r="PS318" s="26"/>
      <c r="PT318" s="26"/>
      <c r="PU318" s="26"/>
      <c r="PV318" s="26"/>
      <c r="PW318" s="26"/>
      <c r="PX318" s="26"/>
      <c r="PY318" s="26"/>
      <c r="PZ318" s="26"/>
      <c r="QA318" s="26"/>
      <c r="QB318" s="26"/>
      <c r="QC318" s="26"/>
      <c r="QD318" s="26"/>
      <c r="QE318" s="26"/>
      <c r="QF318" s="26"/>
      <c r="QG318" s="26"/>
      <c r="QH318" s="26"/>
      <c r="QI318" s="26"/>
      <c r="QJ318" s="26"/>
      <c r="QK318" s="26"/>
      <c r="QL318" s="26"/>
      <c r="QM318" s="26"/>
      <c r="QN318" s="26"/>
      <c r="QO318" s="26"/>
      <c r="QP318" s="26"/>
      <c r="QQ318" s="26"/>
      <c r="QR318" s="26"/>
      <c r="QS318" s="26"/>
      <c r="QT318" s="26"/>
      <c r="QU318" s="26"/>
      <c r="QV318" s="26"/>
      <c r="QW318" s="26"/>
      <c r="QX318" s="26"/>
      <c r="QY318" s="26"/>
      <c r="QZ318" s="26"/>
      <c r="RA318" s="26"/>
      <c r="RB318" s="26"/>
      <c r="RC318" s="26"/>
      <c r="RD318" s="26"/>
      <c r="RE318" s="26"/>
      <c r="RF318" s="26"/>
      <c r="RG318" s="26"/>
      <c r="RH318" s="26"/>
      <c r="RI318" s="26"/>
      <c r="RJ318" s="26"/>
      <c r="RK318" s="26"/>
      <c r="RL318" s="26"/>
      <c r="RM318" s="26"/>
      <c r="RN318" s="26"/>
      <c r="RO318" s="26"/>
      <c r="RP318" s="26"/>
      <c r="RQ318" s="26"/>
      <c r="RR318" s="26"/>
      <c r="RS318" s="26"/>
      <c r="RT318" s="26"/>
      <c r="RU318" s="26"/>
      <c r="RV318" s="26"/>
      <c r="RW318" s="26"/>
      <c r="RX318" s="26"/>
      <c r="RY318" s="26"/>
      <c r="RZ318" s="26"/>
      <c r="SA318" s="26"/>
      <c r="SB318" s="26"/>
      <c r="SC318" s="26"/>
      <c r="SD318" s="26"/>
      <c r="SE318" s="26"/>
      <c r="SF318" s="26"/>
      <c r="SG318" s="26"/>
      <c r="SH318" s="26"/>
      <c r="SI318" s="26"/>
      <c r="SJ318" s="26"/>
      <c r="SK318" s="26"/>
      <c r="SL318" s="26"/>
      <c r="SM318" s="26"/>
      <c r="SN318" s="26"/>
      <c r="SO318" s="26"/>
      <c r="SP318" s="26"/>
      <c r="SQ318" s="26"/>
      <c r="SR318" s="26"/>
      <c r="SS318" s="26"/>
      <c r="ST318" s="26"/>
      <c r="SU318" s="26"/>
      <c r="SV318" s="26"/>
      <c r="SW318" s="26"/>
      <c r="SX318" s="26"/>
      <c r="SY318" s="26"/>
      <c r="SZ318" s="26"/>
      <c r="TA318" s="26"/>
      <c r="TB318" s="26"/>
      <c r="TC318" s="26"/>
      <c r="TD318" s="26"/>
      <c r="TE318" s="26"/>
      <c r="TF318" s="26"/>
      <c r="TG318" s="26"/>
      <c r="TH318" s="26"/>
      <c r="TI318" s="26"/>
      <c r="TJ318" s="26"/>
      <c r="TK318" s="26"/>
      <c r="TL318" s="26"/>
      <c r="TM318" s="26"/>
      <c r="TN318" s="26"/>
      <c r="TO318" s="26"/>
      <c r="TP318" s="26"/>
      <c r="TQ318" s="26"/>
      <c r="TR318" s="26"/>
      <c r="TS318" s="26"/>
      <c r="TT318" s="26"/>
      <c r="TU318" s="26"/>
      <c r="TV318" s="26"/>
      <c r="TW318" s="26"/>
      <c r="TX318" s="26"/>
      <c r="TY318" s="26"/>
      <c r="TZ318" s="26"/>
      <c r="UA318" s="26"/>
      <c r="UB318" s="26"/>
      <c r="UC318" s="26"/>
      <c r="UD318" s="26"/>
      <c r="UE318" s="26"/>
      <c r="UF318" s="26"/>
      <c r="UG318" s="26"/>
      <c r="UH318" s="26"/>
      <c r="UI318" s="26"/>
      <c r="UJ318" s="26"/>
      <c r="UK318" s="26"/>
      <c r="UL318" s="26"/>
      <c r="UM318" s="26"/>
      <c r="UN318" s="26"/>
      <c r="UO318" s="26"/>
      <c r="UP318" s="26"/>
      <c r="UQ318" s="26"/>
      <c r="UR318" s="26"/>
      <c r="US318" s="26"/>
      <c r="UT318" s="26"/>
      <c r="UU318" s="26"/>
      <c r="UV318" s="26"/>
      <c r="UW318" s="26"/>
      <c r="UX318" s="26"/>
      <c r="UY318" s="26"/>
      <c r="UZ318" s="26"/>
      <c r="VA318" s="26"/>
      <c r="VB318" s="26"/>
      <c r="VC318" s="26"/>
      <c r="VD318" s="26"/>
      <c r="VE318" s="26"/>
      <c r="VF318" s="26"/>
      <c r="VG318" s="26"/>
      <c r="VH318" s="26"/>
      <c r="VI318" s="26"/>
      <c r="VJ318" s="26"/>
      <c r="VK318" s="26"/>
      <c r="VL318" s="26"/>
      <c r="VM318" s="26"/>
      <c r="VN318" s="26"/>
      <c r="VO318" s="26"/>
      <c r="VP318" s="26"/>
      <c r="VQ318" s="26"/>
      <c r="VR318" s="26"/>
      <c r="VS318" s="26"/>
      <c r="VT318" s="26"/>
      <c r="VU318" s="26"/>
      <c r="VV318" s="26"/>
      <c r="VW318" s="26"/>
      <c r="VX318" s="26"/>
      <c r="VY318" s="26"/>
      <c r="VZ318" s="26"/>
      <c r="WA318" s="26"/>
      <c r="WB318" s="26"/>
      <c r="WC318" s="26"/>
      <c r="WD318" s="26"/>
      <c r="WE318" s="26"/>
      <c r="WF318" s="26"/>
      <c r="WG318" s="26"/>
      <c r="WH318" s="26"/>
      <c r="WI318" s="26"/>
      <c r="WJ318" s="26"/>
      <c r="WK318" s="26"/>
      <c r="WL318" s="26"/>
      <c r="WM318" s="26"/>
      <c r="WN318" s="26"/>
      <c r="WO318" s="26"/>
      <c r="WP318" s="26"/>
      <c r="WQ318" s="26"/>
      <c r="WR318" s="26"/>
      <c r="WS318" s="26"/>
      <c r="WT318" s="26"/>
      <c r="WU318" s="26"/>
      <c r="WV318" s="26"/>
      <c r="WW318" s="26"/>
      <c r="WX318" s="26"/>
      <c r="WY318" s="26"/>
      <c r="WZ318" s="26"/>
      <c r="XA318" s="26"/>
      <c r="XB318" s="26"/>
      <c r="XC318" s="26"/>
      <c r="XD318" s="26"/>
      <c r="XE318" s="26"/>
      <c r="XF318" s="26"/>
      <c r="XG318" s="26"/>
      <c r="XH318" s="26"/>
      <c r="XI318" s="26"/>
      <c r="XJ318" s="26"/>
      <c r="XK318" s="26"/>
      <c r="XL318" s="26"/>
      <c r="XM318" s="26"/>
      <c r="XN318" s="26"/>
      <c r="XO318" s="26"/>
      <c r="XP318" s="26"/>
      <c r="XQ318" s="26"/>
      <c r="XR318" s="26"/>
      <c r="XS318" s="26"/>
      <c r="XT318" s="26"/>
      <c r="XU318" s="26"/>
      <c r="XV318" s="26"/>
      <c r="XW318" s="26"/>
      <c r="XX318" s="26"/>
      <c r="XY318" s="26"/>
      <c r="XZ318" s="26"/>
      <c r="YA318" s="26"/>
      <c r="YB318" s="26"/>
      <c r="YC318" s="26"/>
      <c r="YD318" s="26"/>
      <c r="YE318" s="26"/>
      <c r="YF318" s="26"/>
      <c r="YG318" s="26"/>
      <c r="YH318" s="26"/>
      <c r="YI318" s="26"/>
      <c r="YJ318" s="26"/>
      <c r="YK318" s="26"/>
      <c r="YL318" s="26"/>
      <c r="YM318" s="26"/>
      <c r="YN318" s="26"/>
      <c r="YO318" s="26"/>
      <c r="YP318" s="26"/>
      <c r="YQ318" s="26"/>
      <c r="YR318" s="26"/>
      <c r="YS318" s="26"/>
      <c r="YT318" s="26"/>
      <c r="YU318" s="26"/>
      <c r="YV318" s="26"/>
      <c r="YW318" s="26"/>
      <c r="YX318" s="26"/>
      <c r="YY318" s="26"/>
      <c r="YZ318" s="26"/>
      <c r="ZA318" s="26"/>
      <c r="ZB318" s="26"/>
      <c r="ZC318" s="26"/>
      <c r="ZD318" s="26"/>
      <c r="ZE318" s="26"/>
      <c r="ZF318" s="26"/>
      <c r="ZG318" s="26"/>
      <c r="ZH318" s="26"/>
      <c r="ZI318" s="26"/>
      <c r="ZJ318" s="26"/>
      <c r="ZK318" s="26"/>
      <c r="ZL318" s="26"/>
      <c r="ZM318" s="26"/>
      <c r="ZN318" s="26"/>
      <c r="ZO318" s="26"/>
      <c r="ZP318" s="26"/>
      <c r="ZQ318" s="26"/>
      <c r="ZR318" s="26"/>
      <c r="ZS318" s="26"/>
      <c r="ZT318" s="26"/>
      <c r="ZU318" s="26"/>
      <c r="ZV318" s="26"/>
      <c r="ZW318" s="26"/>
      <c r="ZX318" s="26"/>
      <c r="ZY318" s="26"/>
      <c r="ZZ318" s="26"/>
      <c r="AAA318" s="26"/>
      <c r="AAB318" s="26"/>
      <c r="AAC318" s="26"/>
      <c r="AAD318" s="26"/>
      <c r="AAE318" s="26"/>
      <c r="AAF318" s="26"/>
      <c r="AAG318" s="26"/>
      <c r="AAH318" s="26"/>
      <c r="AAI318" s="26"/>
      <c r="AAJ318" s="26"/>
      <c r="AAK318" s="26"/>
      <c r="AAL318" s="26"/>
      <c r="AAM318" s="26"/>
      <c r="AAN318" s="26"/>
      <c r="AAO318" s="26"/>
      <c r="AAP318" s="26"/>
      <c r="AAQ318" s="26"/>
      <c r="AAR318" s="26"/>
      <c r="AAS318" s="26"/>
      <c r="AAT318" s="26"/>
      <c r="AAU318" s="26"/>
      <c r="AAV318" s="26"/>
      <c r="AAW318" s="26"/>
      <c r="AAX318" s="26"/>
      <c r="AAY318" s="26"/>
      <c r="AAZ318" s="26"/>
      <c r="ABA318" s="26"/>
      <c r="ABB318" s="26"/>
      <c r="ABC318" s="26"/>
      <c r="ABD318" s="26"/>
      <c r="ABE318" s="26"/>
      <c r="ABF318" s="26"/>
      <c r="ABG318" s="26"/>
      <c r="ABH318" s="26"/>
      <c r="ABI318" s="26"/>
      <c r="ABJ318" s="26"/>
      <c r="ABK318" s="26"/>
      <c r="ABL318" s="26"/>
      <c r="ABM318" s="26"/>
      <c r="ABN318" s="26"/>
      <c r="ABO318" s="26"/>
      <c r="ABP318" s="26"/>
      <c r="ABQ318" s="26"/>
      <c r="ABR318" s="26"/>
      <c r="ABS318" s="26"/>
      <c r="ABT318" s="26"/>
      <c r="ABU318" s="26"/>
      <c r="ABV318" s="26"/>
      <c r="ABW318" s="26"/>
      <c r="ABX318" s="26"/>
      <c r="ABY318" s="26"/>
      <c r="ABZ318" s="26"/>
      <c r="ACA318" s="26"/>
      <c r="ACB318" s="26"/>
      <c r="ACC318" s="26"/>
      <c r="ACD318" s="26"/>
      <c r="ACE318" s="26"/>
      <c r="ACF318" s="26"/>
      <c r="ACG318" s="26"/>
      <c r="ACH318" s="26"/>
      <c r="ACI318" s="26"/>
      <c r="ACJ318" s="26"/>
      <c r="ACK318" s="26"/>
      <c r="ACL318" s="26"/>
      <c r="ACM318" s="26"/>
      <c r="ACN318" s="26"/>
      <c r="ACO318" s="26"/>
      <c r="ACP318" s="26"/>
      <c r="ACQ318" s="26"/>
      <c r="ACR318" s="26"/>
      <c r="ACS318" s="26"/>
      <c r="ACT318" s="26"/>
      <c r="ACU318" s="26"/>
      <c r="ACV318" s="26"/>
      <c r="ACW318" s="26"/>
      <c r="ACX318" s="26"/>
      <c r="ACY318" s="26"/>
      <c r="ACZ318" s="26"/>
      <c r="ADA318" s="26"/>
      <c r="ADB318" s="26"/>
      <c r="ADC318" s="26"/>
      <c r="ADD318" s="26"/>
      <c r="ADE318" s="26"/>
      <c r="ADF318" s="26"/>
      <c r="ADG318" s="26"/>
      <c r="ADH318" s="26"/>
      <c r="ADI318" s="26"/>
      <c r="ADJ318" s="26"/>
      <c r="ADK318" s="26"/>
      <c r="ADL318" s="26"/>
      <c r="ADM318" s="26"/>
      <c r="ADN318" s="26"/>
      <c r="ADO318" s="26"/>
      <c r="ADP318" s="26"/>
      <c r="ADQ318" s="26"/>
      <c r="ADR318" s="26"/>
      <c r="ADS318" s="26"/>
      <c r="ADT318" s="26"/>
      <c r="ADU318" s="26"/>
      <c r="ADV318" s="26"/>
      <c r="ADW318" s="26"/>
      <c r="ADX318" s="26"/>
      <c r="ADY318" s="26"/>
      <c r="ADZ318" s="26"/>
      <c r="AEA318" s="26"/>
      <c r="AEB318" s="26"/>
      <c r="AEC318" s="26"/>
      <c r="AED318" s="26"/>
      <c r="AEE318" s="26"/>
      <c r="AEF318" s="26"/>
      <c r="AEG318" s="26"/>
      <c r="AEH318" s="26"/>
      <c r="AEI318" s="26"/>
      <c r="AEJ318" s="26"/>
      <c r="AEK318" s="26"/>
      <c r="AEL318" s="26"/>
      <c r="AEM318" s="26"/>
      <c r="AEN318" s="26"/>
      <c r="AEO318" s="26"/>
      <c r="AEP318" s="26"/>
      <c r="AEQ318" s="26"/>
      <c r="AER318" s="26"/>
      <c r="AES318" s="26"/>
      <c r="AET318" s="26"/>
      <c r="AEU318" s="26"/>
      <c r="AEV318" s="26"/>
      <c r="AEW318" s="26"/>
      <c r="AEX318" s="26"/>
      <c r="AEY318" s="26"/>
      <c r="AEZ318" s="26"/>
      <c r="AFA318" s="26"/>
      <c r="AFB318" s="26"/>
      <c r="AFC318" s="26"/>
      <c r="AFD318" s="26"/>
      <c r="AFE318" s="26"/>
      <c r="AFF318" s="26"/>
      <c r="AFG318" s="26"/>
      <c r="AFH318" s="26"/>
      <c r="AFI318" s="26"/>
      <c r="AFJ318" s="26"/>
      <c r="AFK318" s="26"/>
      <c r="AFL318" s="26"/>
      <c r="AFM318" s="26"/>
      <c r="AFN318" s="26"/>
      <c r="AFO318" s="26"/>
      <c r="AFP318" s="26"/>
      <c r="AFQ318" s="26"/>
      <c r="AFR318" s="26"/>
      <c r="AFS318" s="26"/>
      <c r="AFT318" s="26"/>
      <c r="AFU318" s="26"/>
      <c r="AFV318" s="26"/>
      <c r="AFW318" s="26"/>
      <c r="AFX318" s="26"/>
      <c r="AFY318" s="26"/>
      <c r="AFZ318" s="26"/>
      <c r="AGA318" s="26"/>
      <c r="AGB318" s="26"/>
      <c r="AGC318" s="26"/>
      <c r="AGD318" s="26"/>
      <c r="AGE318" s="26"/>
      <c r="AGF318" s="26"/>
      <c r="AGG318" s="26"/>
      <c r="AGH318" s="26"/>
      <c r="AGI318" s="26"/>
      <c r="AGJ318" s="26"/>
      <c r="AGK318" s="26"/>
      <c r="AGL318" s="26"/>
      <c r="AGM318" s="26"/>
      <c r="AGN318" s="26"/>
      <c r="AGO318" s="26"/>
      <c r="AGP318" s="26"/>
      <c r="AGQ318" s="26"/>
      <c r="AGR318" s="26"/>
      <c r="AGS318" s="26"/>
      <c r="AGT318" s="26"/>
      <c r="AGU318" s="26"/>
      <c r="AGV318" s="26"/>
      <c r="AGW318" s="26"/>
      <c r="AGX318" s="26"/>
      <c r="AGY318" s="26"/>
      <c r="AGZ318" s="26"/>
      <c r="AHA318" s="26"/>
      <c r="AHB318" s="26"/>
      <c r="AHC318" s="26"/>
      <c r="AHD318" s="26"/>
      <c r="AHE318" s="26"/>
      <c r="AHF318" s="26"/>
      <c r="AHG318" s="26"/>
      <c r="AHH318" s="26"/>
      <c r="AHI318" s="26"/>
      <c r="AHJ318" s="26"/>
      <c r="AHK318" s="26"/>
      <c r="AHL318" s="26"/>
      <c r="AHM318" s="26"/>
      <c r="AHN318" s="26"/>
      <c r="AHO318" s="26"/>
      <c r="AHP318" s="26"/>
      <c r="AHQ318" s="26"/>
      <c r="AHR318" s="26"/>
      <c r="AHS318" s="26"/>
      <c r="AHT318" s="26"/>
      <c r="AHU318" s="26"/>
      <c r="AHV318" s="26"/>
      <c r="AHW318" s="26"/>
      <c r="AHX318" s="26"/>
      <c r="AHY318" s="26"/>
      <c r="AHZ318" s="26"/>
      <c r="AIA318" s="26"/>
      <c r="AIB318" s="26"/>
      <c r="AIC318" s="26"/>
      <c r="AID318" s="26"/>
      <c r="AIE318" s="26"/>
      <c r="AIF318" s="26"/>
      <c r="AIG318" s="26"/>
      <c r="AIH318" s="26"/>
      <c r="AII318" s="26"/>
      <c r="AIJ318" s="26"/>
      <c r="AIK318" s="26"/>
      <c r="AIL318" s="26"/>
      <c r="AIM318" s="26"/>
      <c r="AIN318" s="26"/>
      <c r="AIO318" s="26"/>
      <c r="AIP318" s="26"/>
      <c r="AIQ318" s="26"/>
      <c r="AIR318" s="26"/>
      <c r="AIS318" s="26"/>
      <c r="AIT318" s="26"/>
      <c r="AIU318" s="26"/>
      <c r="AIV318" s="26"/>
      <c r="AIW318" s="26"/>
      <c r="AIX318" s="26"/>
      <c r="AIY318" s="26"/>
      <c r="AIZ318" s="26"/>
      <c r="AJA318" s="26"/>
      <c r="AJB318" s="26"/>
      <c r="AJC318" s="26"/>
      <c r="AJD318" s="26"/>
      <c r="AJE318" s="26"/>
      <c r="AJF318" s="26"/>
      <c r="AJG318" s="26"/>
      <c r="AJH318" s="26"/>
      <c r="AJI318" s="26"/>
      <c r="AJJ318" s="26"/>
      <c r="AJK318" s="26"/>
      <c r="AJL318" s="26"/>
      <c r="AJM318" s="26"/>
      <c r="AJN318" s="26"/>
      <c r="AJO318" s="26"/>
      <c r="AJP318" s="26"/>
      <c r="AJQ318" s="26"/>
      <c r="AJR318" s="26"/>
      <c r="AJS318" s="26"/>
      <c r="AJT318" s="26"/>
      <c r="AJU318" s="26"/>
      <c r="AJV318" s="26"/>
      <c r="AJW318" s="26"/>
      <c r="AJX318" s="26"/>
      <c r="AJY318" s="26"/>
      <c r="AJZ318" s="26"/>
      <c r="AKA318" s="26"/>
      <c r="AKB318" s="26"/>
      <c r="AKC318" s="26"/>
      <c r="AKD318" s="26"/>
      <c r="AKE318" s="26"/>
      <c r="AKF318" s="26"/>
      <c r="AKG318" s="26"/>
      <c r="AKH318" s="26"/>
      <c r="AKI318" s="26"/>
      <c r="AKJ318" s="26"/>
      <c r="AKK318" s="26"/>
      <c r="AKL318" s="26"/>
      <c r="AKM318" s="26"/>
      <c r="AKN318" s="26"/>
      <c r="AKO318" s="26"/>
      <c r="AKP318" s="26"/>
      <c r="AKQ318" s="26"/>
      <c r="AKR318" s="26"/>
      <c r="AKS318" s="26"/>
      <c r="AKT318" s="26"/>
      <c r="AKU318" s="26"/>
      <c r="AKV318" s="26"/>
      <c r="AKW318" s="26"/>
      <c r="AKX318" s="26"/>
      <c r="AKY318" s="26"/>
      <c r="AKZ318" s="26"/>
      <c r="ALA318" s="26"/>
      <c r="ALB318" s="26"/>
      <c r="ALC318" s="26"/>
      <c r="ALD318" s="26"/>
      <c r="ALE318" s="26"/>
      <c r="ALF318" s="26"/>
      <c r="ALG318" s="26"/>
      <c r="ALH318" s="26"/>
      <c r="ALI318" s="26"/>
      <c r="ALJ318" s="26"/>
      <c r="ALK318" s="26"/>
      <c r="ALL318" s="26"/>
      <c r="ALM318" s="26"/>
      <c r="ALN318" s="26"/>
      <c r="ALO318" s="26"/>
      <c r="ALP318" s="26"/>
      <c r="ALQ318" s="26"/>
      <c r="ALR318" s="26"/>
      <c r="ALS318" s="26"/>
      <c r="ALT318" s="26"/>
      <c r="ALU318" s="26"/>
      <c r="ALV318" s="26"/>
      <c r="ALW318" s="26"/>
      <c r="ALX318" s="26"/>
      <c r="ALY318" s="26"/>
      <c r="ALZ318" s="26"/>
      <c r="AMA318" s="26"/>
      <c r="AMB318" s="26"/>
      <c r="AMC318" s="26"/>
      <c r="AMD318" s="26"/>
      <c r="AME318" s="26"/>
      <c r="AMF318" s="26"/>
      <c r="AMG318" s="26"/>
      <c r="AMH318" s="26"/>
      <c r="AMI318" s="26"/>
      <c r="AMJ318" s="26"/>
      <c r="AMK318" s="26"/>
      <c r="AML318" s="26"/>
      <c r="AMM318" s="26"/>
      <c r="AMN318" s="26"/>
      <c r="AMO318" s="26"/>
      <c r="AMP318" s="26"/>
      <c r="AMQ318" s="26"/>
      <c r="AMR318" s="26"/>
      <c r="AMS318" s="26"/>
      <c r="AMT318" s="26"/>
      <c r="AMU318" s="26"/>
      <c r="AMV318" s="26"/>
      <c r="AMW318" s="26"/>
      <c r="AMX318" s="26"/>
      <c r="AMY318" s="26"/>
      <c r="AMZ318" s="26"/>
      <c r="ANA318" s="26"/>
      <c r="ANB318" s="26"/>
      <c r="ANC318" s="26"/>
      <c r="AND318" s="26"/>
      <c r="ANE318" s="26"/>
      <c r="ANF318" s="26"/>
      <c r="ANG318" s="26"/>
      <c r="ANH318" s="26"/>
      <c r="ANI318" s="26"/>
      <c r="ANJ318" s="26"/>
      <c r="ANK318" s="26"/>
      <c r="ANL318" s="26"/>
      <c r="ANM318" s="26"/>
      <c r="ANN318" s="26"/>
      <c r="ANO318" s="26"/>
      <c r="ANP318" s="26"/>
      <c r="ANQ318" s="26"/>
      <c r="ANR318" s="26"/>
      <c r="ANS318" s="26"/>
      <c r="ANT318" s="26"/>
      <c r="ANU318" s="26"/>
      <c r="ANV318" s="26"/>
      <c r="ANW318" s="26"/>
      <c r="ANX318" s="26"/>
      <c r="ANY318" s="26"/>
      <c r="ANZ318" s="26"/>
      <c r="AOA318" s="26"/>
      <c r="AOB318" s="26"/>
      <c r="AOC318" s="26"/>
      <c r="AOD318" s="26"/>
      <c r="AOE318" s="26"/>
      <c r="AOF318" s="26"/>
      <c r="AOG318" s="26"/>
      <c r="AOH318" s="26"/>
      <c r="AOI318" s="26"/>
      <c r="AOJ318" s="26"/>
      <c r="AOK318" s="26"/>
      <c r="AOL318" s="26"/>
      <c r="AOM318" s="26"/>
      <c r="AON318" s="26"/>
      <c r="AOO318" s="26"/>
      <c r="AOP318" s="26"/>
      <c r="AOQ318" s="26"/>
      <c r="AOR318" s="26"/>
      <c r="AOS318" s="26"/>
      <c r="AOT318" s="26"/>
      <c r="AOU318" s="26"/>
      <c r="AOV318" s="26"/>
      <c r="AOW318" s="26"/>
      <c r="AOX318" s="26"/>
      <c r="AOY318" s="26"/>
      <c r="AOZ318" s="26"/>
      <c r="APA318" s="26"/>
      <c r="APB318" s="26"/>
      <c r="APC318" s="26"/>
      <c r="APD318" s="26"/>
      <c r="APE318" s="26"/>
      <c r="APF318" s="26"/>
      <c r="APG318" s="26"/>
      <c r="APH318" s="26"/>
      <c r="API318" s="26"/>
      <c r="APJ318" s="26"/>
      <c r="APK318" s="26"/>
      <c r="APL318" s="26"/>
      <c r="APM318" s="26"/>
      <c r="APN318" s="26"/>
      <c r="APO318" s="26"/>
      <c r="APP318" s="26"/>
      <c r="APQ318" s="26"/>
      <c r="APR318" s="26"/>
      <c r="APS318" s="26"/>
      <c r="APT318" s="26"/>
      <c r="APU318" s="26"/>
      <c r="APV318" s="26"/>
      <c r="APW318" s="26"/>
      <c r="APX318" s="26"/>
      <c r="APY318" s="26"/>
      <c r="APZ318" s="26"/>
      <c r="AQA318" s="26"/>
      <c r="AQB318" s="26"/>
      <c r="AQC318" s="26"/>
      <c r="AQD318" s="26"/>
      <c r="AQE318" s="26"/>
      <c r="AQF318" s="26"/>
      <c r="AQG318" s="26"/>
      <c r="AQH318" s="26"/>
      <c r="AQI318" s="26"/>
      <c r="AQJ318" s="26"/>
      <c r="AQK318" s="26"/>
      <c r="AQL318" s="26"/>
      <c r="AQM318" s="26"/>
      <c r="AQN318" s="26"/>
      <c r="AQO318" s="26"/>
      <c r="AQP318" s="26"/>
      <c r="AQQ318" s="26"/>
      <c r="AQR318" s="26"/>
      <c r="AQS318" s="26"/>
      <c r="AQT318" s="26"/>
      <c r="AQU318" s="26"/>
      <c r="AQV318" s="26"/>
      <c r="AQW318" s="26"/>
      <c r="AQX318" s="26"/>
      <c r="AQY318" s="26"/>
      <c r="AQZ318" s="26"/>
      <c r="ARA318" s="26"/>
      <c r="ARB318" s="26"/>
      <c r="ARC318" s="26"/>
      <c r="ARD318" s="26"/>
      <c r="ARE318" s="26"/>
      <c r="ARF318" s="26"/>
      <c r="ARG318" s="26"/>
      <c r="ARH318" s="26"/>
      <c r="ARI318" s="26"/>
      <c r="ARJ318" s="26"/>
      <c r="ARK318" s="26"/>
      <c r="ARL318" s="26"/>
      <c r="ARM318" s="26"/>
      <c r="ARN318" s="26"/>
      <c r="ARO318" s="26"/>
      <c r="ARP318" s="26"/>
      <c r="ARQ318" s="26"/>
      <c r="ARR318" s="26"/>
      <c r="ARS318" s="26"/>
      <c r="ART318" s="26"/>
      <c r="ARU318" s="26"/>
      <c r="ARV318" s="26"/>
      <c r="ARW318" s="26"/>
      <c r="ARX318" s="26"/>
      <c r="ARY318" s="26"/>
      <c r="ARZ318" s="26"/>
      <c r="ASA318" s="26"/>
      <c r="ASB318" s="26"/>
      <c r="ASC318" s="26"/>
      <c r="ASD318" s="26"/>
      <c r="ASE318" s="26"/>
      <c r="ASF318" s="26"/>
      <c r="ASG318" s="26"/>
      <c r="ASH318" s="26"/>
      <c r="ASI318" s="26"/>
      <c r="ASJ318" s="26"/>
      <c r="ASK318" s="26"/>
      <c r="ASL318" s="26"/>
      <c r="ASM318" s="26"/>
      <c r="ASN318" s="26"/>
      <c r="ASO318" s="26"/>
      <c r="ASP318" s="26"/>
      <c r="ASQ318" s="26"/>
      <c r="ASR318" s="26"/>
      <c r="ASS318" s="26"/>
      <c r="AST318" s="26"/>
      <c r="ASU318" s="26"/>
      <c r="ASV318" s="26"/>
      <c r="ASW318" s="26"/>
      <c r="ASX318" s="26"/>
      <c r="ASY318" s="26"/>
      <c r="ASZ318" s="26"/>
      <c r="ATA318" s="26"/>
      <c r="ATB318" s="26"/>
      <c r="ATC318" s="26"/>
      <c r="ATD318" s="26"/>
      <c r="ATE318" s="26"/>
      <c r="ATF318" s="26"/>
      <c r="ATG318" s="26"/>
      <c r="ATH318" s="26"/>
      <c r="ATI318" s="26"/>
      <c r="ATJ318" s="26"/>
      <c r="ATK318" s="26"/>
      <c r="ATL318" s="26"/>
      <c r="ATM318" s="26"/>
      <c r="ATN318" s="26"/>
      <c r="ATO318" s="26"/>
      <c r="ATP318" s="26"/>
      <c r="ATQ318" s="26"/>
      <c r="ATR318" s="26"/>
      <c r="ATS318" s="26"/>
      <c r="ATT318" s="26"/>
      <c r="ATU318" s="26"/>
      <c r="ATV318" s="26"/>
      <c r="ATW318" s="26"/>
      <c r="ATX318" s="26"/>
      <c r="ATY318" s="26"/>
      <c r="ATZ318" s="26"/>
      <c r="AUA318" s="26"/>
      <c r="AUB318" s="26"/>
      <c r="AUC318" s="26"/>
      <c r="AUD318" s="26"/>
      <c r="AUE318" s="26"/>
      <c r="AUF318" s="26"/>
      <c r="AUG318" s="26"/>
      <c r="AUH318" s="26"/>
      <c r="AUI318" s="26"/>
      <c r="AUJ318" s="26"/>
      <c r="AUK318" s="26"/>
      <c r="AUL318" s="26"/>
      <c r="AUM318" s="26"/>
      <c r="AUN318" s="26"/>
      <c r="AUO318" s="26"/>
      <c r="AUP318" s="26"/>
      <c r="AUQ318" s="26"/>
      <c r="AUR318" s="26"/>
      <c r="AUS318" s="26"/>
      <c r="AUT318" s="26"/>
      <c r="AUU318" s="26"/>
      <c r="AUV318" s="26"/>
      <c r="AUW318" s="26"/>
      <c r="AUX318" s="26"/>
      <c r="AUY318" s="26"/>
      <c r="AUZ318" s="26"/>
      <c r="AVA318" s="26"/>
      <c r="AVB318" s="26"/>
      <c r="AVC318" s="26"/>
      <c r="AVD318" s="26"/>
      <c r="AVE318" s="26"/>
      <c r="AVF318" s="26"/>
      <c r="AVG318" s="26"/>
      <c r="AVH318" s="26"/>
      <c r="AVI318" s="26"/>
      <c r="AVJ318" s="26"/>
      <c r="AVK318" s="26"/>
      <c r="AVL318" s="26"/>
      <c r="AVM318" s="26"/>
      <c r="AVN318" s="26"/>
      <c r="AVO318" s="26"/>
      <c r="AVP318" s="26"/>
      <c r="AVQ318" s="26"/>
      <c r="AVR318" s="26"/>
      <c r="AVS318" s="26"/>
      <c r="AVT318" s="26"/>
      <c r="AVU318" s="26"/>
      <c r="AVV318" s="26"/>
      <c r="AVW318" s="26"/>
      <c r="AVX318" s="26"/>
      <c r="AVY318" s="26"/>
      <c r="AVZ318" s="26"/>
      <c r="AWA318" s="26"/>
      <c r="AWB318" s="26"/>
      <c r="AWC318" s="26"/>
      <c r="AWD318" s="26"/>
      <c r="AWE318" s="26"/>
      <c r="AWF318" s="26"/>
      <c r="AWG318" s="26"/>
      <c r="AWH318" s="26"/>
      <c r="AWI318" s="26"/>
      <c r="AWJ318" s="26"/>
      <c r="AWK318" s="26"/>
      <c r="AWL318" s="26"/>
      <c r="AWM318" s="26"/>
      <c r="AWN318" s="26"/>
      <c r="AWO318" s="26"/>
      <c r="AWP318" s="26"/>
      <c r="AWQ318" s="26"/>
      <c r="AWR318" s="26"/>
      <c r="AWS318" s="26"/>
      <c r="AWT318" s="26"/>
      <c r="AWU318" s="26"/>
      <c r="AWV318" s="26"/>
      <c r="AWW318" s="26"/>
      <c r="AWX318" s="26"/>
      <c r="AWY318" s="26"/>
      <c r="AWZ318" s="26"/>
      <c r="AXA318" s="26"/>
      <c r="AXB318" s="26"/>
      <c r="AXC318" s="26"/>
      <c r="AXD318" s="26"/>
      <c r="AXE318" s="26"/>
      <c r="AXF318" s="26"/>
      <c r="AXG318" s="26"/>
      <c r="AXH318" s="26"/>
      <c r="AXI318" s="26"/>
      <c r="AXJ318" s="26"/>
      <c r="AXK318" s="26"/>
      <c r="AXL318" s="26"/>
      <c r="AXM318" s="26"/>
      <c r="AXN318" s="26"/>
      <c r="AXO318" s="26"/>
      <c r="AXP318" s="26"/>
      <c r="AXQ318" s="26"/>
      <c r="AXR318" s="26"/>
      <c r="AXS318" s="26"/>
      <c r="AXT318" s="26"/>
      <c r="AXU318" s="26"/>
      <c r="AXV318" s="26"/>
      <c r="AXW318" s="26"/>
      <c r="AXX318" s="26"/>
      <c r="AXY318" s="26"/>
      <c r="AXZ318" s="26"/>
      <c r="AYA318" s="26"/>
      <c r="AYB318" s="26"/>
      <c r="AYC318" s="26"/>
      <c r="AYD318" s="26"/>
      <c r="AYE318" s="26"/>
      <c r="AYF318" s="26"/>
      <c r="AYG318" s="26"/>
      <c r="AYH318" s="26"/>
      <c r="AYI318" s="26"/>
      <c r="AYJ318" s="26"/>
      <c r="AYK318" s="26"/>
      <c r="AYL318" s="26"/>
      <c r="AYM318" s="26"/>
      <c r="AYN318" s="26"/>
      <c r="AYO318" s="26"/>
      <c r="AYP318" s="26"/>
      <c r="AYQ318" s="26"/>
      <c r="AYR318" s="26"/>
      <c r="AYS318" s="26"/>
      <c r="AYT318" s="26"/>
      <c r="AYU318" s="26"/>
      <c r="AYV318" s="26"/>
      <c r="AYW318" s="26"/>
      <c r="AYX318" s="26"/>
      <c r="AYY318" s="26"/>
      <c r="AYZ318" s="26"/>
      <c r="AZA318" s="26"/>
      <c r="AZB318" s="26"/>
      <c r="AZC318" s="26"/>
      <c r="AZD318" s="26"/>
      <c r="AZE318" s="26"/>
      <c r="AZF318" s="26"/>
      <c r="AZG318" s="26"/>
      <c r="AZH318" s="26"/>
      <c r="AZI318" s="26"/>
      <c r="AZJ318" s="26"/>
      <c r="AZK318" s="26"/>
      <c r="AZL318" s="26"/>
      <c r="AZM318" s="26"/>
      <c r="AZN318" s="26"/>
      <c r="AZO318" s="26"/>
      <c r="AZP318" s="26"/>
      <c r="AZQ318" s="26"/>
      <c r="AZR318" s="26"/>
      <c r="AZS318" s="26"/>
      <c r="AZT318" s="26"/>
      <c r="AZU318" s="26"/>
      <c r="AZV318" s="26"/>
      <c r="AZW318" s="26"/>
      <c r="AZX318" s="26"/>
      <c r="AZY318" s="26"/>
      <c r="AZZ318" s="26"/>
      <c r="BAA318" s="26"/>
      <c r="BAB318" s="26"/>
      <c r="BAC318" s="26"/>
      <c r="BAD318" s="26"/>
      <c r="BAE318" s="26"/>
      <c r="BAF318" s="26"/>
      <c r="BAG318" s="26"/>
      <c r="BAH318" s="26"/>
      <c r="BAI318" s="26"/>
      <c r="BAJ318" s="26"/>
      <c r="BAK318" s="26"/>
      <c r="BAL318" s="26"/>
      <c r="BAM318" s="26"/>
      <c r="BAN318" s="26"/>
      <c r="BAO318" s="26"/>
      <c r="BAP318" s="26"/>
      <c r="BAQ318" s="26"/>
      <c r="BAR318" s="26"/>
      <c r="BAS318" s="26"/>
      <c r="BAT318" s="26"/>
      <c r="BAU318" s="26"/>
      <c r="BAV318" s="26"/>
      <c r="BAW318" s="26"/>
      <c r="BAX318" s="26"/>
      <c r="BAY318" s="26"/>
      <c r="BAZ318" s="26"/>
      <c r="BBA318" s="26"/>
      <c r="BBB318" s="26"/>
      <c r="BBC318" s="26"/>
      <c r="BBD318" s="26"/>
      <c r="BBE318" s="26"/>
      <c r="BBF318" s="26"/>
      <c r="BBG318" s="26"/>
      <c r="BBH318" s="26"/>
      <c r="BBI318" s="26"/>
      <c r="BBJ318" s="26"/>
      <c r="BBK318" s="26"/>
      <c r="BBL318" s="26"/>
      <c r="BBM318" s="26"/>
      <c r="BBN318" s="26"/>
      <c r="BBO318" s="26"/>
      <c r="BBP318" s="26"/>
      <c r="BBQ318" s="26"/>
      <c r="BBR318" s="26"/>
      <c r="BBS318" s="26"/>
      <c r="BBT318" s="26"/>
      <c r="BBU318" s="26"/>
      <c r="BBV318" s="26"/>
      <c r="BBW318" s="26"/>
      <c r="BBX318" s="26"/>
      <c r="BBY318" s="26"/>
      <c r="BBZ318" s="26"/>
      <c r="BCA318" s="26"/>
      <c r="BCB318" s="26"/>
      <c r="BCC318" s="26"/>
      <c r="BCD318" s="26"/>
      <c r="BCE318" s="26"/>
      <c r="BCF318" s="26"/>
      <c r="BCG318" s="26"/>
      <c r="BCH318" s="26"/>
      <c r="BCI318" s="26"/>
      <c r="BCJ318" s="26"/>
      <c r="BCK318" s="26"/>
      <c r="BCL318" s="26"/>
      <c r="BCM318" s="26"/>
      <c r="BCN318" s="26"/>
      <c r="BCO318" s="26"/>
      <c r="BCP318" s="26"/>
      <c r="BCQ318" s="26"/>
      <c r="BCR318" s="26"/>
      <c r="BCS318" s="26"/>
      <c r="BCT318" s="26"/>
      <c r="BCU318" s="26"/>
      <c r="BCV318" s="26"/>
      <c r="BCW318" s="26"/>
      <c r="BCX318" s="26"/>
      <c r="BCY318" s="26"/>
      <c r="BCZ318" s="26"/>
      <c r="BDA318" s="26"/>
      <c r="BDB318" s="26"/>
      <c r="BDC318" s="26"/>
      <c r="BDD318" s="26"/>
      <c r="BDE318" s="26"/>
      <c r="BDF318" s="26"/>
      <c r="BDG318" s="26"/>
      <c r="BDH318" s="26"/>
      <c r="BDI318" s="26"/>
      <c r="BDJ318" s="26"/>
      <c r="BDK318" s="26"/>
      <c r="BDL318" s="26"/>
      <c r="BDM318" s="26"/>
      <c r="BDN318" s="26"/>
      <c r="BDO318" s="26"/>
      <c r="BDP318" s="26"/>
      <c r="BDQ318" s="26"/>
      <c r="BDR318" s="26"/>
      <c r="BDS318" s="26"/>
      <c r="BDT318" s="26"/>
      <c r="BDU318" s="26"/>
      <c r="BDV318" s="26"/>
      <c r="BDW318" s="26"/>
      <c r="BDX318" s="26"/>
      <c r="BDY318" s="26"/>
      <c r="BDZ318" s="26"/>
      <c r="BEA318" s="26"/>
      <c r="BEB318" s="26"/>
      <c r="BEC318" s="26"/>
      <c r="BED318" s="26"/>
      <c r="BEE318" s="26"/>
      <c r="BEF318" s="26"/>
      <c r="BEG318" s="26"/>
      <c r="BEH318" s="26"/>
      <c r="BEI318" s="26"/>
      <c r="BEJ318" s="26"/>
      <c r="BEK318" s="26"/>
      <c r="BEL318" s="26"/>
      <c r="BEM318" s="26"/>
      <c r="BEN318" s="26"/>
      <c r="BEO318" s="26"/>
      <c r="BEP318" s="26"/>
      <c r="BEQ318" s="26"/>
      <c r="BER318" s="26"/>
      <c r="BES318" s="26"/>
      <c r="BET318" s="26"/>
      <c r="BEU318" s="26"/>
      <c r="BEV318" s="26"/>
      <c r="BEW318" s="26"/>
      <c r="BEX318" s="26"/>
      <c r="BEY318" s="26"/>
      <c r="BEZ318" s="26"/>
      <c r="BFA318" s="26"/>
      <c r="BFB318" s="26"/>
      <c r="BFC318" s="26"/>
      <c r="BFD318" s="26"/>
      <c r="BFE318" s="26"/>
      <c r="BFF318" s="26"/>
      <c r="BFG318" s="26"/>
      <c r="BFH318" s="26"/>
      <c r="BFI318" s="26"/>
      <c r="BFJ318" s="26"/>
      <c r="BFK318" s="26"/>
      <c r="BFL318" s="26"/>
      <c r="BFM318" s="26"/>
      <c r="BFN318" s="26"/>
      <c r="BFO318" s="26"/>
      <c r="BFP318" s="26"/>
      <c r="BFQ318" s="26"/>
      <c r="BFR318" s="26"/>
      <c r="BFS318" s="26"/>
      <c r="BFT318" s="26"/>
      <c r="BFU318" s="26"/>
      <c r="BFV318" s="26"/>
      <c r="BFW318" s="26"/>
      <c r="BFX318" s="26"/>
      <c r="BFY318" s="26"/>
      <c r="BFZ318" s="26"/>
      <c r="BGA318" s="26"/>
      <c r="BGB318" s="26"/>
      <c r="BGC318" s="26"/>
      <c r="BGD318" s="26"/>
      <c r="BGE318" s="26"/>
      <c r="BGF318" s="26"/>
      <c r="BGG318" s="26"/>
      <c r="BGH318" s="26"/>
      <c r="BGI318" s="26"/>
      <c r="BGJ318" s="26"/>
      <c r="BGK318" s="26"/>
      <c r="BGL318" s="26"/>
      <c r="BGM318" s="26"/>
      <c r="BGN318" s="26"/>
      <c r="BGO318" s="26"/>
      <c r="BGP318" s="26"/>
      <c r="BGQ318" s="26"/>
      <c r="BGR318" s="26"/>
      <c r="BGS318" s="26"/>
      <c r="BGT318" s="26"/>
      <c r="BGU318" s="26"/>
      <c r="BGV318" s="26"/>
      <c r="BGW318" s="26"/>
      <c r="BGX318" s="26"/>
      <c r="BGY318" s="26"/>
      <c r="BGZ318" s="26"/>
      <c r="BHA318" s="26"/>
      <c r="BHB318" s="26"/>
      <c r="BHC318" s="26"/>
      <c r="BHD318" s="26"/>
      <c r="BHE318" s="26"/>
      <c r="BHF318" s="26"/>
      <c r="BHG318" s="26"/>
      <c r="BHH318" s="26"/>
      <c r="BHI318" s="26"/>
      <c r="BHJ318" s="26"/>
      <c r="BHK318" s="26"/>
      <c r="BHL318" s="26"/>
      <c r="BHM318" s="26"/>
      <c r="BHN318" s="26"/>
      <c r="BHO318" s="26"/>
      <c r="BHP318" s="26"/>
      <c r="BHQ318" s="26"/>
      <c r="BHR318" s="26"/>
      <c r="BHS318" s="26"/>
      <c r="BHT318" s="26"/>
      <c r="BHU318" s="26"/>
      <c r="BHV318" s="26"/>
      <c r="BHW318" s="26"/>
      <c r="BHX318" s="26"/>
      <c r="BHY318" s="26"/>
      <c r="BHZ318" s="26"/>
      <c r="BIA318" s="26"/>
      <c r="BIB318" s="26"/>
      <c r="BIC318" s="26"/>
      <c r="BID318" s="26"/>
      <c r="BIE318" s="26"/>
      <c r="BIF318" s="26"/>
      <c r="BIG318" s="26"/>
      <c r="BIH318" s="26"/>
      <c r="BII318" s="26"/>
      <c r="BIJ318" s="26"/>
      <c r="BIK318" s="26"/>
      <c r="BIL318" s="26"/>
      <c r="BIM318" s="26"/>
      <c r="BIN318" s="26"/>
      <c r="BIO318" s="26"/>
      <c r="BIP318" s="26"/>
      <c r="BIQ318" s="26"/>
      <c r="BIR318" s="26"/>
      <c r="BIS318" s="26"/>
      <c r="BIT318" s="26"/>
      <c r="BIU318" s="26"/>
      <c r="BIV318" s="26"/>
      <c r="BIW318" s="26"/>
      <c r="BIX318" s="26"/>
      <c r="BIY318" s="26"/>
      <c r="BIZ318" s="26"/>
      <c r="BJA318" s="26"/>
      <c r="BJB318" s="26"/>
      <c r="BJC318" s="26"/>
      <c r="BJD318" s="26"/>
      <c r="BJE318" s="26"/>
      <c r="BJF318" s="26"/>
      <c r="BJG318" s="26"/>
      <c r="BJH318" s="26"/>
      <c r="BJI318" s="26"/>
      <c r="BJJ318" s="26"/>
      <c r="BJK318" s="26"/>
      <c r="BJL318" s="26"/>
      <c r="BJM318" s="26"/>
      <c r="BJN318" s="26"/>
      <c r="BJO318" s="26"/>
      <c r="BJP318" s="26"/>
      <c r="BJQ318" s="26"/>
      <c r="BJR318" s="26"/>
      <c r="BJS318" s="26"/>
      <c r="BJT318" s="26"/>
      <c r="BJU318" s="26"/>
      <c r="BJV318" s="26"/>
      <c r="BJW318" s="26"/>
      <c r="BJX318" s="26"/>
      <c r="BJY318" s="26"/>
      <c r="BJZ318" s="26"/>
      <c r="BKA318" s="26"/>
      <c r="BKB318" s="26"/>
      <c r="BKC318" s="26"/>
      <c r="BKD318" s="26"/>
      <c r="BKE318" s="26"/>
      <c r="BKF318" s="26"/>
      <c r="BKG318" s="26"/>
      <c r="BKH318" s="26"/>
      <c r="BKI318" s="26"/>
      <c r="BKJ318" s="26"/>
      <c r="BKK318" s="26"/>
      <c r="BKL318" s="26"/>
      <c r="BKM318" s="26"/>
      <c r="BKN318" s="26"/>
      <c r="BKO318" s="26"/>
      <c r="BKP318" s="26"/>
      <c r="BKQ318" s="26"/>
      <c r="BKR318" s="26"/>
      <c r="BKS318" s="26"/>
      <c r="BKT318" s="26"/>
      <c r="BKU318" s="26"/>
      <c r="BKV318" s="26"/>
      <c r="BKW318" s="26"/>
      <c r="BKX318" s="26"/>
      <c r="BKY318" s="26"/>
      <c r="BKZ318" s="26"/>
      <c r="BLA318" s="26"/>
      <c r="BLB318" s="26"/>
      <c r="BLC318" s="26"/>
      <c r="BLD318" s="26"/>
      <c r="BLE318" s="26"/>
      <c r="BLF318" s="26"/>
      <c r="BLG318" s="26"/>
      <c r="BLH318" s="26"/>
      <c r="BLI318" s="26"/>
      <c r="BLJ318" s="26"/>
      <c r="BLK318" s="26"/>
      <c r="BLL318" s="26"/>
      <c r="BLM318" s="26"/>
      <c r="BLN318" s="26"/>
      <c r="BLO318" s="26"/>
      <c r="BLP318" s="26"/>
      <c r="BLQ318" s="26"/>
      <c r="BLR318" s="26"/>
      <c r="BLS318" s="26"/>
      <c r="BLT318" s="26"/>
      <c r="BLU318" s="26"/>
      <c r="BLV318" s="26"/>
      <c r="BLW318" s="26"/>
      <c r="BLX318" s="26"/>
      <c r="BLY318" s="26"/>
      <c r="BLZ318" s="26"/>
      <c r="BMA318" s="26"/>
      <c r="BMB318" s="26"/>
      <c r="BMC318" s="26"/>
      <c r="BMD318" s="26"/>
      <c r="BME318" s="26"/>
      <c r="BMF318" s="26"/>
      <c r="BMG318" s="26"/>
      <c r="BMH318" s="26"/>
      <c r="BMI318" s="26"/>
      <c r="BMJ318" s="26"/>
      <c r="BMK318" s="26"/>
      <c r="BML318" s="26"/>
      <c r="BMM318" s="26"/>
      <c r="BMN318" s="26"/>
      <c r="BMO318" s="26"/>
      <c r="BMP318" s="26"/>
      <c r="BMQ318" s="26"/>
      <c r="BMR318" s="26"/>
      <c r="BMS318" s="26"/>
      <c r="BMT318" s="26"/>
      <c r="BMU318" s="26"/>
      <c r="BMV318" s="26"/>
      <c r="BMW318" s="26"/>
      <c r="BMX318" s="26"/>
      <c r="BMY318" s="26"/>
      <c r="BMZ318" s="26"/>
      <c r="BNA318" s="26"/>
      <c r="BNB318" s="26"/>
      <c r="BNC318" s="26"/>
      <c r="BND318" s="26"/>
      <c r="BNE318" s="26"/>
      <c r="BNF318" s="26"/>
      <c r="BNG318" s="26"/>
      <c r="BNH318" s="26"/>
      <c r="BNI318" s="26"/>
      <c r="BNJ318" s="26"/>
      <c r="BNK318" s="26"/>
      <c r="BNL318" s="26"/>
      <c r="BNM318" s="26"/>
      <c r="BNN318" s="26"/>
      <c r="BNO318" s="26"/>
      <c r="BNP318" s="26"/>
      <c r="BNQ318" s="26"/>
      <c r="BNR318" s="26"/>
      <c r="BNS318" s="26"/>
      <c r="BNT318" s="26"/>
      <c r="BNU318" s="26"/>
      <c r="BNV318" s="26"/>
      <c r="BNW318" s="26"/>
      <c r="BNX318" s="26"/>
      <c r="BNY318" s="26"/>
      <c r="BNZ318" s="26"/>
      <c r="BOA318" s="26"/>
      <c r="BOB318" s="26"/>
      <c r="BOC318" s="26"/>
      <c r="BOD318" s="26"/>
      <c r="BOE318" s="26"/>
      <c r="BOF318" s="26"/>
      <c r="BOG318" s="26"/>
      <c r="BOH318" s="26"/>
      <c r="BOI318" s="26"/>
      <c r="BOJ318" s="26"/>
      <c r="BOK318" s="26"/>
      <c r="BOL318" s="26"/>
      <c r="BOM318" s="26"/>
      <c r="BON318" s="26"/>
      <c r="BOO318" s="26"/>
      <c r="BOP318" s="26"/>
      <c r="BOQ318" s="26"/>
      <c r="BOR318" s="26"/>
      <c r="BOS318" s="26"/>
      <c r="BOT318" s="26"/>
      <c r="BOU318" s="26"/>
      <c r="BOV318" s="26"/>
      <c r="BOW318" s="26"/>
      <c r="BOX318" s="26"/>
      <c r="BOY318" s="26"/>
      <c r="BOZ318" s="26"/>
      <c r="BPA318" s="26"/>
      <c r="BPB318" s="26"/>
      <c r="BPC318" s="26"/>
      <c r="BPD318" s="26"/>
      <c r="BPE318" s="26"/>
      <c r="BPF318" s="26"/>
      <c r="BPG318" s="26"/>
      <c r="BPH318" s="26"/>
      <c r="BPI318" s="26"/>
      <c r="BPJ318" s="26"/>
      <c r="BPK318" s="26"/>
      <c r="BPL318" s="26"/>
      <c r="BPM318" s="26"/>
      <c r="BPN318" s="26"/>
      <c r="BPO318" s="26"/>
      <c r="BPP318" s="26"/>
      <c r="BPQ318" s="26"/>
      <c r="BPR318" s="26"/>
      <c r="BPS318" s="26"/>
      <c r="BPT318" s="26"/>
      <c r="BPU318" s="26"/>
      <c r="BPV318" s="26"/>
      <c r="BPW318" s="26"/>
      <c r="BPX318" s="26"/>
      <c r="BPY318" s="26"/>
      <c r="BPZ318" s="26"/>
      <c r="BQA318" s="26"/>
      <c r="BQB318" s="26"/>
      <c r="BQC318" s="26"/>
      <c r="BQD318" s="26"/>
      <c r="BQE318" s="26"/>
      <c r="BQF318" s="26"/>
      <c r="BQG318" s="26"/>
      <c r="BQH318" s="26"/>
      <c r="BQI318" s="26"/>
      <c r="BQJ318" s="26"/>
      <c r="BQK318" s="26"/>
      <c r="BQL318" s="26"/>
      <c r="BQM318" s="26"/>
      <c r="BQN318" s="26"/>
      <c r="BQO318" s="26"/>
      <c r="BQP318" s="26"/>
      <c r="BQQ318" s="26"/>
      <c r="BQR318" s="26"/>
      <c r="BQS318" s="26"/>
      <c r="BQT318" s="26"/>
      <c r="BQU318" s="26"/>
      <c r="BQV318" s="26"/>
      <c r="BQW318" s="26"/>
      <c r="BQX318" s="26"/>
      <c r="BQY318" s="26"/>
      <c r="BQZ318" s="26"/>
      <c r="BRA318" s="26"/>
      <c r="BRB318" s="26"/>
      <c r="BRC318" s="26"/>
      <c r="BRD318" s="26"/>
      <c r="BRE318" s="26"/>
      <c r="BRF318" s="26"/>
      <c r="BRG318" s="26"/>
      <c r="BRH318" s="26"/>
      <c r="BRI318" s="26"/>
      <c r="BRJ318" s="26"/>
      <c r="BRK318" s="26"/>
      <c r="BRL318" s="26"/>
      <c r="BRM318" s="26"/>
      <c r="BRN318" s="26"/>
      <c r="BRO318" s="26"/>
      <c r="BRP318" s="26"/>
      <c r="BRQ318" s="26"/>
      <c r="BRR318" s="26"/>
      <c r="BRS318" s="26"/>
      <c r="BRT318" s="26"/>
      <c r="BRU318" s="26"/>
      <c r="BRV318" s="26"/>
      <c r="BRW318" s="26"/>
      <c r="BRX318" s="26"/>
      <c r="BRY318" s="26"/>
      <c r="BRZ318" s="26"/>
      <c r="BSA318" s="26"/>
      <c r="BSB318" s="26"/>
      <c r="BSC318" s="26"/>
      <c r="BSD318" s="26"/>
      <c r="BSE318" s="26"/>
      <c r="BSF318" s="26"/>
      <c r="BSG318" s="26"/>
      <c r="BSH318" s="26"/>
      <c r="BSI318" s="26"/>
      <c r="BSJ318" s="26"/>
      <c r="BSK318" s="26"/>
      <c r="BSL318" s="26"/>
      <c r="BSM318" s="26"/>
      <c r="BSN318" s="26"/>
      <c r="BSO318" s="26"/>
      <c r="BSP318" s="26"/>
      <c r="BSQ318" s="26"/>
      <c r="BSR318" s="26"/>
      <c r="BSS318" s="26"/>
      <c r="BST318" s="26"/>
      <c r="BSU318" s="26"/>
      <c r="BSV318" s="26"/>
      <c r="BSW318" s="26"/>
      <c r="BSX318" s="26"/>
      <c r="BSY318" s="26"/>
      <c r="BSZ318" s="26"/>
      <c r="BTA318" s="26"/>
      <c r="BTB318" s="26"/>
      <c r="BTC318" s="26"/>
      <c r="BTD318" s="26"/>
      <c r="BTE318" s="26"/>
      <c r="BTF318" s="26"/>
      <c r="BTG318" s="26"/>
      <c r="BTH318" s="26"/>
      <c r="BTI318" s="26"/>
      <c r="BTJ318" s="26"/>
      <c r="BTK318" s="26"/>
      <c r="BTL318" s="26"/>
      <c r="BTM318" s="26"/>
      <c r="BTN318" s="26"/>
      <c r="BTO318" s="26"/>
      <c r="BTP318" s="26"/>
      <c r="BTQ318" s="26"/>
      <c r="BTR318" s="26"/>
      <c r="BTS318" s="26"/>
      <c r="BTT318" s="26"/>
      <c r="BTU318" s="26"/>
      <c r="BTV318" s="26"/>
      <c r="BTW318" s="26"/>
      <c r="BTX318" s="26"/>
      <c r="BTY318" s="26"/>
      <c r="BTZ318" s="26"/>
      <c r="BUA318" s="26"/>
      <c r="BUB318" s="26"/>
      <c r="BUC318" s="26"/>
      <c r="BUD318" s="26"/>
      <c r="BUE318" s="26"/>
      <c r="BUF318" s="26"/>
      <c r="BUG318" s="26"/>
      <c r="BUH318" s="26"/>
      <c r="BUI318" s="26"/>
      <c r="BUJ318" s="26"/>
      <c r="BUK318" s="26"/>
      <c r="BUL318" s="26"/>
      <c r="BUM318" s="26"/>
      <c r="BUN318" s="26"/>
      <c r="BUO318" s="26"/>
      <c r="BUP318" s="26"/>
      <c r="BUQ318" s="26"/>
      <c r="BUR318" s="26"/>
      <c r="BUS318" s="26"/>
      <c r="BUT318" s="26"/>
      <c r="BUU318" s="26"/>
      <c r="BUV318" s="26"/>
      <c r="BUW318" s="26"/>
      <c r="BUX318" s="26"/>
      <c r="BUY318" s="26"/>
      <c r="BUZ318" s="26"/>
      <c r="BVA318" s="26"/>
      <c r="BVB318" s="26"/>
      <c r="BVC318" s="26"/>
      <c r="BVD318" s="26"/>
      <c r="BVE318" s="26"/>
      <c r="BVF318" s="26"/>
      <c r="BVG318" s="26"/>
      <c r="BVH318" s="26"/>
      <c r="BVI318" s="26"/>
      <c r="BVJ318" s="26"/>
      <c r="BVK318" s="26"/>
      <c r="BVL318" s="26"/>
      <c r="BVM318" s="26"/>
      <c r="BVN318" s="26"/>
      <c r="BVO318" s="26"/>
      <c r="BVP318" s="26"/>
      <c r="BVQ318" s="26"/>
      <c r="BVR318" s="26"/>
      <c r="BVS318" s="26"/>
      <c r="BVT318" s="26"/>
      <c r="BVU318" s="26"/>
      <c r="BVV318" s="26"/>
      <c r="BVW318" s="26"/>
      <c r="BVX318" s="26"/>
      <c r="BVY318" s="26"/>
      <c r="BVZ318" s="26"/>
      <c r="BWA318" s="26"/>
      <c r="BWB318" s="26"/>
      <c r="BWC318" s="26"/>
      <c r="BWD318" s="26"/>
      <c r="BWE318" s="26"/>
      <c r="BWF318" s="26"/>
      <c r="BWG318" s="26"/>
      <c r="BWH318" s="26"/>
      <c r="BWI318" s="26"/>
      <c r="BWJ318" s="26"/>
      <c r="BWK318" s="26"/>
      <c r="BWL318" s="26"/>
      <c r="BWM318" s="26"/>
      <c r="BWN318" s="26"/>
      <c r="BWO318" s="26"/>
      <c r="BWP318" s="26"/>
      <c r="BWQ318" s="26"/>
      <c r="BWR318" s="26"/>
      <c r="BWS318" s="26"/>
      <c r="BWT318" s="26"/>
      <c r="BWU318" s="26"/>
      <c r="BWV318" s="26"/>
      <c r="BWW318" s="26"/>
      <c r="BWX318" s="26"/>
      <c r="BWY318" s="26"/>
      <c r="BWZ318" s="26"/>
      <c r="BXA318" s="26"/>
      <c r="BXB318" s="26"/>
      <c r="BXC318" s="26"/>
      <c r="BXD318" s="26"/>
      <c r="BXE318" s="26"/>
      <c r="BXF318" s="26"/>
      <c r="BXG318" s="26"/>
      <c r="BXH318" s="26"/>
      <c r="BXI318" s="26"/>
      <c r="BXJ318" s="26"/>
      <c r="BXK318" s="26"/>
      <c r="BXL318" s="26"/>
      <c r="BXM318" s="26"/>
      <c r="BXN318" s="26"/>
      <c r="BXO318" s="26"/>
      <c r="BXP318" s="26"/>
      <c r="BXQ318" s="26"/>
      <c r="BXR318" s="26"/>
      <c r="BXS318" s="26"/>
      <c r="BXT318" s="26"/>
      <c r="BXU318" s="26"/>
      <c r="BXV318" s="26"/>
      <c r="BXW318" s="26"/>
      <c r="BXX318" s="26"/>
      <c r="BXY318" s="26"/>
      <c r="BXZ318" s="26"/>
      <c r="BYA318" s="26"/>
      <c r="BYB318" s="26"/>
      <c r="BYC318" s="26"/>
      <c r="BYD318" s="26"/>
      <c r="BYE318" s="26"/>
      <c r="BYF318" s="26"/>
      <c r="BYG318" s="26"/>
      <c r="BYH318" s="26"/>
      <c r="BYI318" s="26"/>
      <c r="BYJ318" s="26"/>
      <c r="BYK318" s="26"/>
      <c r="BYL318" s="26"/>
      <c r="BYM318" s="26"/>
      <c r="BYN318" s="26"/>
      <c r="BYO318" s="26"/>
      <c r="BYP318" s="26"/>
      <c r="BYQ318" s="26"/>
      <c r="BYR318" s="26"/>
      <c r="BYS318" s="26"/>
      <c r="BYT318" s="26"/>
      <c r="BYU318" s="26"/>
      <c r="BYV318" s="26"/>
      <c r="BYW318" s="26"/>
      <c r="BYX318" s="26"/>
      <c r="BYY318" s="26"/>
      <c r="BYZ318" s="26"/>
      <c r="BZA318" s="26"/>
      <c r="BZB318" s="26"/>
      <c r="BZC318" s="26"/>
      <c r="BZD318" s="26"/>
      <c r="BZE318" s="26"/>
      <c r="BZF318" s="26"/>
      <c r="BZG318" s="26"/>
      <c r="BZH318" s="26"/>
      <c r="BZI318" s="26"/>
      <c r="BZJ318" s="26"/>
      <c r="BZK318" s="26"/>
      <c r="BZL318" s="26"/>
      <c r="BZM318" s="26"/>
      <c r="BZN318" s="26"/>
      <c r="BZO318" s="26"/>
      <c r="BZP318" s="26"/>
      <c r="BZQ318" s="26"/>
      <c r="BZR318" s="26"/>
      <c r="BZS318" s="26"/>
      <c r="BZT318" s="26"/>
      <c r="BZU318" s="26"/>
      <c r="BZV318" s="26"/>
      <c r="BZW318" s="26"/>
      <c r="BZX318" s="26"/>
      <c r="BZY318" s="26"/>
      <c r="BZZ318" s="26"/>
      <c r="CAA318" s="26"/>
      <c r="CAB318" s="26"/>
      <c r="CAC318" s="26"/>
      <c r="CAD318" s="26"/>
      <c r="CAE318" s="26"/>
      <c r="CAF318" s="26"/>
      <c r="CAG318" s="26"/>
      <c r="CAH318" s="26"/>
      <c r="CAI318" s="26"/>
      <c r="CAJ318" s="26"/>
      <c r="CAK318" s="26"/>
      <c r="CAL318" s="26"/>
      <c r="CAM318" s="26"/>
      <c r="CAN318" s="26"/>
      <c r="CAO318" s="26"/>
      <c r="CAP318" s="26"/>
      <c r="CAQ318" s="26"/>
      <c r="CAR318" s="26"/>
      <c r="CAS318" s="26"/>
      <c r="CAT318" s="26"/>
      <c r="CAU318" s="26"/>
      <c r="CAV318" s="26"/>
      <c r="CAW318" s="26"/>
      <c r="CAX318" s="26"/>
      <c r="CAY318" s="26"/>
      <c r="CAZ318" s="26"/>
      <c r="CBA318" s="26"/>
      <c r="CBB318" s="26"/>
      <c r="CBC318" s="26"/>
      <c r="CBD318" s="26"/>
      <c r="CBE318" s="26"/>
      <c r="CBF318" s="26"/>
      <c r="CBG318" s="26"/>
      <c r="CBH318" s="26"/>
      <c r="CBI318" s="26"/>
    </row>
    <row r="319" spans="1:2089" ht="14" customHeight="1">
      <c r="A319" s="27">
        <v>318</v>
      </c>
      <c r="B319" s="27" t="s">
        <v>424</v>
      </c>
      <c r="C319" s="27">
        <v>2009</v>
      </c>
      <c r="D319" s="26" t="s">
        <v>25</v>
      </c>
      <c r="E319" s="26" t="s">
        <v>565</v>
      </c>
      <c r="F319" s="77" t="s">
        <v>175</v>
      </c>
      <c r="G319" s="2" t="s">
        <v>105</v>
      </c>
      <c r="H319" s="2" t="s">
        <v>30</v>
      </c>
      <c r="I319" s="2" t="s">
        <v>548</v>
      </c>
      <c r="J319" s="2" t="s">
        <v>604</v>
      </c>
      <c r="K319" s="2" t="s">
        <v>548</v>
      </c>
      <c r="L319" s="2" t="s">
        <v>548</v>
      </c>
      <c r="M319" s="2" t="s">
        <v>548</v>
      </c>
      <c r="N319" s="2" t="s">
        <v>62</v>
      </c>
      <c r="O319" s="2" t="s">
        <v>43</v>
      </c>
      <c r="P319" s="2" t="s">
        <v>62</v>
      </c>
      <c r="Q319" s="26" t="s">
        <v>606</v>
      </c>
      <c r="R319" s="102" t="s">
        <v>614</v>
      </c>
      <c r="S319" s="2">
        <v>0.28000000000000003</v>
      </c>
      <c r="T319" s="26">
        <v>173</v>
      </c>
      <c r="U319" s="77">
        <v>1</v>
      </c>
      <c r="V319" s="26">
        <v>0</v>
      </c>
      <c r="W319" s="26">
        <v>0</v>
      </c>
      <c r="X319" s="26">
        <v>0</v>
      </c>
      <c r="Y319" s="26">
        <v>0</v>
      </c>
      <c r="Z319" s="26">
        <v>0</v>
      </c>
      <c r="AA319" s="26">
        <v>0</v>
      </c>
      <c r="AB319" s="26">
        <v>0</v>
      </c>
      <c r="AC319" s="33" t="s">
        <v>70</v>
      </c>
      <c r="AD319" s="33" t="s">
        <v>70</v>
      </c>
      <c r="AE319" s="33" t="s">
        <v>70</v>
      </c>
      <c r="AF319" s="33" t="s">
        <v>70</v>
      </c>
      <c r="AG319" s="33" t="s">
        <v>70</v>
      </c>
      <c r="AH319" s="33" t="s">
        <v>70</v>
      </c>
      <c r="AI319" s="33" t="s">
        <v>70</v>
      </c>
      <c r="AJ319" s="26" t="s">
        <v>201</v>
      </c>
      <c r="AK319" s="33" t="s">
        <v>70</v>
      </c>
      <c r="AL319" s="33" t="s">
        <v>70</v>
      </c>
      <c r="AM319" s="35" t="s">
        <v>548</v>
      </c>
      <c r="AN319" s="26" t="s">
        <v>274</v>
      </c>
      <c r="AO319" s="26" t="s">
        <v>548</v>
      </c>
      <c r="AP319" s="38" t="s">
        <v>548</v>
      </c>
      <c r="AQ319" s="38" t="s">
        <v>548</v>
      </c>
      <c r="AR319" s="38" t="s">
        <v>548</v>
      </c>
      <c r="AS319" s="26" t="s">
        <v>175</v>
      </c>
      <c r="AT319" s="26" t="s">
        <v>70</v>
      </c>
      <c r="AU319" s="26" t="s">
        <v>70</v>
      </c>
      <c r="AV319" s="26">
        <v>2</v>
      </c>
    </row>
    <row r="320" spans="1:2089" ht="14" customHeight="1">
      <c r="A320" s="27">
        <v>319</v>
      </c>
      <c r="B320" s="27" t="s">
        <v>425</v>
      </c>
      <c r="C320" s="27">
        <v>2012</v>
      </c>
      <c r="D320" s="26" t="s">
        <v>67</v>
      </c>
      <c r="E320" s="26" t="s">
        <v>565</v>
      </c>
      <c r="F320" s="77" t="s">
        <v>175</v>
      </c>
      <c r="G320" s="2" t="s">
        <v>106</v>
      </c>
      <c r="H320" s="2" t="s">
        <v>275</v>
      </c>
      <c r="I320" s="2" t="s">
        <v>548</v>
      </c>
      <c r="J320" s="2" t="s">
        <v>604</v>
      </c>
      <c r="K320" s="2" t="s">
        <v>548</v>
      </c>
      <c r="L320" s="2" t="s">
        <v>548</v>
      </c>
      <c r="M320" s="2" t="s">
        <v>548</v>
      </c>
      <c r="N320" s="2" t="s">
        <v>62</v>
      </c>
      <c r="O320" s="2" t="s">
        <v>43</v>
      </c>
      <c r="P320" s="2" t="s">
        <v>62</v>
      </c>
      <c r="Q320" s="26" t="s">
        <v>606</v>
      </c>
      <c r="R320" s="102" t="s">
        <v>614</v>
      </c>
      <c r="S320" s="2">
        <f>29/T320</f>
        <v>0.64444444444444449</v>
      </c>
      <c r="T320" s="26">
        <v>45</v>
      </c>
      <c r="U320" s="77">
        <v>1</v>
      </c>
      <c r="V320" s="26">
        <v>1</v>
      </c>
      <c r="W320" s="26">
        <v>1</v>
      </c>
      <c r="X320" s="26">
        <v>1</v>
      </c>
      <c r="Y320" s="26">
        <v>0</v>
      </c>
      <c r="Z320" s="26">
        <v>0</v>
      </c>
      <c r="AA320" s="26">
        <v>1</v>
      </c>
      <c r="AB320" s="26">
        <v>1</v>
      </c>
      <c r="AC320" s="26" t="s">
        <v>70</v>
      </c>
      <c r="AD320" s="26" t="s">
        <v>70</v>
      </c>
      <c r="AE320" s="26" t="s">
        <v>70</v>
      </c>
      <c r="AF320" s="26" t="s">
        <v>70</v>
      </c>
      <c r="AG320" s="33">
        <f>(180*2 +43)/3</f>
        <v>134.33333333333334</v>
      </c>
      <c r="AH320" s="26" t="s">
        <v>70</v>
      </c>
      <c r="AI320" s="26" t="s">
        <v>70</v>
      </c>
      <c r="AJ320" s="26" t="s">
        <v>70</v>
      </c>
      <c r="AK320" s="26" t="s">
        <v>70</v>
      </c>
      <c r="AL320" s="26" t="s">
        <v>70</v>
      </c>
      <c r="AM320" s="35" t="s">
        <v>175</v>
      </c>
      <c r="AN320" s="26" t="s">
        <v>274</v>
      </c>
      <c r="AO320" s="35" t="s">
        <v>548</v>
      </c>
      <c r="AP320" s="35" t="s">
        <v>548</v>
      </c>
      <c r="AQ320" s="35" t="s">
        <v>548</v>
      </c>
      <c r="AR320" s="35" t="s">
        <v>548</v>
      </c>
      <c r="AS320" s="26" t="s">
        <v>175</v>
      </c>
      <c r="AT320" s="26" t="s">
        <v>70</v>
      </c>
      <c r="AU320" s="26" t="s">
        <v>70</v>
      </c>
      <c r="AV320" s="26">
        <v>8</v>
      </c>
    </row>
    <row r="321" spans="1:48" ht="14" customHeight="1">
      <c r="A321" s="27">
        <v>320</v>
      </c>
      <c r="B321" s="27" t="s">
        <v>426</v>
      </c>
      <c r="C321" s="26">
        <v>1990</v>
      </c>
      <c r="D321" s="26" t="s">
        <v>77</v>
      </c>
      <c r="E321" s="26" t="s">
        <v>563</v>
      </c>
      <c r="F321" s="77" t="s">
        <v>175</v>
      </c>
      <c r="G321" s="2" t="s">
        <v>105</v>
      </c>
      <c r="H321" s="2" t="s">
        <v>30</v>
      </c>
      <c r="I321" s="2" t="s">
        <v>548</v>
      </c>
      <c r="J321" s="2" t="s">
        <v>604</v>
      </c>
      <c r="K321" s="2" t="s">
        <v>548</v>
      </c>
      <c r="L321" s="2" t="s">
        <v>548</v>
      </c>
      <c r="M321" s="2" t="s">
        <v>175</v>
      </c>
      <c r="N321" s="2" t="s">
        <v>210</v>
      </c>
      <c r="O321" s="2" t="s">
        <v>43</v>
      </c>
      <c r="P321" s="2" t="s">
        <v>210</v>
      </c>
      <c r="Q321" s="2" t="s">
        <v>42</v>
      </c>
      <c r="R321" s="102" t="s">
        <v>614</v>
      </c>
      <c r="S321" s="88" t="s">
        <v>70</v>
      </c>
      <c r="T321" s="61">
        <v>529</v>
      </c>
      <c r="U321" s="77">
        <v>1</v>
      </c>
      <c r="V321" s="26">
        <v>0</v>
      </c>
      <c r="W321" s="26">
        <v>1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33" t="s">
        <v>70</v>
      </c>
      <c r="AD321" s="33" t="s">
        <v>70</v>
      </c>
      <c r="AE321" s="33" t="s">
        <v>70</v>
      </c>
      <c r="AF321" s="33" t="s">
        <v>70</v>
      </c>
      <c r="AG321" s="33">
        <v>15.56</v>
      </c>
      <c r="AH321" s="33" t="s">
        <v>70</v>
      </c>
      <c r="AI321" s="33" t="s">
        <v>70</v>
      </c>
      <c r="AJ321" s="33" t="s">
        <v>70</v>
      </c>
      <c r="AK321" s="33" t="s">
        <v>70</v>
      </c>
      <c r="AL321" s="33" t="s">
        <v>70</v>
      </c>
      <c r="AM321" s="61" t="s">
        <v>175</v>
      </c>
      <c r="AN321" s="32" t="s">
        <v>9</v>
      </c>
      <c r="AO321" s="35" t="s">
        <v>548</v>
      </c>
      <c r="AP321" s="35" t="s">
        <v>548</v>
      </c>
      <c r="AQ321" s="35" t="s">
        <v>548</v>
      </c>
      <c r="AR321" s="35" t="s">
        <v>548</v>
      </c>
      <c r="AS321" s="26" t="s">
        <v>175</v>
      </c>
      <c r="AT321" s="26" t="s">
        <v>70</v>
      </c>
      <c r="AU321" s="26" t="s">
        <v>70</v>
      </c>
      <c r="AV321" s="26">
        <v>5</v>
      </c>
    </row>
    <row r="322" spans="1:48" ht="14" customHeight="1">
      <c r="A322" s="27">
        <v>321</v>
      </c>
      <c r="B322" s="27" t="s">
        <v>426</v>
      </c>
      <c r="C322" s="26">
        <v>1990</v>
      </c>
      <c r="D322" s="26" t="s">
        <v>77</v>
      </c>
      <c r="E322" s="26" t="s">
        <v>563</v>
      </c>
      <c r="F322" s="77" t="s">
        <v>175</v>
      </c>
      <c r="G322" s="2" t="s">
        <v>105</v>
      </c>
      <c r="H322" s="2" t="s">
        <v>30</v>
      </c>
      <c r="I322" s="2" t="s">
        <v>548</v>
      </c>
      <c r="J322" s="2" t="s">
        <v>604</v>
      </c>
      <c r="K322" s="2" t="s">
        <v>548</v>
      </c>
      <c r="L322" s="2" t="s">
        <v>548</v>
      </c>
      <c r="M322" s="2" t="s">
        <v>175</v>
      </c>
      <c r="N322" s="2" t="s">
        <v>70</v>
      </c>
      <c r="O322" s="2" t="s">
        <v>209</v>
      </c>
      <c r="P322" s="2" t="s">
        <v>612</v>
      </c>
      <c r="Q322" s="2" t="s">
        <v>42</v>
      </c>
      <c r="R322" s="102" t="s">
        <v>614</v>
      </c>
      <c r="S322" s="88" t="s">
        <v>70</v>
      </c>
      <c r="T322" s="61">
        <v>338</v>
      </c>
      <c r="U322" s="77">
        <v>1</v>
      </c>
      <c r="V322" s="26">
        <v>0</v>
      </c>
      <c r="W322" s="26">
        <v>1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33" t="s">
        <v>70</v>
      </c>
      <c r="AD322" s="33" t="s">
        <v>70</v>
      </c>
      <c r="AE322" s="33" t="s">
        <v>70</v>
      </c>
      <c r="AF322" s="33" t="s">
        <v>70</v>
      </c>
      <c r="AG322" s="33">
        <v>33.72</v>
      </c>
      <c r="AH322" s="33" t="s">
        <v>70</v>
      </c>
      <c r="AI322" s="33" t="s">
        <v>70</v>
      </c>
      <c r="AJ322" s="33" t="s">
        <v>70</v>
      </c>
      <c r="AK322" s="33" t="s">
        <v>70</v>
      </c>
      <c r="AL322" s="33" t="s">
        <v>70</v>
      </c>
      <c r="AM322" s="61" t="s">
        <v>175</v>
      </c>
      <c r="AN322" s="32" t="s">
        <v>9</v>
      </c>
      <c r="AO322" s="35" t="s">
        <v>548</v>
      </c>
      <c r="AP322" s="35" t="s">
        <v>548</v>
      </c>
      <c r="AQ322" s="35" t="s">
        <v>548</v>
      </c>
      <c r="AR322" s="35" t="s">
        <v>548</v>
      </c>
      <c r="AS322" s="26" t="s">
        <v>175</v>
      </c>
      <c r="AT322" s="26" t="s">
        <v>70</v>
      </c>
      <c r="AU322" s="26" t="s">
        <v>70</v>
      </c>
      <c r="AV322" s="26">
        <v>5</v>
      </c>
    </row>
    <row r="323" spans="1:48" ht="14" customHeight="1">
      <c r="A323" s="27">
        <v>322</v>
      </c>
      <c r="B323" s="27" t="s">
        <v>426</v>
      </c>
      <c r="C323" s="26">
        <v>1990</v>
      </c>
      <c r="D323" s="26" t="s">
        <v>77</v>
      </c>
      <c r="E323" s="26" t="s">
        <v>563</v>
      </c>
      <c r="F323" s="77" t="s">
        <v>175</v>
      </c>
      <c r="G323" s="2" t="s">
        <v>105</v>
      </c>
      <c r="H323" s="2" t="s">
        <v>30</v>
      </c>
      <c r="I323" s="2" t="s">
        <v>548</v>
      </c>
      <c r="J323" s="2" t="s">
        <v>604</v>
      </c>
      <c r="K323" s="2" t="s">
        <v>548</v>
      </c>
      <c r="L323" s="2" t="s">
        <v>548</v>
      </c>
      <c r="M323" s="2" t="s">
        <v>175</v>
      </c>
      <c r="N323" s="2" t="s">
        <v>51</v>
      </c>
      <c r="O323" s="2" t="s">
        <v>43</v>
      </c>
      <c r="P323" s="2" t="s">
        <v>51</v>
      </c>
      <c r="Q323" s="2" t="s">
        <v>42</v>
      </c>
      <c r="R323" s="102" t="s">
        <v>614</v>
      </c>
      <c r="S323" s="88" t="s">
        <v>70</v>
      </c>
      <c r="T323" s="61">
        <v>234</v>
      </c>
      <c r="U323" s="77">
        <v>1</v>
      </c>
      <c r="V323" s="26">
        <v>0</v>
      </c>
      <c r="W323" s="26">
        <v>1</v>
      </c>
      <c r="X323" s="26">
        <v>0</v>
      </c>
      <c r="Y323" s="26">
        <v>0</v>
      </c>
      <c r="Z323" s="26">
        <v>0</v>
      </c>
      <c r="AA323" s="26">
        <v>0</v>
      </c>
      <c r="AB323" s="26">
        <v>0</v>
      </c>
      <c r="AC323" s="33" t="s">
        <v>70</v>
      </c>
      <c r="AD323" s="33" t="s">
        <v>70</v>
      </c>
      <c r="AE323" s="33" t="s">
        <v>70</v>
      </c>
      <c r="AF323" s="33" t="s">
        <v>70</v>
      </c>
      <c r="AG323" s="33">
        <v>65.94</v>
      </c>
      <c r="AH323" s="33" t="s">
        <v>70</v>
      </c>
      <c r="AI323" s="33" t="s">
        <v>70</v>
      </c>
      <c r="AJ323" s="33" t="s">
        <v>70</v>
      </c>
      <c r="AK323" s="33" t="s">
        <v>70</v>
      </c>
      <c r="AL323" s="33" t="s">
        <v>70</v>
      </c>
      <c r="AM323" s="61" t="s">
        <v>175</v>
      </c>
      <c r="AN323" s="32" t="s">
        <v>9</v>
      </c>
      <c r="AO323" s="35" t="s">
        <v>548</v>
      </c>
      <c r="AP323" s="35" t="s">
        <v>548</v>
      </c>
      <c r="AQ323" s="35" t="s">
        <v>548</v>
      </c>
      <c r="AR323" s="35" t="s">
        <v>548</v>
      </c>
      <c r="AS323" s="26" t="s">
        <v>175</v>
      </c>
      <c r="AT323" s="26" t="s">
        <v>70</v>
      </c>
      <c r="AU323" s="26" t="s">
        <v>70</v>
      </c>
      <c r="AV323" s="26">
        <v>5</v>
      </c>
    </row>
    <row r="324" spans="1:48" ht="14" customHeight="1">
      <c r="A324" s="27">
        <v>323</v>
      </c>
      <c r="B324" s="27" t="s">
        <v>426</v>
      </c>
      <c r="C324" s="26">
        <v>1990</v>
      </c>
      <c r="D324" s="26" t="s">
        <v>77</v>
      </c>
      <c r="E324" s="26" t="s">
        <v>563</v>
      </c>
      <c r="F324" s="77" t="s">
        <v>175</v>
      </c>
      <c r="G324" s="2" t="s">
        <v>105</v>
      </c>
      <c r="H324" s="2" t="s">
        <v>30</v>
      </c>
      <c r="I324" s="2" t="s">
        <v>548</v>
      </c>
      <c r="J324" s="2" t="s">
        <v>604</v>
      </c>
      <c r="K324" s="2" t="s">
        <v>548</v>
      </c>
      <c r="L324" s="2" t="s">
        <v>548</v>
      </c>
      <c r="M324" s="2" t="s">
        <v>175</v>
      </c>
      <c r="N324" s="2" t="s">
        <v>609</v>
      </c>
      <c r="O324" s="2" t="s">
        <v>60</v>
      </c>
      <c r="P324" s="2" t="s">
        <v>609</v>
      </c>
      <c r="Q324" s="2" t="s">
        <v>42</v>
      </c>
      <c r="R324" s="102" t="s">
        <v>614</v>
      </c>
      <c r="S324" s="88" t="s">
        <v>70</v>
      </c>
      <c r="T324" s="61">
        <v>233</v>
      </c>
      <c r="U324" s="77">
        <v>1</v>
      </c>
      <c r="V324" s="26">
        <v>0</v>
      </c>
      <c r="W324" s="26">
        <v>1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33" t="s">
        <v>70</v>
      </c>
      <c r="AD324" s="33" t="s">
        <v>70</v>
      </c>
      <c r="AE324" s="33" t="s">
        <v>70</v>
      </c>
      <c r="AF324" s="33" t="s">
        <v>70</v>
      </c>
      <c r="AG324" s="33">
        <v>266.42</v>
      </c>
      <c r="AH324" s="33" t="s">
        <v>70</v>
      </c>
      <c r="AI324" s="33" t="s">
        <v>70</v>
      </c>
      <c r="AJ324" s="33" t="s">
        <v>70</v>
      </c>
      <c r="AK324" s="33" t="s">
        <v>70</v>
      </c>
      <c r="AL324" s="33" t="s">
        <v>70</v>
      </c>
      <c r="AM324" s="61" t="s">
        <v>175</v>
      </c>
      <c r="AN324" s="32" t="s">
        <v>9</v>
      </c>
      <c r="AO324" s="35" t="s">
        <v>548</v>
      </c>
      <c r="AP324" s="35" t="s">
        <v>548</v>
      </c>
      <c r="AQ324" s="35" t="s">
        <v>548</v>
      </c>
      <c r="AR324" s="35" t="s">
        <v>548</v>
      </c>
      <c r="AS324" s="26" t="s">
        <v>175</v>
      </c>
      <c r="AT324" s="26" t="s">
        <v>70</v>
      </c>
      <c r="AU324" s="26" t="s">
        <v>70</v>
      </c>
      <c r="AV324" s="26">
        <v>5</v>
      </c>
    </row>
    <row r="325" spans="1:48" ht="14" customHeight="1">
      <c r="A325" s="27">
        <v>324</v>
      </c>
      <c r="B325" s="27" t="s">
        <v>427</v>
      </c>
      <c r="C325" s="37">
        <v>2007</v>
      </c>
      <c r="D325" s="26" t="s">
        <v>160</v>
      </c>
      <c r="E325" s="26" t="s">
        <v>565</v>
      </c>
      <c r="F325" s="77" t="s">
        <v>175</v>
      </c>
      <c r="G325" s="2" t="s">
        <v>84</v>
      </c>
      <c r="H325" s="2" t="s">
        <v>30</v>
      </c>
      <c r="I325" s="2" t="s">
        <v>548</v>
      </c>
      <c r="J325" s="2" t="s">
        <v>604</v>
      </c>
      <c r="K325" s="2" t="s">
        <v>548</v>
      </c>
      <c r="L325" s="2" t="s">
        <v>548</v>
      </c>
      <c r="M325" s="2" t="s">
        <v>548</v>
      </c>
      <c r="N325" s="2" t="s">
        <v>48</v>
      </c>
      <c r="O325" s="2" t="s">
        <v>209</v>
      </c>
      <c r="P325" s="2" t="s">
        <v>48</v>
      </c>
      <c r="Q325" s="2" t="s">
        <v>42</v>
      </c>
      <c r="R325" s="102" t="s">
        <v>614</v>
      </c>
      <c r="S325" s="2">
        <v>0</v>
      </c>
      <c r="T325" s="26">
        <v>90</v>
      </c>
      <c r="U325" s="77">
        <v>1</v>
      </c>
      <c r="V325" s="26">
        <v>0</v>
      </c>
      <c r="W325" s="26">
        <v>1</v>
      </c>
      <c r="X325" s="26">
        <v>1</v>
      </c>
      <c r="Y325" s="26">
        <v>1</v>
      </c>
      <c r="Z325" s="26">
        <v>0</v>
      </c>
      <c r="AA325" s="26">
        <v>0</v>
      </c>
      <c r="AB325" s="26">
        <v>0</v>
      </c>
      <c r="AC325" s="26" t="s">
        <v>70</v>
      </c>
      <c r="AD325" s="26" t="s">
        <v>70</v>
      </c>
      <c r="AE325" s="26" t="s">
        <v>70</v>
      </c>
      <c r="AF325" s="26" t="s">
        <v>70</v>
      </c>
      <c r="AG325" s="26" t="s">
        <v>70</v>
      </c>
      <c r="AH325" s="26" t="s">
        <v>70</v>
      </c>
      <c r="AI325" s="26" t="s">
        <v>70</v>
      </c>
      <c r="AJ325" s="26" t="s">
        <v>70</v>
      </c>
      <c r="AK325" s="26" t="s">
        <v>70</v>
      </c>
      <c r="AL325" s="26" t="s">
        <v>70</v>
      </c>
      <c r="AM325" s="35" t="s">
        <v>175</v>
      </c>
      <c r="AN325" s="26" t="s">
        <v>274</v>
      </c>
      <c r="AO325" s="35" t="s">
        <v>548</v>
      </c>
      <c r="AP325" s="35" t="s">
        <v>548</v>
      </c>
      <c r="AQ325" s="35" t="s">
        <v>548</v>
      </c>
      <c r="AR325" s="35" t="s">
        <v>548</v>
      </c>
      <c r="AS325" s="26" t="s">
        <v>175</v>
      </c>
      <c r="AT325" s="26" t="s">
        <v>70</v>
      </c>
      <c r="AU325" s="26" t="s">
        <v>70</v>
      </c>
      <c r="AV325" s="26">
        <v>6</v>
      </c>
    </row>
    <row r="326" spans="1:48" ht="14" customHeight="1">
      <c r="A326" s="27">
        <v>325</v>
      </c>
      <c r="B326" s="27" t="s">
        <v>427</v>
      </c>
      <c r="C326" s="37">
        <v>2007</v>
      </c>
      <c r="D326" s="26" t="s">
        <v>160</v>
      </c>
      <c r="E326" s="26" t="s">
        <v>565</v>
      </c>
      <c r="F326" s="77" t="s">
        <v>175</v>
      </c>
      <c r="G326" s="2" t="s">
        <v>84</v>
      </c>
      <c r="H326" s="2" t="s">
        <v>30</v>
      </c>
      <c r="I326" s="2" t="s">
        <v>548</v>
      </c>
      <c r="J326" s="2" t="s">
        <v>604</v>
      </c>
      <c r="K326" s="2" t="s">
        <v>548</v>
      </c>
      <c r="L326" s="2" t="s">
        <v>548</v>
      </c>
      <c r="M326" s="2" t="s">
        <v>548</v>
      </c>
      <c r="N326" s="2" t="s">
        <v>62</v>
      </c>
      <c r="O326" s="2" t="s">
        <v>43</v>
      </c>
      <c r="P326" s="2" t="s">
        <v>62</v>
      </c>
      <c r="Q326" s="26" t="s">
        <v>606</v>
      </c>
      <c r="R326" s="102" t="s">
        <v>614</v>
      </c>
      <c r="S326" s="2">
        <v>7.0000000000000007E-2</v>
      </c>
      <c r="T326" s="26">
        <v>100</v>
      </c>
      <c r="U326" s="77">
        <v>1</v>
      </c>
      <c r="V326" s="26">
        <v>0</v>
      </c>
      <c r="W326" s="26">
        <v>1</v>
      </c>
      <c r="X326" s="26">
        <v>1</v>
      </c>
      <c r="Y326" s="26">
        <v>1</v>
      </c>
      <c r="Z326" s="26">
        <v>0</v>
      </c>
      <c r="AA326" s="26">
        <v>0</v>
      </c>
      <c r="AB326" s="26">
        <v>0</v>
      </c>
      <c r="AC326" s="26" t="s">
        <v>70</v>
      </c>
      <c r="AD326" s="26" t="s">
        <v>70</v>
      </c>
      <c r="AE326" s="26" t="s">
        <v>70</v>
      </c>
      <c r="AF326" s="26" t="s">
        <v>70</v>
      </c>
      <c r="AG326" s="26" t="s">
        <v>70</v>
      </c>
      <c r="AH326" s="26" t="s">
        <v>70</v>
      </c>
      <c r="AI326" s="26" t="s">
        <v>70</v>
      </c>
      <c r="AJ326" s="26" t="s">
        <v>70</v>
      </c>
      <c r="AK326" s="26" t="s">
        <v>70</v>
      </c>
      <c r="AL326" s="26" t="s">
        <v>70</v>
      </c>
      <c r="AM326" s="35" t="s">
        <v>175</v>
      </c>
      <c r="AN326" s="26" t="s">
        <v>274</v>
      </c>
      <c r="AO326" s="35" t="s">
        <v>548</v>
      </c>
      <c r="AP326" s="35" t="s">
        <v>548</v>
      </c>
      <c r="AQ326" s="35" t="s">
        <v>548</v>
      </c>
      <c r="AR326" s="35" t="s">
        <v>548</v>
      </c>
      <c r="AS326" s="26" t="s">
        <v>175</v>
      </c>
      <c r="AT326" s="26" t="s">
        <v>70</v>
      </c>
      <c r="AU326" s="26" t="s">
        <v>70</v>
      </c>
      <c r="AV326" s="26">
        <v>6</v>
      </c>
    </row>
    <row r="327" spans="1:48" ht="14" customHeight="1">
      <c r="A327" s="27">
        <v>326</v>
      </c>
      <c r="B327" s="27" t="s">
        <v>428</v>
      </c>
      <c r="C327" s="27">
        <v>2004</v>
      </c>
      <c r="D327" s="26" t="s">
        <v>71</v>
      </c>
      <c r="E327" s="26" t="s">
        <v>565</v>
      </c>
      <c r="F327" s="77" t="s">
        <v>175</v>
      </c>
      <c r="G327" s="2" t="s">
        <v>148</v>
      </c>
      <c r="H327" s="2" t="s">
        <v>24</v>
      </c>
      <c r="I327" s="2" t="s">
        <v>548</v>
      </c>
      <c r="J327" s="2" t="s">
        <v>183</v>
      </c>
      <c r="K327" s="2" t="s">
        <v>548</v>
      </c>
      <c r="L327" s="2" t="s">
        <v>548</v>
      </c>
      <c r="M327" s="2" t="s">
        <v>175</v>
      </c>
      <c r="N327" s="2" t="s">
        <v>62</v>
      </c>
      <c r="O327" s="2" t="s">
        <v>43</v>
      </c>
      <c r="P327" s="2" t="s">
        <v>62</v>
      </c>
      <c r="Q327" s="26" t="s">
        <v>275</v>
      </c>
      <c r="R327" s="79" t="s">
        <v>613</v>
      </c>
      <c r="S327" s="90">
        <v>0.55000000000000004</v>
      </c>
      <c r="T327" s="26">
        <v>40</v>
      </c>
      <c r="U327" s="77">
        <v>1</v>
      </c>
      <c r="V327" s="26">
        <v>0</v>
      </c>
      <c r="W327" s="26">
        <v>1</v>
      </c>
      <c r="X327" s="26">
        <v>1</v>
      </c>
      <c r="Y327" s="26">
        <v>1</v>
      </c>
      <c r="Z327" s="26">
        <v>0</v>
      </c>
      <c r="AA327" s="26">
        <v>0</v>
      </c>
      <c r="AB327" s="26">
        <v>0</v>
      </c>
      <c r="AC327" s="26">
        <f>22/40</f>
        <v>0.55000000000000004</v>
      </c>
      <c r="AD327" s="26">
        <f>11/40</f>
        <v>0.27500000000000002</v>
      </c>
      <c r="AE327" s="26">
        <f>7/40</f>
        <v>0.17499999999999999</v>
      </c>
      <c r="AF327" s="26">
        <v>0</v>
      </c>
      <c r="AG327" s="33" t="s">
        <v>70</v>
      </c>
      <c r="AH327" s="33" t="s">
        <v>70</v>
      </c>
      <c r="AI327" s="33" t="s">
        <v>70</v>
      </c>
      <c r="AJ327" s="26" t="s">
        <v>70</v>
      </c>
      <c r="AK327" s="33" t="s">
        <v>70</v>
      </c>
      <c r="AL327" s="33" t="s">
        <v>70</v>
      </c>
      <c r="AM327" s="35" t="s">
        <v>175</v>
      </c>
      <c r="AN327" s="26" t="s">
        <v>617</v>
      </c>
      <c r="AO327" s="35" t="s">
        <v>548</v>
      </c>
      <c r="AP327" s="35" t="s">
        <v>548</v>
      </c>
      <c r="AQ327" s="35" t="s">
        <v>175</v>
      </c>
      <c r="AR327" s="35" t="s">
        <v>175</v>
      </c>
      <c r="AS327" s="26" t="s">
        <v>175</v>
      </c>
      <c r="AT327" s="26" t="s">
        <v>70</v>
      </c>
      <c r="AU327" s="26" t="s">
        <v>70</v>
      </c>
      <c r="AV327" s="26">
        <v>7</v>
      </c>
    </row>
    <row r="328" spans="1:48" ht="14" customHeight="1">
      <c r="A328" s="27">
        <v>327</v>
      </c>
      <c r="B328" s="27" t="s">
        <v>429</v>
      </c>
      <c r="C328" s="27">
        <v>2004</v>
      </c>
      <c r="D328" s="26" t="s">
        <v>132</v>
      </c>
      <c r="E328" s="26" t="s">
        <v>563</v>
      </c>
      <c r="F328" s="82" t="s">
        <v>175</v>
      </c>
      <c r="G328" s="2" t="s">
        <v>105</v>
      </c>
      <c r="H328" s="2" t="s">
        <v>24</v>
      </c>
      <c r="I328" s="2" t="s">
        <v>548</v>
      </c>
      <c r="J328" s="2" t="s">
        <v>604</v>
      </c>
      <c r="K328" s="2" t="s">
        <v>548</v>
      </c>
      <c r="L328" s="2" t="s">
        <v>548</v>
      </c>
      <c r="M328" s="2" t="s">
        <v>175</v>
      </c>
      <c r="N328" s="2" t="s">
        <v>609</v>
      </c>
      <c r="O328" s="2" t="s">
        <v>60</v>
      </c>
      <c r="P328" s="2" t="s">
        <v>609</v>
      </c>
      <c r="Q328" s="2" t="s">
        <v>42</v>
      </c>
      <c r="R328" s="102" t="s">
        <v>614</v>
      </c>
      <c r="S328" s="88" t="s">
        <v>70</v>
      </c>
      <c r="T328" s="26">
        <v>14</v>
      </c>
      <c r="U328" s="82">
        <v>1</v>
      </c>
      <c r="V328" s="26">
        <v>0</v>
      </c>
      <c r="W328" s="26">
        <v>1</v>
      </c>
      <c r="X328" s="26">
        <v>1</v>
      </c>
      <c r="Y328" s="26">
        <v>0</v>
      </c>
      <c r="Z328" s="26">
        <v>0</v>
      </c>
      <c r="AA328" s="26">
        <v>0</v>
      </c>
      <c r="AB328" s="26">
        <v>0</v>
      </c>
      <c r="AC328" s="26" t="s">
        <v>70</v>
      </c>
      <c r="AD328" s="26" t="s">
        <v>70</v>
      </c>
      <c r="AE328" s="26" t="s">
        <v>70</v>
      </c>
      <c r="AF328" s="26" t="s">
        <v>70</v>
      </c>
      <c r="AG328" s="26" t="s">
        <v>70</v>
      </c>
      <c r="AH328" s="26" t="s">
        <v>70</v>
      </c>
      <c r="AI328" s="26" t="s">
        <v>70</v>
      </c>
      <c r="AJ328" s="26" t="s">
        <v>70</v>
      </c>
      <c r="AK328" s="26" t="s">
        <v>70</v>
      </c>
      <c r="AL328" s="26" t="s">
        <v>70</v>
      </c>
      <c r="AM328" s="35" t="s">
        <v>548</v>
      </c>
      <c r="AN328" s="26" t="s">
        <v>274</v>
      </c>
      <c r="AO328" s="35" t="s">
        <v>548</v>
      </c>
      <c r="AP328" s="35" t="s">
        <v>548</v>
      </c>
      <c r="AQ328" s="35" t="s">
        <v>548</v>
      </c>
      <c r="AR328" s="35" t="s">
        <v>548</v>
      </c>
      <c r="AS328" s="26" t="s">
        <v>175</v>
      </c>
      <c r="AT328" s="26" t="s">
        <v>70</v>
      </c>
      <c r="AU328" s="26" t="s">
        <v>70</v>
      </c>
      <c r="AV328" s="26">
        <v>5</v>
      </c>
    </row>
    <row r="329" spans="1:48" ht="14" customHeight="1">
      <c r="A329" s="27">
        <v>328</v>
      </c>
      <c r="B329" s="27" t="s">
        <v>430</v>
      </c>
      <c r="C329" s="37">
        <v>2012</v>
      </c>
      <c r="D329" s="26" t="s">
        <v>25</v>
      </c>
      <c r="E329" s="26" t="s">
        <v>565</v>
      </c>
      <c r="F329" s="77" t="s">
        <v>175</v>
      </c>
      <c r="G329" s="2" t="s">
        <v>105</v>
      </c>
      <c r="H329" s="2" t="s">
        <v>24</v>
      </c>
      <c r="I329" s="2" t="s">
        <v>548</v>
      </c>
      <c r="J329" s="2" t="s">
        <v>604</v>
      </c>
      <c r="K329" s="2" t="s">
        <v>548</v>
      </c>
      <c r="L329" s="2" t="s">
        <v>548</v>
      </c>
      <c r="M329" s="2" t="s">
        <v>175</v>
      </c>
      <c r="N329" s="2" t="s">
        <v>210</v>
      </c>
      <c r="O329" s="2" t="s">
        <v>43</v>
      </c>
      <c r="P329" s="2" t="s">
        <v>210</v>
      </c>
      <c r="Q329" s="2" t="s">
        <v>42</v>
      </c>
      <c r="R329" s="79" t="s">
        <v>613</v>
      </c>
      <c r="S329" s="2">
        <v>0.19</v>
      </c>
      <c r="T329" s="26">
        <v>100</v>
      </c>
      <c r="U329" s="77">
        <v>1</v>
      </c>
      <c r="V329" s="26">
        <v>0</v>
      </c>
      <c r="W329" s="26">
        <v>1</v>
      </c>
      <c r="X329" s="26">
        <v>1</v>
      </c>
      <c r="Y329" s="26">
        <v>1</v>
      </c>
      <c r="Z329" s="26">
        <v>0</v>
      </c>
      <c r="AA329" s="26">
        <v>0</v>
      </c>
      <c r="AB329" s="26">
        <v>0</v>
      </c>
      <c r="AC329" s="26" t="s">
        <v>70</v>
      </c>
      <c r="AD329" s="26" t="s">
        <v>70</v>
      </c>
      <c r="AE329" s="26" t="s">
        <v>70</v>
      </c>
      <c r="AF329" s="26" t="s">
        <v>70</v>
      </c>
      <c r="AG329" s="26" t="s">
        <v>70</v>
      </c>
      <c r="AH329" s="26" t="s">
        <v>70</v>
      </c>
      <c r="AI329" s="26" t="s">
        <v>70</v>
      </c>
      <c r="AJ329" s="26" t="s">
        <v>70</v>
      </c>
      <c r="AK329" s="26" t="s">
        <v>70</v>
      </c>
      <c r="AL329" s="26" t="s">
        <v>70</v>
      </c>
      <c r="AM329" s="35" t="s">
        <v>175</v>
      </c>
      <c r="AN329" s="26" t="s">
        <v>274</v>
      </c>
      <c r="AO329" s="35" t="s">
        <v>548</v>
      </c>
      <c r="AP329" s="35" t="s">
        <v>548</v>
      </c>
      <c r="AQ329" s="35" t="s">
        <v>548</v>
      </c>
      <c r="AR329" s="35" t="s">
        <v>548</v>
      </c>
      <c r="AS329" s="26" t="s">
        <v>175</v>
      </c>
      <c r="AT329" s="26" t="s">
        <v>70</v>
      </c>
      <c r="AU329" s="26" t="s">
        <v>70</v>
      </c>
      <c r="AV329" s="26">
        <v>7</v>
      </c>
    </row>
    <row r="330" spans="1:48" ht="14" customHeight="1">
      <c r="A330" s="27">
        <v>329</v>
      </c>
      <c r="B330" s="27" t="s">
        <v>430</v>
      </c>
      <c r="C330" s="37">
        <v>2012</v>
      </c>
      <c r="D330" s="26" t="s">
        <v>25</v>
      </c>
      <c r="E330" s="26" t="s">
        <v>565</v>
      </c>
      <c r="F330" s="77" t="s">
        <v>175</v>
      </c>
      <c r="G330" s="2" t="s">
        <v>105</v>
      </c>
      <c r="H330" s="2" t="s">
        <v>24</v>
      </c>
      <c r="I330" s="2" t="s">
        <v>548</v>
      </c>
      <c r="J330" s="2" t="s">
        <v>604</v>
      </c>
      <c r="K330" s="2" t="s">
        <v>548</v>
      </c>
      <c r="L330" s="2" t="s">
        <v>548</v>
      </c>
      <c r="M330" s="2" t="s">
        <v>548</v>
      </c>
      <c r="N330" s="2" t="s">
        <v>62</v>
      </c>
      <c r="O330" s="2" t="s">
        <v>43</v>
      </c>
      <c r="P330" s="2" t="s">
        <v>62</v>
      </c>
      <c r="Q330" s="26" t="s">
        <v>607</v>
      </c>
      <c r="R330" s="102" t="s">
        <v>614</v>
      </c>
      <c r="S330" s="2">
        <v>0.18</v>
      </c>
      <c r="T330" s="26">
        <v>100</v>
      </c>
      <c r="U330" s="77">
        <v>1</v>
      </c>
      <c r="V330" s="26">
        <v>0</v>
      </c>
      <c r="W330" s="26">
        <v>1</v>
      </c>
      <c r="X330" s="26">
        <v>1</v>
      </c>
      <c r="Y330" s="26">
        <v>1</v>
      </c>
      <c r="Z330" s="26">
        <v>1</v>
      </c>
      <c r="AA330" s="26">
        <v>0</v>
      </c>
      <c r="AB330" s="26">
        <v>0</v>
      </c>
      <c r="AC330" s="33" t="s">
        <v>70</v>
      </c>
      <c r="AD330" s="33" t="s">
        <v>70</v>
      </c>
      <c r="AE330" s="33" t="s">
        <v>70</v>
      </c>
      <c r="AF330" s="33" t="s">
        <v>70</v>
      </c>
      <c r="AG330" s="33" t="s">
        <v>70</v>
      </c>
      <c r="AH330" s="33" t="s">
        <v>70</v>
      </c>
      <c r="AI330" s="33" t="s">
        <v>70</v>
      </c>
      <c r="AJ330" s="33" t="s">
        <v>70</v>
      </c>
      <c r="AK330" s="33" t="s">
        <v>70</v>
      </c>
      <c r="AL330" s="33" t="s">
        <v>70</v>
      </c>
      <c r="AM330" s="35" t="s">
        <v>175</v>
      </c>
      <c r="AN330" s="26" t="s">
        <v>274</v>
      </c>
      <c r="AO330" s="35" t="s">
        <v>548</v>
      </c>
      <c r="AP330" s="35" t="s">
        <v>548</v>
      </c>
      <c r="AQ330" s="35" t="s">
        <v>548</v>
      </c>
      <c r="AR330" s="35" t="s">
        <v>548</v>
      </c>
      <c r="AS330" s="26" t="s">
        <v>175</v>
      </c>
      <c r="AT330" s="26" t="s">
        <v>70</v>
      </c>
      <c r="AU330" s="26" t="s">
        <v>70</v>
      </c>
      <c r="AV330" s="26">
        <v>7</v>
      </c>
    </row>
    <row r="331" spans="1:48" ht="14" customHeight="1">
      <c r="A331" s="27">
        <v>330</v>
      </c>
      <c r="B331" s="27" t="s">
        <v>431</v>
      </c>
      <c r="C331" s="37">
        <v>2012</v>
      </c>
      <c r="D331" s="26" t="s">
        <v>18</v>
      </c>
      <c r="E331" s="26" t="s">
        <v>566</v>
      </c>
      <c r="F331" s="77" t="s">
        <v>175</v>
      </c>
      <c r="G331" s="2" t="s">
        <v>84</v>
      </c>
      <c r="H331" s="2" t="s">
        <v>24</v>
      </c>
      <c r="I331" s="2" t="s">
        <v>548</v>
      </c>
      <c r="J331" s="2" t="s">
        <v>604</v>
      </c>
      <c r="K331" s="2" t="s">
        <v>548</v>
      </c>
      <c r="L331" s="2" t="s">
        <v>548</v>
      </c>
      <c r="M331" s="2" t="s">
        <v>175</v>
      </c>
      <c r="N331" s="78" t="s">
        <v>70</v>
      </c>
      <c r="O331" s="2" t="s">
        <v>209</v>
      </c>
      <c r="P331" s="2" t="s">
        <v>612</v>
      </c>
      <c r="Q331" s="2" t="s">
        <v>42</v>
      </c>
      <c r="R331" s="102" t="s">
        <v>614</v>
      </c>
      <c r="S331" s="90">
        <f>19/T331</f>
        <v>0.23749999999999999</v>
      </c>
      <c r="T331" s="26">
        <v>80</v>
      </c>
      <c r="U331" s="77">
        <v>1</v>
      </c>
      <c r="V331" s="26">
        <v>1</v>
      </c>
      <c r="W331" s="26">
        <v>1</v>
      </c>
      <c r="X331" s="26">
        <v>1</v>
      </c>
      <c r="Y331" s="26">
        <v>1</v>
      </c>
      <c r="Z331" s="26">
        <v>1</v>
      </c>
      <c r="AA331" s="26">
        <v>0</v>
      </c>
      <c r="AB331" s="26">
        <v>0</v>
      </c>
      <c r="AC331" s="26" t="s">
        <v>70</v>
      </c>
      <c r="AD331" s="26" t="s">
        <v>70</v>
      </c>
      <c r="AE331" s="26" t="s">
        <v>70</v>
      </c>
      <c r="AF331" s="26" t="s">
        <v>70</v>
      </c>
      <c r="AG331" s="26" t="s">
        <v>70</v>
      </c>
      <c r="AH331" s="26" t="s">
        <v>70</v>
      </c>
      <c r="AI331" s="26" t="s">
        <v>70</v>
      </c>
      <c r="AJ331" s="26" t="s">
        <v>70</v>
      </c>
      <c r="AK331" s="26" t="s">
        <v>70</v>
      </c>
      <c r="AL331" s="26" t="s">
        <v>70</v>
      </c>
      <c r="AM331" s="35" t="s">
        <v>175</v>
      </c>
      <c r="AN331" s="26" t="s">
        <v>274</v>
      </c>
      <c r="AO331" s="35" t="s">
        <v>548</v>
      </c>
      <c r="AP331" s="35" t="s">
        <v>548</v>
      </c>
      <c r="AQ331" s="35" t="s">
        <v>548</v>
      </c>
      <c r="AR331" s="35" t="s">
        <v>548</v>
      </c>
      <c r="AS331" s="26" t="s">
        <v>175</v>
      </c>
      <c r="AT331" s="26" t="s">
        <v>70</v>
      </c>
      <c r="AU331" s="26" t="s">
        <v>70</v>
      </c>
      <c r="AV331" s="26">
        <v>9</v>
      </c>
    </row>
    <row r="332" spans="1:48" ht="14" customHeight="1">
      <c r="A332" s="27">
        <v>331</v>
      </c>
      <c r="B332" s="27" t="s">
        <v>432</v>
      </c>
      <c r="C332" s="27">
        <v>1998</v>
      </c>
      <c r="D332" s="26" t="s">
        <v>134</v>
      </c>
      <c r="E332" s="26" t="s">
        <v>563</v>
      </c>
      <c r="F332" s="77" t="s">
        <v>175</v>
      </c>
      <c r="G332" s="2" t="s">
        <v>84</v>
      </c>
      <c r="H332" s="2" t="s">
        <v>30</v>
      </c>
      <c r="I332" s="2" t="s">
        <v>548</v>
      </c>
      <c r="J332" s="2" t="s">
        <v>604</v>
      </c>
      <c r="K332" s="2" t="s">
        <v>548</v>
      </c>
      <c r="L332" s="2" t="s">
        <v>548</v>
      </c>
      <c r="M332" s="2" t="s">
        <v>548</v>
      </c>
      <c r="N332" s="2" t="s">
        <v>210</v>
      </c>
      <c r="O332" s="2" t="s">
        <v>43</v>
      </c>
      <c r="P332" s="2" t="s">
        <v>210</v>
      </c>
      <c r="Q332" s="2" t="s">
        <v>42</v>
      </c>
      <c r="R332" s="102" t="s">
        <v>614</v>
      </c>
      <c r="S332" s="2">
        <f>7/T332</f>
        <v>0.12727272727272726</v>
      </c>
      <c r="T332" s="26">
        <v>55</v>
      </c>
      <c r="U332" s="77">
        <v>1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33" t="s">
        <v>70</v>
      </c>
      <c r="AD332" s="33" t="s">
        <v>70</v>
      </c>
      <c r="AE332" s="33" t="s">
        <v>70</v>
      </c>
      <c r="AF332" s="33" t="s">
        <v>70</v>
      </c>
      <c r="AG332" s="33" t="s">
        <v>70</v>
      </c>
      <c r="AH332" s="33" t="s">
        <v>70</v>
      </c>
      <c r="AI332" s="33" t="s">
        <v>70</v>
      </c>
      <c r="AJ332" s="33" t="s">
        <v>70</v>
      </c>
      <c r="AK332" s="33" t="s">
        <v>70</v>
      </c>
      <c r="AL332" s="33" t="s">
        <v>70</v>
      </c>
      <c r="AM332" s="35" t="s">
        <v>175</v>
      </c>
      <c r="AN332" s="32" t="s">
        <v>9</v>
      </c>
      <c r="AO332" s="35" t="s">
        <v>548</v>
      </c>
      <c r="AP332" s="35" t="s">
        <v>548</v>
      </c>
      <c r="AQ332" s="35" t="s">
        <v>548</v>
      </c>
      <c r="AR332" s="35" t="s">
        <v>548</v>
      </c>
      <c r="AS332" s="26" t="s">
        <v>175</v>
      </c>
      <c r="AT332" s="26" t="s">
        <v>70</v>
      </c>
      <c r="AU332" s="26" t="s">
        <v>70</v>
      </c>
      <c r="AV332" s="26">
        <v>3</v>
      </c>
    </row>
    <row r="333" spans="1:48" ht="14" customHeight="1">
      <c r="A333" s="27">
        <v>332</v>
      </c>
      <c r="B333" s="27" t="s">
        <v>432</v>
      </c>
      <c r="C333" s="27">
        <v>1998</v>
      </c>
      <c r="D333" s="26" t="s">
        <v>134</v>
      </c>
      <c r="E333" s="26" t="s">
        <v>563</v>
      </c>
      <c r="F333" s="77" t="s">
        <v>175</v>
      </c>
      <c r="G333" s="2" t="s">
        <v>84</v>
      </c>
      <c r="H333" s="2" t="s">
        <v>30</v>
      </c>
      <c r="I333" s="2" t="s">
        <v>548</v>
      </c>
      <c r="J333" s="2" t="s">
        <v>604</v>
      </c>
      <c r="K333" s="2" t="s">
        <v>548</v>
      </c>
      <c r="L333" s="2" t="s">
        <v>548</v>
      </c>
      <c r="M333" s="2" t="s">
        <v>548</v>
      </c>
      <c r="N333" s="2" t="s">
        <v>70</v>
      </c>
      <c r="O333" s="2" t="s">
        <v>209</v>
      </c>
      <c r="P333" s="2" t="s">
        <v>611</v>
      </c>
      <c r="Q333" s="2" t="s">
        <v>42</v>
      </c>
      <c r="R333" s="102" t="s">
        <v>614</v>
      </c>
      <c r="S333" s="2">
        <f>3/T333</f>
        <v>0.3</v>
      </c>
      <c r="T333" s="26">
        <v>10</v>
      </c>
      <c r="U333" s="77">
        <v>1</v>
      </c>
      <c r="V333" s="26">
        <v>0</v>
      </c>
      <c r="W333" s="26">
        <v>0</v>
      </c>
      <c r="X333" s="26">
        <v>0</v>
      </c>
      <c r="Y333" s="26">
        <v>0</v>
      </c>
      <c r="Z333" s="26">
        <v>0</v>
      </c>
      <c r="AA333" s="26">
        <v>0</v>
      </c>
      <c r="AB333" s="26">
        <v>0</v>
      </c>
      <c r="AC333" s="33" t="s">
        <v>70</v>
      </c>
      <c r="AD333" s="33" t="s">
        <v>70</v>
      </c>
      <c r="AE333" s="33" t="s">
        <v>70</v>
      </c>
      <c r="AF333" s="33" t="s">
        <v>70</v>
      </c>
      <c r="AG333" s="33" t="s">
        <v>70</v>
      </c>
      <c r="AH333" s="33" t="s">
        <v>70</v>
      </c>
      <c r="AI333" s="33" t="s">
        <v>70</v>
      </c>
      <c r="AJ333" s="33" t="s">
        <v>70</v>
      </c>
      <c r="AK333" s="33" t="s">
        <v>70</v>
      </c>
      <c r="AL333" s="33" t="s">
        <v>70</v>
      </c>
      <c r="AM333" s="35" t="s">
        <v>175</v>
      </c>
      <c r="AN333" s="32" t="s">
        <v>9</v>
      </c>
      <c r="AO333" s="35" t="s">
        <v>548</v>
      </c>
      <c r="AP333" s="35" t="s">
        <v>548</v>
      </c>
      <c r="AQ333" s="35" t="s">
        <v>548</v>
      </c>
      <c r="AR333" s="35" t="s">
        <v>548</v>
      </c>
      <c r="AS333" s="26" t="s">
        <v>175</v>
      </c>
      <c r="AT333" s="26" t="s">
        <v>70</v>
      </c>
      <c r="AU333" s="26" t="s">
        <v>70</v>
      </c>
      <c r="AV333" s="26">
        <v>3</v>
      </c>
    </row>
    <row r="334" spans="1:48" ht="14" customHeight="1">
      <c r="A334" s="27">
        <v>333</v>
      </c>
      <c r="B334" s="27" t="s">
        <v>432</v>
      </c>
      <c r="C334" s="27">
        <v>1998</v>
      </c>
      <c r="D334" s="26" t="s">
        <v>134</v>
      </c>
      <c r="E334" s="26" t="s">
        <v>563</v>
      </c>
      <c r="F334" s="77" t="s">
        <v>175</v>
      </c>
      <c r="G334" s="2" t="s">
        <v>84</v>
      </c>
      <c r="H334" s="2" t="s">
        <v>30</v>
      </c>
      <c r="I334" s="2" t="s">
        <v>548</v>
      </c>
      <c r="J334" s="2" t="s">
        <v>604</v>
      </c>
      <c r="K334" s="2" t="s">
        <v>548</v>
      </c>
      <c r="L334" s="2" t="s">
        <v>548</v>
      </c>
      <c r="M334" s="2" t="s">
        <v>548</v>
      </c>
      <c r="N334" s="2" t="s">
        <v>70</v>
      </c>
      <c r="O334" s="2" t="s">
        <v>209</v>
      </c>
      <c r="P334" s="2" t="s">
        <v>612</v>
      </c>
      <c r="Q334" s="2" t="s">
        <v>42</v>
      </c>
      <c r="R334" s="102" t="s">
        <v>614</v>
      </c>
      <c r="S334" s="2">
        <f>9/T334</f>
        <v>0.69230769230769229</v>
      </c>
      <c r="T334" s="26">
        <v>13</v>
      </c>
      <c r="U334" s="77">
        <v>1</v>
      </c>
      <c r="V334" s="26">
        <v>0</v>
      </c>
      <c r="W334" s="26">
        <v>0</v>
      </c>
      <c r="X334" s="26">
        <v>0</v>
      </c>
      <c r="Y334" s="26">
        <v>0</v>
      </c>
      <c r="Z334" s="26">
        <v>0</v>
      </c>
      <c r="AA334" s="26">
        <v>0</v>
      </c>
      <c r="AB334" s="26">
        <v>0</v>
      </c>
      <c r="AC334" s="33" t="s">
        <v>70</v>
      </c>
      <c r="AD334" s="33" t="s">
        <v>70</v>
      </c>
      <c r="AE334" s="33" t="s">
        <v>70</v>
      </c>
      <c r="AF334" s="33" t="s">
        <v>70</v>
      </c>
      <c r="AG334" s="33" t="s">
        <v>70</v>
      </c>
      <c r="AH334" s="33" t="s">
        <v>70</v>
      </c>
      <c r="AI334" s="33" t="s">
        <v>70</v>
      </c>
      <c r="AJ334" s="33" t="s">
        <v>70</v>
      </c>
      <c r="AK334" s="33" t="s">
        <v>70</v>
      </c>
      <c r="AL334" s="33" t="s">
        <v>70</v>
      </c>
      <c r="AM334" s="35" t="s">
        <v>175</v>
      </c>
      <c r="AN334" s="32" t="s">
        <v>9</v>
      </c>
      <c r="AO334" s="35" t="s">
        <v>548</v>
      </c>
      <c r="AP334" s="35" t="s">
        <v>548</v>
      </c>
      <c r="AQ334" s="35" t="s">
        <v>548</v>
      </c>
      <c r="AR334" s="35" t="s">
        <v>548</v>
      </c>
      <c r="AS334" s="26" t="s">
        <v>175</v>
      </c>
      <c r="AT334" s="26" t="s">
        <v>70</v>
      </c>
      <c r="AU334" s="26" t="s">
        <v>70</v>
      </c>
      <c r="AV334" s="26">
        <v>3</v>
      </c>
    </row>
    <row r="335" spans="1:48" ht="14" customHeight="1">
      <c r="A335" s="27">
        <v>334</v>
      </c>
      <c r="B335" s="27" t="s">
        <v>433</v>
      </c>
      <c r="C335" s="27">
        <v>2001</v>
      </c>
      <c r="D335" s="26" t="s">
        <v>134</v>
      </c>
      <c r="E335" s="26" t="s">
        <v>563</v>
      </c>
      <c r="F335" s="77" t="s">
        <v>175</v>
      </c>
      <c r="G335" s="2" t="s">
        <v>105</v>
      </c>
      <c r="H335" s="2" t="s">
        <v>24</v>
      </c>
      <c r="I335" s="2" t="s">
        <v>548</v>
      </c>
      <c r="J335" s="2" t="s">
        <v>604</v>
      </c>
      <c r="K335" s="2" t="s">
        <v>548</v>
      </c>
      <c r="L335" s="2" t="s">
        <v>548</v>
      </c>
      <c r="M335" s="2" t="s">
        <v>175</v>
      </c>
      <c r="N335" s="2" t="s">
        <v>210</v>
      </c>
      <c r="O335" s="2" t="s">
        <v>43</v>
      </c>
      <c r="P335" s="2" t="s">
        <v>210</v>
      </c>
      <c r="Q335" s="2" t="s">
        <v>42</v>
      </c>
      <c r="R335" s="102" t="s">
        <v>614</v>
      </c>
      <c r="S335" s="90">
        <v>0.13</v>
      </c>
      <c r="T335" s="26">
        <v>55</v>
      </c>
      <c r="U335" s="77">
        <v>1</v>
      </c>
      <c r="V335" s="26">
        <v>0</v>
      </c>
      <c r="W335" s="26">
        <v>1</v>
      </c>
      <c r="X335" s="26">
        <v>1</v>
      </c>
      <c r="Y335" s="26">
        <v>0</v>
      </c>
      <c r="Z335" s="26">
        <v>0</v>
      </c>
      <c r="AA335" s="26">
        <v>0</v>
      </c>
      <c r="AB335" s="26">
        <v>0</v>
      </c>
      <c r="AC335" s="76">
        <v>0.78181818181818186</v>
      </c>
      <c r="AD335" s="76">
        <v>0.10909090909090909</v>
      </c>
      <c r="AE335" s="76">
        <v>7.2727272727272724E-2</v>
      </c>
      <c r="AF335" s="76">
        <v>3.6363636363636362E-2</v>
      </c>
      <c r="AG335" s="88">
        <v>7.4</v>
      </c>
      <c r="AH335" s="88">
        <v>0.9940890498550502</v>
      </c>
      <c r="AI335" s="88">
        <v>0</v>
      </c>
      <c r="AJ335" s="76" t="s">
        <v>537</v>
      </c>
      <c r="AK335" s="88">
        <v>22.27</v>
      </c>
      <c r="AL335" s="33" t="s">
        <v>70</v>
      </c>
      <c r="AM335" s="35" t="s">
        <v>175</v>
      </c>
      <c r="AN335" s="32" t="s">
        <v>9</v>
      </c>
      <c r="AO335" s="35" t="s">
        <v>548</v>
      </c>
      <c r="AP335" s="35" t="s">
        <v>548</v>
      </c>
      <c r="AQ335" s="35" t="s">
        <v>548</v>
      </c>
      <c r="AR335" s="35" t="s">
        <v>548</v>
      </c>
      <c r="AS335" s="26" t="s">
        <v>175</v>
      </c>
      <c r="AT335" s="26" t="s">
        <v>70</v>
      </c>
      <c r="AU335" s="26" t="s">
        <v>70</v>
      </c>
      <c r="AV335" s="26">
        <v>6</v>
      </c>
    </row>
    <row r="336" spans="1:48" ht="14" customHeight="1">
      <c r="A336" s="27">
        <v>335</v>
      </c>
      <c r="B336" s="27" t="s">
        <v>433</v>
      </c>
      <c r="C336" s="27">
        <v>2001</v>
      </c>
      <c r="D336" s="26" t="s">
        <v>134</v>
      </c>
      <c r="E336" s="26" t="s">
        <v>563</v>
      </c>
      <c r="F336" s="77" t="s">
        <v>175</v>
      </c>
      <c r="G336" s="2" t="s">
        <v>105</v>
      </c>
      <c r="H336" s="2" t="s">
        <v>24</v>
      </c>
      <c r="I336" s="2" t="s">
        <v>548</v>
      </c>
      <c r="J336" s="2" t="s">
        <v>604</v>
      </c>
      <c r="K336" s="2" t="s">
        <v>548</v>
      </c>
      <c r="L336" s="2" t="s">
        <v>548</v>
      </c>
      <c r="M336" s="2" t="s">
        <v>175</v>
      </c>
      <c r="N336" s="2" t="s">
        <v>70</v>
      </c>
      <c r="O336" s="2" t="s">
        <v>209</v>
      </c>
      <c r="P336" s="2" t="s">
        <v>611</v>
      </c>
      <c r="Q336" s="2" t="s">
        <v>42</v>
      </c>
      <c r="R336" s="102" t="s">
        <v>614</v>
      </c>
      <c r="S336" s="90">
        <v>0.3</v>
      </c>
      <c r="T336" s="26">
        <v>10</v>
      </c>
      <c r="U336" s="77">
        <v>1</v>
      </c>
      <c r="V336" s="26">
        <v>0</v>
      </c>
      <c r="W336" s="26">
        <v>1</v>
      </c>
      <c r="X336" s="26">
        <v>1</v>
      </c>
      <c r="Y336" s="26">
        <v>0</v>
      </c>
      <c r="Z336" s="26">
        <v>0</v>
      </c>
      <c r="AA336" s="26">
        <v>0</v>
      </c>
      <c r="AB336" s="26">
        <v>0</v>
      </c>
      <c r="AC336" s="76">
        <v>0.7</v>
      </c>
      <c r="AD336" s="76">
        <v>0.3</v>
      </c>
      <c r="AE336" s="76">
        <v>0</v>
      </c>
      <c r="AF336" s="76">
        <v>0</v>
      </c>
      <c r="AG336" s="88">
        <v>0.5</v>
      </c>
      <c r="AH336" s="88">
        <v>0.76997412452940772</v>
      </c>
      <c r="AI336" s="88">
        <v>0</v>
      </c>
      <c r="AJ336" s="76" t="s">
        <v>536</v>
      </c>
      <c r="AK336" s="88">
        <v>0.84899999999999998</v>
      </c>
      <c r="AL336" s="33" t="s">
        <v>70</v>
      </c>
      <c r="AM336" s="35" t="s">
        <v>175</v>
      </c>
      <c r="AN336" s="32" t="s">
        <v>9</v>
      </c>
      <c r="AO336" s="35" t="s">
        <v>548</v>
      </c>
      <c r="AP336" s="35" t="s">
        <v>548</v>
      </c>
      <c r="AQ336" s="35" t="s">
        <v>548</v>
      </c>
      <c r="AR336" s="35" t="s">
        <v>548</v>
      </c>
      <c r="AS336" s="26" t="s">
        <v>175</v>
      </c>
      <c r="AT336" s="26" t="s">
        <v>70</v>
      </c>
      <c r="AU336" s="26" t="s">
        <v>70</v>
      </c>
      <c r="AV336" s="26">
        <v>6</v>
      </c>
    </row>
    <row r="337" spans="1:48" ht="14" customHeight="1">
      <c r="A337" s="27">
        <v>336</v>
      </c>
      <c r="B337" s="27" t="s">
        <v>433</v>
      </c>
      <c r="C337" s="27">
        <v>2001</v>
      </c>
      <c r="D337" s="26" t="s">
        <v>134</v>
      </c>
      <c r="E337" s="26" t="s">
        <v>563</v>
      </c>
      <c r="F337" s="77" t="s">
        <v>175</v>
      </c>
      <c r="G337" s="2" t="s">
        <v>105</v>
      </c>
      <c r="H337" s="2" t="s">
        <v>24</v>
      </c>
      <c r="I337" s="2" t="s">
        <v>548</v>
      </c>
      <c r="J337" s="2" t="s">
        <v>604</v>
      </c>
      <c r="K337" s="2" t="s">
        <v>548</v>
      </c>
      <c r="L337" s="2" t="s">
        <v>548</v>
      </c>
      <c r="M337" s="2" t="s">
        <v>175</v>
      </c>
      <c r="N337" s="78" t="s">
        <v>70</v>
      </c>
      <c r="O337" s="2" t="s">
        <v>209</v>
      </c>
      <c r="P337" s="2" t="s">
        <v>612</v>
      </c>
      <c r="Q337" s="2" t="s">
        <v>42</v>
      </c>
      <c r="R337" s="102" t="s">
        <v>614</v>
      </c>
      <c r="S337" s="90">
        <f>9/T337</f>
        <v>0.69230769230769229</v>
      </c>
      <c r="T337" s="26">
        <v>13</v>
      </c>
      <c r="U337" s="77">
        <v>1</v>
      </c>
      <c r="V337" s="26">
        <v>0</v>
      </c>
      <c r="W337" s="26">
        <v>1</v>
      </c>
      <c r="X337" s="26">
        <v>1</v>
      </c>
      <c r="Y337" s="26">
        <v>0</v>
      </c>
      <c r="Z337" s="26">
        <v>0</v>
      </c>
      <c r="AA337" s="26">
        <v>0</v>
      </c>
      <c r="AB337" s="26">
        <v>0</v>
      </c>
      <c r="AC337" s="76">
        <v>0.30769230769230771</v>
      </c>
      <c r="AD337" s="76">
        <v>0.61538461538461542</v>
      </c>
      <c r="AE337" s="76">
        <v>7.6923076923076927E-2</v>
      </c>
      <c r="AF337" s="76">
        <v>0</v>
      </c>
      <c r="AG337" s="88">
        <v>5.384615384615385</v>
      </c>
      <c r="AH337" s="88">
        <v>1.998530383923357</v>
      </c>
      <c r="AI337" s="76">
        <v>2</v>
      </c>
      <c r="AJ337" s="76" t="s">
        <v>535</v>
      </c>
      <c r="AK337" s="76">
        <v>13.51</v>
      </c>
      <c r="AL337" s="33" t="s">
        <v>70</v>
      </c>
      <c r="AM337" s="35" t="s">
        <v>175</v>
      </c>
      <c r="AN337" s="32" t="s">
        <v>9</v>
      </c>
      <c r="AO337" s="35" t="s">
        <v>548</v>
      </c>
      <c r="AP337" s="35" t="s">
        <v>548</v>
      </c>
      <c r="AQ337" s="35" t="s">
        <v>548</v>
      </c>
      <c r="AR337" s="35" t="s">
        <v>548</v>
      </c>
      <c r="AS337" s="26" t="s">
        <v>175</v>
      </c>
      <c r="AT337" s="26" t="s">
        <v>70</v>
      </c>
      <c r="AU337" s="26" t="s">
        <v>70</v>
      </c>
      <c r="AV337" s="26">
        <v>6</v>
      </c>
    </row>
    <row r="338" spans="1:48" ht="14" customHeight="1">
      <c r="A338" s="27">
        <v>337</v>
      </c>
      <c r="B338" s="27" t="s">
        <v>434</v>
      </c>
      <c r="C338" s="27">
        <v>2000</v>
      </c>
      <c r="D338" s="26" t="s">
        <v>69</v>
      </c>
      <c r="E338" s="26" t="s">
        <v>565</v>
      </c>
      <c r="F338" s="77" t="s">
        <v>175</v>
      </c>
      <c r="G338" s="2" t="s">
        <v>106</v>
      </c>
      <c r="H338" s="2" t="s">
        <v>30</v>
      </c>
      <c r="I338" s="2" t="s">
        <v>548</v>
      </c>
      <c r="J338" s="2" t="s">
        <v>604</v>
      </c>
      <c r="K338" s="2" t="s">
        <v>548</v>
      </c>
      <c r="L338" s="2" t="s">
        <v>548</v>
      </c>
      <c r="M338" s="2" t="s">
        <v>175</v>
      </c>
      <c r="N338" s="2" t="s">
        <v>48</v>
      </c>
      <c r="O338" s="2" t="s">
        <v>209</v>
      </c>
      <c r="P338" s="2" t="s">
        <v>48</v>
      </c>
      <c r="Q338" s="2" t="s">
        <v>42</v>
      </c>
      <c r="R338" s="79" t="s">
        <v>613</v>
      </c>
      <c r="S338" s="2">
        <v>0</v>
      </c>
      <c r="T338" s="26">
        <v>70</v>
      </c>
      <c r="U338" s="77">
        <v>1</v>
      </c>
      <c r="V338" s="26">
        <v>0</v>
      </c>
      <c r="W338" s="26">
        <v>1</v>
      </c>
      <c r="X338" s="26">
        <v>1</v>
      </c>
      <c r="Y338" s="26">
        <v>1</v>
      </c>
      <c r="Z338" s="26">
        <v>1</v>
      </c>
      <c r="AA338" s="26">
        <v>0</v>
      </c>
      <c r="AB338" s="26">
        <v>0</v>
      </c>
      <c r="AC338" s="2">
        <v>1</v>
      </c>
      <c r="AD338" s="2">
        <v>0</v>
      </c>
      <c r="AE338" s="2">
        <v>0</v>
      </c>
      <c r="AF338" s="2">
        <v>0</v>
      </c>
      <c r="AG338" s="2" t="s">
        <v>70</v>
      </c>
      <c r="AH338" s="2" t="s">
        <v>70</v>
      </c>
      <c r="AI338" s="2" t="s">
        <v>70</v>
      </c>
      <c r="AJ338" s="2" t="s">
        <v>70</v>
      </c>
      <c r="AK338" s="2" t="s">
        <v>70</v>
      </c>
      <c r="AL338" s="26" t="s">
        <v>70</v>
      </c>
      <c r="AM338" s="35" t="s">
        <v>175</v>
      </c>
      <c r="AN338" s="26" t="s">
        <v>274</v>
      </c>
      <c r="AO338" s="35" t="s">
        <v>548</v>
      </c>
      <c r="AP338" s="35" t="s">
        <v>548</v>
      </c>
      <c r="AQ338" s="35" t="s">
        <v>548</v>
      </c>
      <c r="AR338" s="35" t="s">
        <v>548</v>
      </c>
      <c r="AS338" s="26" t="s">
        <v>175</v>
      </c>
      <c r="AT338" s="26" t="s">
        <v>70</v>
      </c>
      <c r="AU338" s="26" t="s">
        <v>70</v>
      </c>
      <c r="AV338" s="26">
        <v>8</v>
      </c>
    </row>
    <row r="339" spans="1:48" ht="14" customHeight="1">
      <c r="A339" s="27">
        <v>338</v>
      </c>
      <c r="B339" s="27" t="s">
        <v>435</v>
      </c>
      <c r="C339" s="27">
        <v>2005</v>
      </c>
      <c r="D339" s="26" t="s">
        <v>18</v>
      </c>
      <c r="E339" s="26" t="s">
        <v>566</v>
      </c>
      <c r="F339" s="77" t="s">
        <v>175</v>
      </c>
      <c r="G339" s="2" t="s">
        <v>84</v>
      </c>
      <c r="H339" s="2" t="s">
        <v>30</v>
      </c>
      <c r="I339" s="2" t="s">
        <v>548</v>
      </c>
      <c r="J339" s="2" t="s">
        <v>603</v>
      </c>
      <c r="K339" s="2" t="s">
        <v>548</v>
      </c>
      <c r="L339" s="2" t="s">
        <v>548</v>
      </c>
      <c r="M339" s="2" t="s">
        <v>548</v>
      </c>
      <c r="N339" s="2" t="s">
        <v>62</v>
      </c>
      <c r="O339" s="2" t="s">
        <v>43</v>
      </c>
      <c r="P339" s="2" t="s">
        <v>62</v>
      </c>
      <c r="Q339" s="26" t="s">
        <v>606</v>
      </c>
      <c r="R339" s="79" t="s">
        <v>613</v>
      </c>
      <c r="S339" s="2">
        <v>0.18</v>
      </c>
      <c r="T339" s="26">
        <v>3798</v>
      </c>
      <c r="U339" s="77">
        <v>1</v>
      </c>
      <c r="V339" s="26">
        <v>0</v>
      </c>
      <c r="W339" s="26">
        <v>0</v>
      </c>
      <c r="X339" s="26">
        <v>0</v>
      </c>
      <c r="Y339" s="26">
        <v>0</v>
      </c>
      <c r="Z339" s="26">
        <v>0</v>
      </c>
      <c r="AA339" s="26">
        <v>0</v>
      </c>
      <c r="AB339" s="26">
        <v>0</v>
      </c>
      <c r="AC339" s="2" t="s">
        <v>70</v>
      </c>
      <c r="AD339" s="2" t="s">
        <v>70</v>
      </c>
      <c r="AE339" s="2" t="s">
        <v>70</v>
      </c>
      <c r="AF339" s="2" t="s">
        <v>70</v>
      </c>
      <c r="AG339" s="88" t="s">
        <v>70</v>
      </c>
      <c r="AH339" s="88" t="s">
        <v>70</v>
      </c>
      <c r="AI339" s="88" t="s">
        <v>70</v>
      </c>
      <c r="AJ339" s="2" t="s">
        <v>553</v>
      </c>
      <c r="AK339" s="88" t="s">
        <v>70</v>
      </c>
      <c r="AL339" s="33" t="s">
        <v>70</v>
      </c>
      <c r="AM339" s="35" t="s">
        <v>175</v>
      </c>
      <c r="AN339" s="32" t="s">
        <v>9</v>
      </c>
      <c r="AO339" s="35" t="s">
        <v>175</v>
      </c>
      <c r="AP339" s="35" t="s">
        <v>548</v>
      </c>
      <c r="AQ339" s="35" t="s">
        <v>548</v>
      </c>
      <c r="AR339" s="35" t="s">
        <v>548</v>
      </c>
      <c r="AS339" s="26" t="s">
        <v>548</v>
      </c>
      <c r="AT339" s="26" t="s">
        <v>70</v>
      </c>
      <c r="AU339" s="26" t="s">
        <v>70</v>
      </c>
      <c r="AV339" s="26">
        <v>2</v>
      </c>
    </row>
    <row r="340" spans="1:48" ht="14" customHeight="1">
      <c r="A340" s="27">
        <v>339</v>
      </c>
      <c r="B340" s="27" t="s">
        <v>436</v>
      </c>
      <c r="C340" s="37">
        <v>2009</v>
      </c>
      <c r="D340" s="26" t="s">
        <v>160</v>
      </c>
      <c r="E340" s="26" t="s">
        <v>565</v>
      </c>
      <c r="F340" s="77" t="s">
        <v>175</v>
      </c>
      <c r="G340" s="2" t="s">
        <v>84</v>
      </c>
      <c r="H340" s="2" t="s">
        <v>30</v>
      </c>
      <c r="I340" s="2" t="s">
        <v>548</v>
      </c>
      <c r="J340" s="2" t="s">
        <v>183</v>
      </c>
      <c r="K340" s="2" t="s">
        <v>548</v>
      </c>
      <c r="L340" s="2" t="s">
        <v>548</v>
      </c>
      <c r="M340" s="2" t="s">
        <v>175</v>
      </c>
      <c r="N340" s="2" t="s">
        <v>62</v>
      </c>
      <c r="O340" s="2" t="s">
        <v>43</v>
      </c>
      <c r="P340" s="2" t="s">
        <v>62</v>
      </c>
      <c r="Q340" s="38" t="s">
        <v>247</v>
      </c>
      <c r="R340" s="102" t="s">
        <v>614</v>
      </c>
      <c r="S340" s="2">
        <f>7/T340</f>
        <v>0.14000000000000001</v>
      </c>
      <c r="T340" s="26">
        <v>50</v>
      </c>
      <c r="U340" s="77">
        <v>1</v>
      </c>
      <c r="V340" s="26">
        <v>0</v>
      </c>
      <c r="W340" s="26">
        <v>1</v>
      </c>
      <c r="X340" s="26">
        <v>1</v>
      </c>
      <c r="Y340" s="26">
        <v>1</v>
      </c>
      <c r="Z340" s="26">
        <v>0</v>
      </c>
      <c r="AA340" s="26">
        <v>0</v>
      </c>
      <c r="AB340" s="26">
        <v>0</v>
      </c>
      <c r="AC340" s="26" t="s">
        <v>70</v>
      </c>
      <c r="AD340" s="26" t="s">
        <v>70</v>
      </c>
      <c r="AE340" s="26" t="s">
        <v>70</v>
      </c>
      <c r="AF340" s="26" t="s">
        <v>70</v>
      </c>
      <c r="AG340" s="26" t="s">
        <v>70</v>
      </c>
      <c r="AH340" s="26" t="s">
        <v>70</v>
      </c>
      <c r="AI340" s="26" t="s">
        <v>70</v>
      </c>
      <c r="AJ340" s="26" t="s">
        <v>70</v>
      </c>
      <c r="AK340" s="26" t="s">
        <v>70</v>
      </c>
      <c r="AL340" s="26" t="s">
        <v>70</v>
      </c>
      <c r="AM340" s="35" t="s">
        <v>548</v>
      </c>
      <c r="AN340" s="26" t="s">
        <v>274</v>
      </c>
      <c r="AO340" s="35" t="s">
        <v>548</v>
      </c>
      <c r="AP340" s="35" t="s">
        <v>548</v>
      </c>
      <c r="AQ340" s="35" t="s">
        <v>548</v>
      </c>
      <c r="AR340" s="35" t="s">
        <v>548</v>
      </c>
      <c r="AS340" s="26" t="s">
        <v>175</v>
      </c>
      <c r="AT340" s="26" t="s">
        <v>70</v>
      </c>
      <c r="AU340" s="26" t="s">
        <v>70</v>
      </c>
      <c r="AV340" s="26">
        <v>6</v>
      </c>
    </row>
    <row r="341" spans="1:48" ht="14" customHeight="1">
      <c r="A341" s="27">
        <v>340</v>
      </c>
      <c r="B341" s="27" t="s">
        <v>437</v>
      </c>
      <c r="C341" s="27">
        <v>2003</v>
      </c>
      <c r="D341" s="26" t="s">
        <v>69</v>
      </c>
      <c r="E341" s="26" t="s">
        <v>565</v>
      </c>
      <c r="F341" s="77" t="s">
        <v>175</v>
      </c>
      <c r="G341" s="2" t="s">
        <v>106</v>
      </c>
      <c r="H341" s="2" t="s">
        <v>30</v>
      </c>
      <c r="I341" s="2" t="s">
        <v>548</v>
      </c>
      <c r="J341" s="2" t="s">
        <v>603</v>
      </c>
      <c r="K341" s="2" t="s">
        <v>548</v>
      </c>
      <c r="L341" s="2" t="s">
        <v>548</v>
      </c>
      <c r="M341" s="2" t="s">
        <v>548</v>
      </c>
      <c r="N341" s="2" t="s">
        <v>70</v>
      </c>
      <c r="O341" s="2" t="s">
        <v>209</v>
      </c>
      <c r="P341" s="2" t="s">
        <v>611</v>
      </c>
      <c r="Q341" s="2" t="s">
        <v>42</v>
      </c>
      <c r="R341" s="79" t="s">
        <v>613</v>
      </c>
      <c r="S341" s="88">
        <v>0.48</v>
      </c>
      <c r="T341" s="26">
        <v>96</v>
      </c>
      <c r="U341" s="77">
        <v>1</v>
      </c>
      <c r="V341" s="26">
        <v>0</v>
      </c>
      <c r="W341" s="26">
        <v>1</v>
      </c>
      <c r="X341" s="26">
        <v>1</v>
      </c>
      <c r="Y341" s="26">
        <v>1</v>
      </c>
      <c r="Z341" s="26">
        <v>0</v>
      </c>
      <c r="AA341" s="26">
        <v>0</v>
      </c>
      <c r="AB341" s="26">
        <v>0</v>
      </c>
      <c r="AC341" s="26" t="s">
        <v>70</v>
      </c>
      <c r="AD341" s="26" t="s">
        <v>70</v>
      </c>
      <c r="AE341" s="26" t="s">
        <v>70</v>
      </c>
      <c r="AF341" s="26" t="s">
        <v>70</v>
      </c>
      <c r="AG341" s="26" t="s">
        <v>70</v>
      </c>
      <c r="AH341" s="26" t="s">
        <v>70</v>
      </c>
      <c r="AI341" s="26" t="s">
        <v>70</v>
      </c>
      <c r="AJ341" s="26" t="s">
        <v>70</v>
      </c>
      <c r="AK341" s="26" t="s">
        <v>70</v>
      </c>
      <c r="AL341" s="26" t="s">
        <v>70</v>
      </c>
      <c r="AM341" s="35" t="s">
        <v>175</v>
      </c>
      <c r="AN341" s="32" t="s">
        <v>9</v>
      </c>
      <c r="AO341" s="35" t="s">
        <v>175</v>
      </c>
      <c r="AP341" s="35" t="s">
        <v>548</v>
      </c>
      <c r="AQ341" s="35" t="s">
        <v>548</v>
      </c>
      <c r="AR341" s="35" t="s">
        <v>175</v>
      </c>
      <c r="AS341" s="26" t="s">
        <v>175</v>
      </c>
      <c r="AT341" s="26" t="s">
        <v>70</v>
      </c>
      <c r="AU341" s="26" t="s">
        <v>70</v>
      </c>
      <c r="AV341" s="26">
        <v>6</v>
      </c>
    </row>
    <row r="342" spans="1:48" ht="14" customHeight="1">
      <c r="A342" s="27">
        <v>341</v>
      </c>
      <c r="B342" s="27" t="s">
        <v>437</v>
      </c>
      <c r="C342" s="27">
        <v>2003</v>
      </c>
      <c r="D342" s="26" t="s">
        <v>69</v>
      </c>
      <c r="E342" s="26" t="s">
        <v>565</v>
      </c>
      <c r="F342" s="77" t="s">
        <v>175</v>
      </c>
      <c r="G342" s="2" t="s">
        <v>106</v>
      </c>
      <c r="H342" s="2" t="s">
        <v>30</v>
      </c>
      <c r="I342" s="2" t="s">
        <v>548</v>
      </c>
      <c r="J342" s="2" t="s">
        <v>603</v>
      </c>
      <c r="K342" s="2" t="s">
        <v>548</v>
      </c>
      <c r="L342" s="2" t="s">
        <v>548</v>
      </c>
      <c r="M342" s="2" t="s">
        <v>548</v>
      </c>
      <c r="N342" s="78" t="s">
        <v>70</v>
      </c>
      <c r="O342" s="2" t="s">
        <v>209</v>
      </c>
      <c r="P342" s="2" t="s">
        <v>612</v>
      </c>
      <c r="Q342" s="2" t="s">
        <v>42</v>
      </c>
      <c r="R342" s="79" t="s">
        <v>613</v>
      </c>
      <c r="S342" s="88">
        <v>0.15</v>
      </c>
      <c r="T342" s="26">
        <v>350</v>
      </c>
      <c r="U342" s="77">
        <v>1</v>
      </c>
      <c r="V342" s="26">
        <v>0</v>
      </c>
      <c r="W342" s="26">
        <v>1</v>
      </c>
      <c r="X342" s="26">
        <v>1</v>
      </c>
      <c r="Y342" s="26">
        <v>1</v>
      </c>
      <c r="Z342" s="26">
        <v>0</v>
      </c>
      <c r="AA342" s="26">
        <v>0</v>
      </c>
      <c r="AB342" s="26">
        <v>0</v>
      </c>
      <c r="AC342" s="26" t="s">
        <v>70</v>
      </c>
      <c r="AD342" s="26" t="s">
        <v>70</v>
      </c>
      <c r="AE342" s="26" t="s">
        <v>70</v>
      </c>
      <c r="AF342" s="26" t="s">
        <v>70</v>
      </c>
      <c r="AG342" s="26" t="s">
        <v>70</v>
      </c>
      <c r="AH342" s="26" t="s">
        <v>70</v>
      </c>
      <c r="AI342" s="26" t="s">
        <v>70</v>
      </c>
      <c r="AJ342" s="26" t="s">
        <v>70</v>
      </c>
      <c r="AK342" s="26" t="s">
        <v>70</v>
      </c>
      <c r="AL342" s="26" t="s">
        <v>70</v>
      </c>
      <c r="AM342" s="35" t="s">
        <v>175</v>
      </c>
      <c r="AN342" s="32" t="s">
        <v>9</v>
      </c>
      <c r="AO342" s="35" t="s">
        <v>175</v>
      </c>
      <c r="AP342" s="35" t="s">
        <v>548</v>
      </c>
      <c r="AQ342" s="35" t="s">
        <v>548</v>
      </c>
      <c r="AR342" s="35" t="s">
        <v>548</v>
      </c>
      <c r="AS342" s="26" t="s">
        <v>175</v>
      </c>
      <c r="AT342" s="26" t="s">
        <v>70</v>
      </c>
      <c r="AU342" s="26" t="s">
        <v>70</v>
      </c>
      <c r="AV342" s="26">
        <v>6</v>
      </c>
    </row>
    <row r="343" spans="1:48" ht="14" customHeight="1">
      <c r="A343" s="27">
        <v>342</v>
      </c>
      <c r="B343" s="27" t="s">
        <v>437</v>
      </c>
      <c r="C343" s="27">
        <v>2003</v>
      </c>
      <c r="D343" s="26" t="s">
        <v>69</v>
      </c>
      <c r="E343" s="26" t="s">
        <v>565</v>
      </c>
      <c r="F343" s="77" t="s">
        <v>175</v>
      </c>
      <c r="G343" s="2" t="s">
        <v>106</v>
      </c>
      <c r="H343" s="2" t="s">
        <v>30</v>
      </c>
      <c r="I343" s="2" t="s">
        <v>548</v>
      </c>
      <c r="J343" s="2" t="s">
        <v>603</v>
      </c>
      <c r="K343" s="2" t="s">
        <v>548</v>
      </c>
      <c r="L343" s="2" t="s">
        <v>548</v>
      </c>
      <c r="M343" s="2" t="s">
        <v>548</v>
      </c>
      <c r="N343" s="2" t="s">
        <v>62</v>
      </c>
      <c r="O343" s="2" t="s">
        <v>43</v>
      </c>
      <c r="P343" s="2" t="s">
        <v>62</v>
      </c>
      <c r="Q343" s="26" t="s">
        <v>606</v>
      </c>
      <c r="R343" s="79" t="s">
        <v>613</v>
      </c>
      <c r="S343" s="88">
        <v>0.02</v>
      </c>
      <c r="T343" s="26">
        <v>1594</v>
      </c>
      <c r="U343" s="77">
        <v>1</v>
      </c>
      <c r="V343" s="26">
        <v>0</v>
      </c>
      <c r="W343" s="26">
        <v>1</v>
      </c>
      <c r="X343" s="26">
        <v>1</v>
      </c>
      <c r="Y343" s="26">
        <v>1</v>
      </c>
      <c r="Z343" s="26">
        <v>0</v>
      </c>
      <c r="AA343" s="26">
        <v>0</v>
      </c>
      <c r="AB343" s="26">
        <v>0</v>
      </c>
      <c r="AC343" s="26" t="s">
        <v>70</v>
      </c>
      <c r="AD343" s="26" t="s">
        <v>70</v>
      </c>
      <c r="AE343" s="26" t="s">
        <v>70</v>
      </c>
      <c r="AF343" s="26" t="s">
        <v>70</v>
      </c>
      <c r="AG343" s="26" t="s">
        <v>70</v>
      </c>
      <c r="AH343" s="26" t="s">
        <v>70</v>
      </c>
      <c r="AI343" s="26" t="s">
        <v>70</v>
      </c>
      <c r="AJ343" s="26" t="s">
        <v>70</v>
      </c>
      <c r="AK343" s="26" t="s">
        <v>70</v>
      </c>
      <c r="AL343" s="26" t="s">
        <v>70</v>
      </c>
      <c r="AM343" s="35" t="s">
        <v>175</v>
      </c>
      <c r="AN343" s="32" t="s">
        <v>9</v>
      </c>
      <c r="AO343" s="35" t="s">
        <v>175</v>
      </c>
      <c r="AP343" s="35" t="s">
        <v>548</v>
      </c>
      <c r="AQ343" s="35" t="s">
        <v>548</v>
      </c>
      <c r="AR343" s="35" t="s">
        <v>548</v>
      </c>
      <c r="AS343" s="26" t="s">
        <v>175</v>
      </c>
      <c r="AT343" s="26" t="s">
        <v>70</v>
      </c>
      <c r="AU343" s="26" t="s">
        <v>70</v>
      </c>
      <c r="AV343" s="26">
        <v>6</v>
      </c>
    </row>
    <row r="344" spans="1:48" ht="14" customHeight="1">
      <c r="A344" s="27">
        <v>343</v>
      </c>
      <c r="B344" s="27" t="s">
        <v>573</v>
      </c>
      <c r="C344" s="27">
        <v>2009</v>
      </c>
      <c r="D344" s="26" t="s">
        <v>27</v>
      </c>
      <c r="E344" s="26" t="s">
        <v>563</v>
      </c>
      <c r="F344" s="77" t="s">
        <v>175</v>
      </c>
      <c r="G344" s="2" t="s">
        <v>84</v>
      </c>
      <c r="H344" s="2" t="s">
        <v>24</v>
      </c>
      <c r="I344" s="2" t="s">
        <v>548</v>
      </c>
      <c r="J344" s="2" t="s">
        <v>189</v>
      </c>
      <c r="K344" s="2" t="s">
        <v>548</v>
      </c>
      <c r="L344" s="2" t="s">
        <v>548</v>
      </c>
      <c r="M344" s="2" t="s">
        <v>548</v>
      </c>
      <c r="N344" s="2" t="s">
        <v>210</v>
      </c>
      <c r="O344" s="2" t="s">
        <v>43</v>
      </c>
      <c r="P344" s="2" t="s">
        <v>210</v>
      </c>
      <c r="Q344" s="2" t="s">
        <v>42</v>
      </c>
      <c r="R344" s="79" t="s">
        <v>613</v>
      </c>
      <c r="S344" s="88">
        <v>0.14000000000000001</v>
      </c>
      <c r="T344" s="61">
        <v>103</v>
      </c>
      <c r="U344" s="77">
        <v>1</v>
      </c>
      <c r="V344" s="26">
        <v>1</v>
      </c>
      <c r="W344" s="26">
        <v>1</v>
      </c>
      <c r="X344" s="26">
        <v>1</v>
      </c>
      <c r="Y344" s="26">
        <v>1</v>
      </c>
      <c r="Z344" s="26">
        <v>0</v>
      </c>
      <c r="AA344" s="26">
        <v>0</v>
      </c>
      <c r="AB344" s="26">
        <v>0</v>
      </c>
      <c r="AC344" s="26" t="s">
        <v>70</v>
      </c>
      <c r="AD344" s="26" t="s">
        <v>70</v>
      </c>
      <c r="AE344" s="26" t="s">
        <v>70</v>
      </c>
      <c r="AF344" s="26" t="s">
        <v>70</v>
      </c>
      <c r="AG344" s="26" t="s">
        <v>70</v>
      </c>
      <c r="AH344" s="26" t="s">
        <v>70</v>
      </c>
      <c r="AI344" s="26" t="s">
        <v>70</v>
      </c>
      <c r="AJ344" s="26" t="s">
        <v>70</v>
      </c>
      <c r="AK344" s="26" t="s">
        <v>70</v>
      </c>
      <c r="AL344" s="26" t="s">
        <v>70</v>
      </c>
      <c r="AM344" s="61" t="s">
        <v>175</v>
      </c>
      <c r="AN344" s="26" t="s">
        <v>274</v>
      </c>
      <c r="AO344" s="35" t="s">
        <v>548</v>
      </c>
      <c r="AP344" s="35" t="s">
        <v>548</v>
      </c>
      <c r="AQ344" s="35" t="s">
        <v>548</v>
      </c>
      <c r="AR344" s="35" t="s">
        <v>548</v>
      </c>
      <c r="AS344" s="26" t="s">
        <v>175</v>
      </c>
      <c r="AT344" s="26" t="s">
        <v>70</v>
      </c>
      <c r="AU344" s="26" t="s">
        <v>70</v>
      </c>
      <c r="AV344" s="26">
        <v>7</v>
      </c>
    </row>
    <row r="345" spans="1:48" ht="14" customHeight="1">
      <c r="A345" s="27">
        <v>344</v>
      </c>
      <c r="B345" s="27" t="s">
        <v>573</v>
      </c>
      <c r="C345" s="27">
        <v>2009</v>
      </c>
      <c r="D345" s="26" t="s">
        <v>27</v>
      </c>
      <c r="E345" s="26" t="s">
        <v>563</v>
      </c>
      <c r="F345" s="77" t="s">
        <v>175</v>
      </c>
      <c r="G345" s="2" t="s">
        <v>84</v>
      </c>
      <c r="H345" s="2" t="s">
        <v>24</v>
      </c>
      <c r="I345" s="2" t="s">
        <v>548</v>
      </c>
      <c r="J345" s="2" t="s">
        <v>189</v>
      </c>
      <c r="K345" s="2" t="s">
        <v>548</v>
      </c>
      <c r="L345" s="2" t="s">
        <v>548</v>
      </c>
      <c r="M345" s="2" t="s">
        <v>548</v>
      </c>
      <c r="N345" s="2" t="s">
        <v>210</v>
      </c>
      <c r="O345" s="2" t="s">
        <v>43</v>
      </c>
      <c r="P345" s="2" t="s">
        <v>618</v>
      </c>
      <c r="Q345" s="2" t="s">
        <v>42</v>
      </c>
      <c r="R345" s="79" t="s">
        <v>613</v>
      </c>
      <c r="S345" s="88">
        <f>(30+31+83)/306</f>
        <v>0.47058823529411764</v>
      </c>
      <c r="T345" s="61">
        <v>306</v>
      </c>
      <c r="U345" s="77">
        <v>1</v>
      </c>
      <c r="V345" s="26">
        <v>1</v>
      </c>
      <c r="W345" s="26">
        <v>1</v>
      </c>
      <c r="X345" s="26">
        <v>1</v>
      </c>
      <c r="Y345" s="26">
        <v>1</v>
      </c>
      <c r="Z345" s="26">
        <v>0</v>
      </c>
      <c r="AA345" s="26">
        <v>0</v>
      </c>
      <c r="AB345" s="26">
        <v>0</v>
      </c>
      <c r="AC345" s="26" t="s">
        <v>70</v>
      </c>
      <c r="AD345" s="26" t="s">
        <v>70</v>
      </c>
      <c r="AE345" s="26" t="s">
        <v>70</v>
      </c>
      <c r="AF345" s="26" t="s">
        <v>70</v>
      </c>
      <c r="AG345" s="26" t="s">
        <v>70</v>
      </c>
      <c r="AH345" s="26" t="s">
        <v>70</v>
      </c>
      <c r="AI345" s="26" t="s">
        <v>70</v>
      </c>
      <c r="AJ345" s="26" t="s">
        <v>70</v>
      </c>
      <c r="AK345" s="26" t="s">
        <v>70</v>
      </c>
      <c r="AL345" s="26" t="s">
        <v>70</v>
      </c>
      <c r="AM345" s="61" t="s">
        <v>175</v>
      </c>
      <c r="AN345" s="26" t="s">
        <v>274</v>
      </c>
      <c r="AO345" s="35" t="s">
        <v>548</v>
      </c>
      <c r="AP345" s="35" t="s">
        <v>548</v>
      </c>
      <c r="AQ345" s="35" t="s">
        <v>548</v>
      </c>
      <c r="AR345" s="35" t="s">
        <v>548</v>
      </c>
      <c r="AS345" s="26" t="s">
        <v>175</v>
      </c>
      <c r="AT345" s="26" t="s">
        <v>70</v>
      </c>
      <c r="AU345" s="26" t="s">
        <v>70</v>
      </c>
      <c r="AV345" s="26">
        <v>7</v>
      </c>
    </row>
    <row r="346" spans="1:48" ht="14" customHeight="1">
      <c r="A346" s="27">
        <v>345</v>
      </c>
      <c r="B346" s="27" t="s">
        <v>438</v>
      </c>
      <c r="C346" s="27">
        <v>2011</v>
      </c>
      <c r="D346" s="26" t="s">
        <v>69</v>
      </c>
      <c r="E346" s="26" t="s">
        <v>565</v>
      </c>
      <c r="F346" s="77" t="s">
        <v>175</v>
      </c>
      <c r="G346" s="2" t="s">
        <v>106</v>
      </c>
      <c r="H346" s="2" t="s">
        <v>275</v>
      </c>
      <c r="I346" s="2" t="s">
        <v>548</v>
      </c>
      <c r="J346" s="2" t="s">
        <v>604</v>
      </c>
      <c r="K346" s="2" t="s">
        <v>548</v>
      </c>
      <c r="L346" s="2" t="s">
        <v>548</v>
      </c>
      <c r="M346" s="2" t="s">
        <v>548</v>
      </c>
      <c r="N346" s="2" t="s">
        <v>48</v>
      </c>
      <c r="O346" s="2" t="s">
        <v>209</v>
      </c>
      <c r="P346" s="2" t="s">
        <v>48</v>
      </c>
      <c r="Q346" s="2" t="s">
        <v>42</v>
      </c>
      <c r="R346" s="102" t="s">
        <v>614</v>
      </c>
      <c r="S346" s="2">
        <v>0</v>
      </c>
      <c r="T346" s="26">
        <v>43</v>
      </c>
      <c r="U346" s="77">
        <v>1</v>
      </c>
      <c r="V346" s="26">
        <v>1</v>
      </c>
      <c r="W346" s="26">
        <v>1</v>
      </c>
      <c r="X346" s="26">
        <v>1</v>
      </c>
      <c r="Y346" s="26">
        <v>0</v>
      </c>
      <c r="Z346" s="26">
        <v>0</v>
      </c>
      <c r="AA346" s="26">
        <v>1</v>
      </c>
      <c r="AB346" s="26">
        <v>1</v>
      </c>
      <c r="AC346" s="26" t="s">
        <v>70</v>
      </c>
      <c r="AD346" s="26" t="s">
        <v>70</v>
      </c>
      <c r="AE346" s="26" t="s">
        <v>70</v>
      </c>
      <c r="AF346" s="26" t="s">
        <v>70</v>
      </c>
      <c r="AG346" s="26" t="s">
        <v>70</v>
      </c>
      <c r="AH346" s="26" t="s">
        <v>70</v>
      </c>
      <c r="AI346" s="26" t="s">
        <v>70</v>
      </c>
      <c r="AJ346" s="26" t="s">
        <v>70</v>
      </c>
      <c r="AK346" s="26" t="s">
        <v>70</v>
      </c>
      <c r="AL346" s="26" t="s">
        <v>70</v>
      </c>
      <c r="AM346" s="35" t="s">
        <v>175</v>
      </c>
      <c r="AN346" s="26" t="s">
        <v>274</v>
      </c>
      <c r="AO346" s="35" t="s">
        <v>548</v>
      </c>
      <c r="AP346" s="35" t="s">
        <v>548</v>
      </c>
      <c r="AQ346" s="35" t="s">
        <v>548</v>
      </c>
      <c r="AR346" s="35" t="s">
        <v>548</v>
      </c>
      <c r="AS346" s="26" t="s">
        <v>175</v>
      </c>
      <c r="AT346" s="26" t="s">
        <v>70</v>
      </c>
      <c r="AU346" s="26" t="s">
        <v>70</v>
      </c>
      <c r="AV346" s="26">
        <v>8</v>
      </c>
    </row>
    <row r="347" spans="1:48" ht="14" customHeight="1">
      <c r="A347" s="27">
        <v>346</v>
      </c>
      <c r="B347" s="27" t="s">
        <v>555</v>
      </c>
      <c r="C347" s="27">
        <v>2004</v>
      </c>
      <c r="D347" s="26" t="s">
        <v>13</v>
      </c>
      <c r="E347" s="26" t="s">
        <v>566</v>
      </c>
      <c r="F347" s="77" t="s">
        <v>175</v>
      </c>
      <c r="G347" s="2" t="s">
        <v>105</v>
      </c>
      <c r="H347" s="2" t="s">
        <v>30</v>
      </c>
      <c r="I347" s="2" t="s">
        <v>548</v>
      </c>
      <c r="J347" s="2" t="s">
        <v>604</v>
      </c>
      <c r="K347" s="2" t="s">
        <v>548</v>
      </c>
      <c r="L347" s="2" t="s">
        <v>548</v>
      </c>
      <c r="M347" s="2" t="s">
        <v>175</v>
      </c>
      <c r="N347" s="2" t="s">
        <v>70</v>
      </c>
      <c r="O347" s="2" t="s">
        <v>209</v>
      </c>
      <c r="P347" s="2" t="s">
        <v>61</v>
      </c>
      <c r="Q347" s="2" t="s">
        <v>42</v>
      </c>
      <c r="R347" s="102" t="s">
        <v>614</v>
      </c>
      <c r="S347" s="88">
        <f>3/T347</f>
        <v>0.2</v>
      </c>
      <c r="T347" s="61">
        <v>15</v>
      </c>
      <c r="U347" s="77">
        <v>1</v>
      </c>
      <c r="V347" s="26">
        <v>0</v>
      </c>
      <c r="W347" s="26">
        <v>1</v>
      </c>
      <c r="X347" s="26">
        <v>0</v>
      </c>
      <c r="Y347" s="26">
        <v>0</v>
      </c>
      <c r="Z347" s="26">
        <v>0</v>
      </c>
      <c r="AA347" s="26">
        <v>0</v>
      </c>
      <c r="AB347" s="26">
        <v>0</v>
      </c>
      <c r="AC347" s="26">
        <f>12/15</f>
        <v>0.8</v>
      </c>
      <c r="AD347" s="26">
        <f>3/15</f>
        <v>0.2</v>
      </c>
      <c r="AE347" s="26">
        <v>0</v>
      </c>
      <c r="AF347" s="26">
        <v>0</v>
      </c>
      <c r="AG347" s="33">
        <f>3/15</f>
        <v>0.2</v>
      </c>
      <c r="AH347" s="33" t="s">
        <v>70</v>
      </c>
      <c r="AI347" s="33" t="s">
        <v>70</v>
      </c>
      <c r="AJ347" s="33" t="s">
        <v>70</v>
      </c>
      <c r="AK347" s="33" t="s">
        <v>70</v>
      </c>
      <c r="AL347" s="33" t="s">
        <v>70</v>
      </c>
      <c r="AM347" s="61" t="s">
        <v>548</v>
      </c>
      <c r="AN347" s="26" t="s">
        <v>274</v>
      </c>
      <c r="AO347" s="26" t="s">
        <v>548</v>
      </c>
      <c r="AP347" s="26" t="s">
        <v>548</v>
      </c>
      <c r="AQ347" s="26" t="s">
        <v>548</v>
      </c>
      <c r="AR347" s="26" t="s">
        <v>548</v>
      </c>
      <c r="AS347" s="26" t="s">
        <v>175</v>
      </c>
      <c r="AT347" s="26" t="s">
        <v>70</v>
      </c>
      <c r="AU347" s="26" t="s">
        <v>70</v>
      </c>
      <c r="AV347" s="26">
        <v>4</v>
      </c>
    </row>
    <row r="348" spans="1:48" ht="14" customHeight="1">
      <c r="A348" s="27">
        <v>347</v>
      </c>
      <c r="B348" s="27" t="s">
        <v>439</v>
      </c>
      <c r="C348" s="27">
        <v>1994</v>
      </c>
      <c r="D348" s="26" t="s">
        <v>134</v>
      </c>
      <c r="E348" s="26" t="s">
        <v>563</v>
      </c>
      <c r="F348" s="77" t="s">
        <v>548</v>
      </c>
      <c r="G348" s="2" t="s">
        <v>105</v>
      </c>
      <c r="H348" s="2" t="s">
        <v>24</v>
      </c>
      <c r="I348" s="2" t="s">
        <v>548</v>
      </c>
      <c r="J348" s="2" t="s">
        <v>604</v>
      </c>
      <c r="K348" s="2" t="s">
        <v>548</v>
      </c>
      <c r="L348" s="2" t="s">
        <v>548</v>
      </c>
      <c r="M348" s="2" t="s">
        <v>175</v>
      </c>
      <c r="N348" s="2" t="s">
        <v>51</v>
      </c>
      <c r="O348" s="2" t="s">
        <v>43</v>
      </c>
      <c r="P348" s="2" t="s">
        <v>51</v>
      </c>
      <c r="Q348" s="2" t="s">
        <v>42</v>
      </c>
      <c r="R348" s="79" t="s">
        <v>613</v>
      </c>
      <c r="S348" s="90">
        <v>1</v>
      </c>
      <c r="T348" s="26">
        <v>13</v>
      </c>
      <c r="U348" s="77">
        <v>0</v>
      </c>
      <c r="V348" s="26">
        <v>0</v>
      </c>
      <c r="W348" s="26">
        <v>1</v>
      </c>
      <c r="X348" s="26">
        <v>0</v>
      </c>
      <c r="Y348" s="26">
        <v>0</v>
      </c>
      <c r="Z348" s="26">
        <v>0</v>
      </c>
      <c r="AA348" s="26">
        <v>0</v>
      </c>
      <c r="AB348" s="26">
        <v>0</v>
      </c>
      <c r="AC348" s="33">
        <v>0</v>
      </c>
      <c r="AD348" s="33">
        <v>0</v>
      </c>
      <c r="AE348" s="33">
        <v>0.23</v>
      </c>
      <c r="AF348" s="33">
        <v>0.77</v>
      </c>
      <c r="AG348" s="26" t="s">
        <v>70</v>
      </c>
      <c r="AH348" s="26" t="s">
        <v>70</v>
      </c>
      <c r="AI348" s="26" t="s">
        <v>70</v>
      </c>
      <c r="AJ348" s="26" t="s">
        <v>70</v>
      </c>
      <c r="AK348" s="26" t="s">
        <v>70</v>
      </c>
      <c r="AL348" s="26" t="s">
        <v>70</v>
      </c>
      <c r="AM348" s="35" t="s">
        <v>175</v>
      </c>
      <c r="AN348" s="26" t="s">
        <v>274</v>
      </c>
      <c r="AO348" s="35" t="s">
        <v>548</v>
      </c>
      <c r="AP348" s="35" t="s">
        <v>548</v>
      </c>
      <c r="AQ348" s="35" t="s">
        <v>548</v>
      </c>
      <c r="AR348" s="35" t="s">
        <v>548</v>
      </c>
      <c r="AS348" s="26" t="s">
        <v>175</v>
      </c>
      <c r="AT348" s="26" t="s">
        <v>70</v>
      </c>
      <c r="AU348" s="26" t="s">
        <v>70</v>
      </c>
      <c r="AV348" s="26">
        <v>4</v>
      </c>
    </row>
    <row r="349" spans="1:48" ht="14" customHeight="1">
      <c r="A349" s="27">
        <v>348</v>
      </c>
      <c r="B349" s="27" t="s">
        <v>439</v>
      </c>
      <c r="C349" s="27">
        <v>1994</v>
      </c>
      <c r="D349" s="26" t="s">
        <v>134</v>
      </c>
      <c r="E349" s="26" t="s">
        <v>563</v>
      </c>
      <c r="F349" s="77" t="s">
        <v>548</v>
      </c>
      <c r="G349" s="2" t="s">
        <v>105</v>
      </c>
      <c r="H349" s="2" t="s">
        <v>24</v>
      </c>
      <c r="I349" s="2" t="s">
        <v>548</v>
      </c>
      <c r="J349" s="2" t="s">
        <v>604</v>
      </c>
      <c r="K349" s="2" t="s">
        <v>548</v>
      </c>
      <c r="L349" s="2" t="s">
        <v>548</v>
      </c>
      <c r="M349" s="2" t="s">
        <v>175</v>
      </c>
      <c r="N349" s="2" t="s">
        <v>139</v>
      </c>
      <c r="O349" s="2" t="s">
        <v>60</v>
      </c>
      <c r="P349" s="2" t="s">
        <v>139</v>
      </c>
      <c r="Q349" s="2" t="s">
        <v>42</v>
      </c>
      <c r="R349" s="79" t="s">
        <v>613</v>
      </c>
      <c r="S349" s="94">
        <v>0.93</v>
      </c>
      <c r="T349" s="26">
        <v>14</v>
      </c>
      <c r="U349" s="77">
        <v>0</v>
      </c>
      <c r="V349" s="26">
        <v>0</v>
      </c>
      <c r="W349" s="26">
        <v>1</v>
      </c>
      <c r="X349" s="26">
        <v>0</v>
      </c>
      <c r="Y349" s="26">
        <v>0</v>
      </c>
      <c r="Z349" s="26">
        <v>0</v>
      </c>
      <c r="AA349" s="26">
        <v>0</v>
      </c>
      <c r="AB349" s="26">
        <v>0</v>
      </c>
      <c r="AC349" s="33">
        <v>7.0000000000000007E-2</v>
      </c>
      <c r="AD349" s="33">
        <v>0.21</v>
      </c>
      <c r="AE349" s="33">
        <v>0.56999999999999995</v>
      </c>
      <c r="AF349" s="33">
        <v>0.14000000000000001</v>
      </c>
      <c r="AG349" s="26" t="s">
        <v>70</v>
      </c>
      <c r="AH349" s="26" t="s">
        <v>70</v>
      </c>
      <c r="AI349" s="26" t="s">
        <v>70</v>
      </c>
      <c r="AJ349" s="26" t="s">
        <v>70</v>
      </c>
      <c r="AK349" s="26" t="s">
        <v>70</v>
      </c>
      <c r="AL349" s="26" t="s">
        <v>70</v>
      </c>
      <c r="AM349" s="35" t="s">
        <v>175</v>
      </c>
      <c r="AN349" s="26" t="s">
        <v>274</v>
      </c>
      <c r="AO349" s="35" t="s">
        <v>548</v>
      </c>
      <c r="AP349" s="35" t="s">
        <v>548</v>
      </c>
      <c r="AQ349" s="35" t="s">
        <v>548</v>
      </c>
      <c r="AR349" s="35" t="s">
        <v>548</v>
      </c>
      <c r="AS349" s="26" t="s">
        <v>175</v>
      </c>
      <c r="AT349" s="26" t="s">
        <v>70</v>
      </c>
      <c r="AU349" s="26" t="s">
        <v>70</v>
      </c>
      <c r="AV349" s="26">
        <v>4</v>
      </c>
    </row>
    <row r="350" spans="1:48" ht="14" customHeight="1">
      <c r="A350" s="27">
        <v>349</v>
      </c>
      <c r="B350" s="27" t="s">
        <v>439</v>
      </c>
      <c r="C350" s="27">
        <v>1994</v>
      </c>
      <c r="D350" s="26" t="s">
        <v>134</v>
      </c>
      <c r="E350" s="26" t="s">
        <v>563</v>
      </c>
      <c r="F350" s="77" t="s">
        <v>548</v>
      </c>
      <c r="G350" s="2" t="s">
        <v>105</v>
      </c>
      <c r="H350" s="2" t="s">
        <v>24</v>
      </c>
      <c r="I350" s="2" t="s">
        <v>548</v>
      </c>
      <c r="J350" s="2" t="s">
        <v>604</v>
      </c>
      <c r="K350" s="2" t="s">
        <v>548</v>
      </c>
      <c r="L350" s="2" t="s">
        <v>548</v>
      </c>
      <c r="M350" s="2" t="s">
        <v>175</v>
      </c>
      <c r="N350" s="2" t="s">
        <v>609</v>
      </c>
      <c r="O350" s="2" t="s">
        <v>60</v>
      </c>
      <c r="P350" s="2" t="s">
        <v>609</v>
      </c>
      <c r="Q350" s="2" t="s">
        <v>42</v>
      </c>
      <c r="R350" s="79" t="s">
        <v>613</v>
      </c>
      <c r="S350" s="90">
        <v>1</v>
      </c>
      <c r="T350" s="26">
        <v>15</v>
      </c>
      <c r="U350" s="77">
        <v>0</v>
      </c>
      <c r="V350" s="26">
        <v>0</v>
      </c>
      <c r="W350" s="26">
        <v>1</v>
      </c>
      <c r="X350" s="26">
        <v>0</v>
      </c>
      <c r="Y350" s="26">
        <v>0</v>
      </c>
      <c r="Z350" s="26">
        <v>0</v>
      </c>
      <c r="AA350" s="26">
        <v>0</v>
      </c>
      <c r="AB350" s="26">
        <v>0</v>
      </c>
      <c r="AC350" s="33">
        <v>0</v>
      </c>
      <c r="AD350" s="33">
        <v>0</v>
      </c>
      <c r="AE350" s="33">
        <v>0.27</v>
      </c>
      <c r="AF350" s="33">
        <v>0.73</v>
      </c>
      <c r="AG350" s="26" t="s">
        <v>70</v>
      </c>
      <c r="AH350" s="26" t="s">
        <v>70</v>
      </c>
      <c r="AI350" s="26" t="s">
        <v>70</v>
      </c>
      <c r="AJ350" s="26" t="s">
        <v>70</v>
      </c>
      <c r="AK350" s="26" t="s">
        <v>70</v>
      </c>
      <c r="AL350" s="26" t="s">
        <v>70</v>
      </c>
      <c r="AM350" s="35" t="s">
        <v>175</v>
      </c>
      <c r="AN350" s="26" t="s">
        <v>274</v>
      </c>
      <c r="AO350" s="35" t="s">
        <v>548</v>
      </c>
      <c r="AP350" s="35" t="s">
        <v>548</v>
      </c>
      <c r="AQ350" s="35" t="s">
        <v>548</v>
      </c>
      <c r="AR350" s="35" t="s">
        <v>548</v>
      </c>
      <c r="AS350" s="26" t="s">
        <v>175</v>
      </c>
      <c r="AT350" s="26" t="s">
        <v>70</v>
      </c>
      <c r="AU350" s="26" t="s">
        <v>70</v>
      </c>
      <c r="AV350" s="26">
        <v>4</v>
      </c>
    </row>
    <row r="351" spans="1:48" ht="14" customHeight="1">
      <c r="A351" s="27">
        <v>350</v>
      </c>
      <c r="B351" s="27" t="s">
        <v>439</v>
      </c>
      <c r="C351" s="27">
        <v>1994</v>
      </c>
      <c r="D351" s="26" t="s">
        <v>134</v>
      </c>
      <c r="E351" s="26" t="s">
        <v>563</v>
      </c>
      <c r="F351" s="77" t="s">
        <v>548</v>
      </c>
      <c r="G351" s="2" t="s">
        <v>105</v>
      </c>
      <c r="H351" s="2" t="s">
        <v>24</v>
      </c>
      <c r="I351" s="2" t="s">
        <v>548</v>
      </c>
      <c r="J351" s="2" t="s">
        <v>604</v>
      </c>
      <c r="K351" s="2" t="s">
        <v>548</v>
      </c>
      <c r="L351" s="2" t="s">
        <v>548</v>
      </c>
      <c r="M351" s="2" t="s">
        <v>175</v>
      </c>
      <c r="N351" s="2" t="s">
        <v>609</v>
      </c>
      <c r="O351" s="2" t="s">
        <v>60</v>
      </c>
      <c r="P351" s="2" t="s">
        <v>609</v>
      </c>
      <c r="Q351" s="2" t="s">
        <v>42</v>
      </c>
      <c r="R351" s="79" t="s">
        <v>613</v>
      </c>
      <c r="S351" s="90">
        <v>1</v>
      </c>
      <c r="T351" s="26">
        <v>26</v>
      </c>
      <c r="U351" s="77">
        <v>0</v>
      </c>
      <c r="V351" s="26">
        <v>0</v>
      </c>
      <c r="W351" s="26">
        <v>1</v>
      </c>
      <c r="X351" s="26">
        <v>0</v>
      </c>
      <c r="Y351" s="26">
        <v>0</v>
      </c>
      <c r="Z351" s="26">
        <v>0</v>
      </c>
      <c r="AA351" s="26">
        <v>0</v>
      </c>
      <c r="AB351" s="26">
        <v>0</v>
      </c>
      <c r="AC351" s="33">
        <v>0</v>
      </c>
      <c r="AD351" s="33">
        <v>0</v>
      </c>
      <c r="AE351" s="33">
        <v>0.35</v>
      </c>
      <c r="AF351" s="33">
        <v>0.65</v>
      </c>
      <c r="AG351" s="26" t="s">
        <v>70</v>
      </c>
      <c r="AH351" s="26" t="s">
        <v>70</v>
      </c>
      <c r="AI351" s="26" t="s">
        <v>70</v>
      </c>
      <c r="AJ351" s="26" t="s">
        <v>70</v>
      </c>
      <c r="AK351" s="26" t="s">
        <v>70</v>
      </c>
      <c r="AL351" s="26" t="s">
        <v>70</v>
      </c>
      <c r="AM351" s="35" t="s">
        <v>175</v>
      </c>
      <c r="AN351" s="26" t="s">
        <v>274</v>
      </c>
      <c r="AO351" s="35" t="s">
        <v>548</v>
      </c>
      <c r="AP351" s="35" t="s">
        <v>548</v>
      </c>
      <c r="AQ351" s="35" t="s">
        <v>548</v>
      </c>
      <c r="AR351" s="35" t="s">
        <v>548</v>
      </c>
      <c r="AS351" s="26" t="s">
        <v>175</v>
      </c>
      <c r="AT351" s="26" t="s">
        <v>70</v>
      </c>
      <c r="AU351" s="26" t="s">
        <v>70</v>
      </c>
      <c r="AV351" s="26">
        <v>4</v>
      </c>
    </row>
    <row r="352" spans="1:48" ht="14" customHeight="1">
      <c r="A352" s="27">
        <v>351</v>
      </c>
      <c r="B352" s="27" t="s">
        <v>440</v>
      </c>
      <c r="C352" s="27">
        <v>2003</v>
      </c>
      <c r="D352" s="26" t="s">
        <v>38</v>
      </c>
      <c r="E352" s="26" t="s">
        <v>566</v>
      </c>
      <c r="F352" s="77" t="s">
        <v>175</v>
      </c>
      <c r="G352" s="2" t="s">
        <v>105</v>
      </c>
      <c r="H352" s="2" t="s">
        <v>30</v>
      </c>
      <c r="I352" s="2" t="s">
        <v>548</v>
      </c>
      <c r="J352" s="2" t="s">
        <v>604</v>
      </c>
      <c r="K352" s="2" t="s">
        <v>548</v>
      </c>
      <c r="L352" s="2" t="s">
        <v>548</v>
      </c>
      <c r="M352" s="2" t="s">
        <v>175</v>
      </c>
      <c r="N352" s="2" t="s">
        <v>70</v>
      </c>
      <c r="O352" s="2" t="s">
        <v>209</v>
      </c>
      <c r="P352" s="2" t="s">
        <v>61</v>
      </c>
      <c r="Q352" s="2" t="s">
        <v>42</v>
      </c>
      <c r="R352" s="79" t="s">
        <v>613</v>
      </c>
      <c r="S352" s="26">
        <v>8.6125000000000007E-2</v>
      </c>
      <c r="T352" s="26">
        <v>128</v>
      </c>
      <c r="U352" s="77">
        <v>1</v>
      </c>
      <c r="V352" s="26">
        <v>0</v>
      </c>
      <c r="W352" s="26">
        <v>1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 t="s">
        <v>70</v>
      </c>
      <c r="AD352" s="26" t="s">
        <v>70</v>
      </c>
      <c r="AE352" s="26" t="s">
        <v>70</v>
      </c>
      <c r="AF352" s="26" t="s">
        <v>70</v>
      </c>
      <c r="AG352" s="26" t="s">
        <v>70</v>
      </c>
      <c r="AH352" s="26" t="s">
        <v>70</v>
      </c>
      <c r="AI352" s="26" t="s">
        <v>70</v>
      </c>
      <c r="AJ352" s="26" t="s">
        <v>191</v>
      </c>
      <c r="AK352" s="26" t="s">
        <v>70</v>
      </c>
      <c r="AL352" s="26" t="s">
        <v>70</v>
      </c>
      <c r="AM352" s="35" t="s">
        <v>548</v>
      </c>
      <c r="AN352" s="26" t="s">
        <v>274</v>
      </c>
      <c r="AO352" s="35" t="s">
        <v>548</v>
      </c>
      <c r="AP352" s="35" t="s">
        <v>548</v>
      </c>
      <c r="AQ352" s="35" t="s">
        <v>548</v>
      </c>
      <c r="AR352" s="35" t="s">
        <v>548</v>
      </c>
      <c r="AS352" s="26" t="s">
        <v>175</v>
      </c>
      <c r="AT352" s="26" t="s">
        <v>70</v>
      </c>
      <c r="AU352" s="26" t="s">
        <v>70</v>
      </c>
      <c r="AV352" s="26">
        <v>4</v>
      </c>
    </row>
    <row r="353" spans="1:48" ht="14" customHeight="1">
      <c r="A353" s="27">
        <v>352</v>
      </c>
      <c r="B353" s="27" t="s">
        <v>441</v>
      </c>
      <c r="C353" s="28">
        <v>1992</v>
      </c>
      <c r="D353" s="26" t="s">
        <v>13</v>
      </c>
      <c r="E353" s="26" t="s">
        <v>566</v>
      </c>
      <c r="F353" s="2" t="s">
        <v>548</v>
      </c>
      <c r="G353" s="2" t="s">
        <v>105</v>
      </c>
      <c r="H353" s="2" t="s">
        <v>275</v>
      </c>
      <c r="I353" s="2" t="s">
        <v>548</v>
      </c>
      <c r="J353" s="2" t="s">
        <v>604</v>
      </c>
      <c r="K353" s="2" t="s">
        <v>548</v>
      </c>
      <c r="L353" s="2" t="s">
        <v>548</v>
      </c>
      <c r="M353" s="2" t="s">
        <v>548</v>
      </c>
      <c r="N353" s="2" t="s">
        <v>48</v>
      </c>
      <c r="O353" s="2" t="s">
        <v>209</v>
      </c>
      <c r="P353" s="2" t="s">
        <v>48</v>
      </c>
      <c r="Q353" s="2" t="s">
        <v>42</v>
      </c>
      <c r="R353" s="79" t="s">
        <v>613</v>
      </c>
      <c r="S353" s="88">
        <v>0</v>
      </c>
      <c r="T353" s="61">
        <v>90</v>
      </c>
      <c r="U353" s="2">
        <v>0</v>
      </c>
      <c r="V353" s="26">
        <v>1</v>
      </c>
      <c r="W353" s="26">
        <v>1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v>0</v>
      </c>
      <c r="AD353" s="26">
        <v>0</v>
      </c>
      <c r="AE353" s="26">
        <v>0</v>
      </c>
      <c r="AF353" s="26">
        <v>0</v>
      </c>
      <c r="AG353" s="33" t="s">
        <v>70</v>
      </c>
      <c r="AH353" s="33" t="s">
        <v>70</v>
      </c>
      <c r="AI353" s="33" t="s">
        <v>70</v>
      </c>
      <c r="AJ353" s="26" t="s">
        <v>70</v>
      </c>
      <c r="AK353" s="33" t="s">
        <v>70</v>
      </c>
      <c r="AL353" s="33" t="s">
        <v>70</v>
      </c>
      <c r="AM353" s="61" t="s">
        <v>548</v>
      </c>
      <c r="AN353" s="26" t="s">
        <v>274</v>
      </c>
      <c r="AO353" s="26" t="s">
        <v>548</v>
      </c>
      <c r="AP353" s="26" t="s">
        <v>548</v>
      </c>
      <c r="AQ353" s="26" t="s">
        <v>548</v>
      </c>
      <c r="AR353" s="26" t="s">
        <v>548</v>
      </c>
      <c r="AS353" s="26" t="s">
        <v>175</v>
      </c>
      <c r="AT353" s="26" t="s">
        <v>70</v>
      </c>
      <c r="AU353" s="26" t="s">
        <v>70</v>
      </c>
      <c r="AV353" s="26">
        <v>3</v>
      </c>
    </row>
    <row r="354" spans="1:48" ht="14" customHeight="1">
      <c r="A354" s="27">
        <v>353</v>
      </c>
      <c r="B354" s="27" t="s">
        <v>442</v>
      </c>
      <c r="C354" s="27">
        <v>2002</v>
      </c>
      <c r="D354" s="26" t="s">
        <v>77</v>
      </c>
      <c r="E354" s="26" t="s">
        <v>563</v>
      </c>
      <c r="F354" s="77" t="s">
        <v>175</v>
      </c>
      <c r="G354" s="2" t="s">
        <v>105</v>
      </c>
      <c r="H354" s="2" t="s">
        <v>30</v>
      </c>
      <c r="I354" s="2" t="s">
        <v>548</v>
      </c>
      <c r="J354" s="2" t="s">
        <v>604</v>
      </c>
      <c r="K354" s="2" t="s">
        <v>548</v>
      </c>
      <c r="L354" s="2" t="s">
        <v>548</v>
      </c>
      <c r="M354" s="2" t="s">
        <v>175</v>
      </c>
      <c r="N354" s="2" t="s">
        <v>48</v>
      </c>
      <c r="O354" s="2" t="s">
        <v>209</v>
      </c>
      <c r="P354" s="2" t="s">
        <v>48</v>
      </c>
      <c r="Q354" s="2" t="s">
        <v>42</v>
      </c>
      <c r="R354" s="102" t="s">
        <v>614</v>
      </c>
      <c r="S354" s="88">
        <v>0.05</v>
      </c>
      <c r="T354" s="26">
        <v>60</v>
      </c>
      <c r="U354" s="77">
        <v>1</v>
      </c>
      <c r="V354" s="26">
        <v>0</v>
      </c>
      <c r="W354" s="26">
        <v>1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 t="s">
        <v>70</v>
      </c>
      <c r="AD354" s="26" t="s">
        <v>70</v>
      </c>
      <c r="AE354" s="26" t="s">
        <v>70</v>
      </c>
      <c r="AF354" s="26" t="s">
        <v>70</v>
      </c>
      <c r="AG354" s="26" t="s">
        <v>70</v>
      </c>
      <c r="AH354" s="26" t="s">
        <v>70</v>
      </c>
      <c r="AI354" s="26" t="s">
        <v>70</v>
      </c>
      <c r="AJ354" s="26" t="s">
        <v>70</v>
      </c>
      <c r="AK354" s="26" t="s">
        <v>70</v>
      </c>
      <c r="AL354" s="26" t="s">
        <v>70</v>
      </c>
      <c r="AM354" s="35" t="s">
        <v>548</v>
      </c>
      <c r="AN354" s="26" t="s">
        <v>274</v>
      </c>
      <c r="AO354" s="35" t="s">
        <v>548</v>
      </c>
      <c r="AP354" s="35" t="s">
        <v>548</v>
      </c>
      <c r="AQ354" s="35" t="s">
        <v>548</v>
      </c>
      <c r="AR354" s="35" t="s">
        <v>548</v>
      </c>
      <c r="AS354" s="26" t="s">
        <v>175</v>
      </c>
      <c r="AT354" s="26" t="s">
        <v>70</v>
      </c>
      <c r="AU354" s="26" t="s">
        <v>70</v>
      </c>
      <c r="AV354" s="26">
        <v>4</v>
      </c>
    </row>
    <row r="355" spans="1:48" ht="14" customHeight="1">
      <c r="A355" s="27">
        <v>354</v>
      </c>
      <c r="B355" s="27" t="s">
        <v>443</v>
      </c>
      <c r="C355" s="27">
        <v>2007</v>
      </c>
      <c r="D355" s="26" t="s">
        <v>38</v>
      </c>
      <c r="E355" s="26" t="s">
        <v>566</v>
      </c>
      <c r="F355" s="77" t="s">
        <v>175</v>
      </c>
      <c r="G355" s="2" t="s">
        <v>105</v>
      </c>
      <c r="H355" s="2" t="s">
        <v>30</v>
      </c>
      <c r="I355" s="2" t="s">
        <v>548</v>
      </c>
      <c r="J355" s="2" t="s">
        <v>604</v>
      </c>
      <c r="K355" s="2" t="s">
        <v>548</v>
      </c>
      <c r="L355" s="2" t="s">
        <v>548</v>
      </c>
      <c r="M355" s="2" t="s">
        <v>175</v>
      </c>
      <c r="N355" s="2" t="s">
        <v>70</v>
      </c>
      <c r="O355" s="2" t="s">
        <v>209</v>
      </c>
      <c r="P355" s="2" t="s">
        <v>61</v>
      </c>
      <c r="Q355" s="2" t="s">
        <v>42</v>
      </c>
      <c r="R355" s="102" t="s">
        <v>614</v>
      </c>
      <c r="S355" s="2">
        <f>2/T355</f>
        <v>6.6666666666666666E-2</v>
      </c>
      <c r="T355" s="26">
        <v>30</v>
      </c>
      <c r="U355" s="77">
        <v>1</v>
      </c>
      <c r="V355" s="26">
        <v>1</v>
      </c>
      <c r="W355" s="26">
        <v>1</v>
      </c>
      <c r="X355" s="26">
        <v>1</v>
      </c>
      <c r="Y355" s="26">
        <v>1</v>
      </c>
      <c r="Z355" s="26">
        <v>0</v>
      </c>
      <c r="AA355" s="26">
        <v>0</v>
      </c>
      <c r="AB355" s="26">
        <v>0</v>
      </c>
      <c r="AC355" s="26">
        <f>1-S355</f>
        <v>0.93333333333333335</v>
      </c>
      <c r="AD355" s="26">
        <f>1/30</f>
        <v>3.3333333333333333E-2</v>
      </c>
      <c r="AE355" s="26">
        <f>1/30</f>
        <v>3.3333333333333333E-2</v>
      </c>
      <c r="AF355" s="26">
        <v>0</v>
      </c>
      <c r="AG355" s="26">
        <f>(5+49)/30</f>
        <v>1.8</v>
      </c>
      <c r="AH355" s="26" t="s">
        <v>70</v>
      </c>
      <c r="AI355" s="26" t="s">
        <v>70</v>
      </c>
      <c r="AJ355" s="26" t="s">
        <v>70</v>
      </c>
      <c r="AK355" s="26" t="s">
        <v>70</v>
      </c>
      <c r="AL355" s="26" t="s">
        <v>70</v>
      </c>
      <c r="AM355" s="35" t="s">
        <v>548</v>
      </c>
      <c r="AN355" s="26" t="s">
        <v>274</v>
      </c>
      <c r="AO355" s="35" t="s">
        <v>548</v>
      </c>
      <c r="AP355" s="35" t="s">
        <v>548</v>
      </c>
      <c r="AQ355" s="35" t="s">
        <v>548</v>
      </c>
      <c r="AR355" s="35" t="s">
        <v>548</v>
      </c>
      <c r="AS355" s="26" t="s">
        <v>175</v>
      </c>
      <c r="AT355" s="26" t="s">
        <v>70</v>
      </c>
      <c r="AU355" s="26" t="s">
        <v>70</v>
      </c>
      <c r="AV355" s="26">
        <v>7</v>
      </c>
    </row>
    <row r="356" spans="1:48" ht="14" customHeight="1">
      <c r="A356" s="27">
        <v>355</v>
      </c>
      <c r="B356" s="27" t="s">
        <v>444</v>
      </c>
      <c r="C356" s="26">
        <v>2005</v>
      </c>
      <c r="D356" s="26" t="s">
        <v>69</v>
      </c>
      <c r="E356" s="26" t="s">
        <v>565</v>
      </c>
      <c r="F356" s="77" t="s">
        <v>175</v>
      </c>
      <c r="G356" s="2" t="s">
        <v>106</v>
      </c>
      <c r="H356" s="2" t="s">
        <v>30</v>
      </c>
      <c r="I356" s="2" t="s">
        <v>548</v>
      </c>
      <c r="J356" s="2" t="s">
        <v>604</v>
      </c>
      <c r="K356" s="2" t="s">
        <v>548</v>
      </c>
      <c r="L356" s="2" t="s">
        <v>548</v>
      </c>
      <c r="M356" s="2" t="s">
        <v>548</v>
      </c>
      <c r="N356" s="2" t="s">
        <v>70</v>
      </c>
      <c r="O356" s="2" t="s">
        <v>209</v>
      </c>
      <c r="P356" s="2" t="s">
        <v>611</v>
      </c>
      <c r="Q356" s="2" t="s">
        <v>42</v>
      </c>
      <c r="R356" s="79" t="s">
        <v>613</v>
      </c>
      <c r="S356" s="2">
        <f>11/T356</f>
        <v>0.91666666666666663</v>
      </c>
      <c r="T356" s="26">
        <v>12</v>
      </c>
      <c r="U356" s="77">
        <v>1</v>
      </c>
      <c r="V356" s="26">
        <v>0</v>
      </c>
      <c r="W356" s="26">
        <v>1</v>
      </c>
      <c r="X356" s="26">
        <v>1</v>
      </c>
      <c r="Y356" s="26">
        <v>0</v>
      </c>
      <c r="Z356" s="26">
        <v>0</v>
      </c>
      <c r="AA356" s="26">
        <v>0</v>
      </c>
      <c r="AB356" s="26">
        <v>0</v>
      </c>
      <c r="AC356" s="26" t="s">
        <v>70</v>
      </c>
      <c r="AD356" s="26" t="s">
        <v>70</v>
      </c>
      <c r="AE356" s="26" t="s">
        <v>70</v>
      </c>
      <c r="AF356" s="26" t="s">
        <v>70</v>
      </c>
      <c r="AG356" s="26" t="s">
        <v>70</v>
      </c>
      <c r="AH356" s="26" t="s">
        <v>70</v>
      </c>
      <c r="AI356" s="26" t="s">
        <v>70</v>
      </c>
      <c r="AJ356" s="26" t="s">
        <v>70</v>
      </c>
      <c r="AK356" s="26" t="s">
        <v>70</v>
      </c>
      <c r="AL356" s="26" t="s">
        <v>70</v>
      </c>
      <c r="AM356" s="35" t="s">
        <v>175</v>
      </c>
      <c r="AN356" s="26" t="s">
        <v>274</v>
      </c>
      <c r="AO356" s="35" t="s">
        <v>548</v>
      </c>
      <c r="AP356" s="35" t="s">
        <v>548</v>
      </c>
      <c r="AQ356" s="35" t="s">
        <v>548</v>
      </c>
      <c r="AR356" s="35" t="s">
        <v>548</v>
      </c>
      <c r="AS356" s="26" t="s">
        <v>175</v>
      </c>
      <c r="AT356" s="26" t="s">
        <v>70</v>
      </c>
      <c r="AU356" s="26" t="s">
        <v>70</v>
      </c>
      <c r="AV356" s="26">
        <v>5</v>
      </c>
    </row>
    <row r="357" spans="1:48" ht="14" customHeight="1">
      <c r="A357" s="27">
        <v>356</v>
      </c>
      <c r="B357" s="27" t="s">
        <v>444</v>
      </c>
      <c r="C357" s="26">
        <v>2005</v>
      </c>
      <c r="D357" s="26" t="s">
        <v>69</v>
      </c>
      <c r="E357" s="26" t="s">
        <v>565</v>
      </c>
      <c r="F357" s="77" t="s">
        <v>175</v>
      </c>
      <c r="G357" s="2" t="s">
        <v>106</v>
      </c>
      <c r="H357" s="2" t="s">
        <v>30</v>
      </c>
      <c r="I357" s="2" t="s">
        <v>548</v>
      </c>
      <c r="J357" s="2" t="s">
        <v>604</v>
      </c>
      <c r="K357" s="2" t="s">
        <v>548</v>
      </c>
      <c r="L357" s="2" t="s">
        <v>548</v>
      </c>
      <c r="M357" s="2" t="s">
        <v>548</v>
      </c>
      <c r="N357" s="2" t="s">
        <v>62</v>
      </c>
      <c r="O357" s="2" t="s">
        <v>43</v>
      </c>
      <c r="P357" s="2" t="s">
        <v>62</v>
      </c>
      <c r="Q357" s="26" t="s">
        <v>606</v>
      </c>
      <c r="R357" s="79" t="s">
        <v>613</v>
      </c>
      <c r="S357" s="2">
        <f>6/T357</f>
        <v>0.2</v>
      </c>
      <c r="T357" s="26">
        <v>30</v>
      </c>
      <c r="U357" s="77">
        <v>1</v>
      </c>
      <c r="V357" s="26">
        <v>0</v>
      </c>
      <c r="W357" s="26">
        <v>1</v>
      </c>
      <c r="X357" s="26">
        <v>1</v>
      </c>
      <c r="Y357" s="26">
        <v>0</v>
      </c>
      <c r="Z357" s="26">
        <v>0</v>
      </c>
      <c r="AA357" s="26">
        <v>0</v>
      </c>
      <c r="AB357" s="26">
        <v>0</v>
      </c>
      <c r="AC357" s="26">
        <f>24/30</f>
        <v>0.8</v>
      </c>
      <c r="AD357" s="26">
        <f>6/30</f>
        <v>0.2</v>
      </c>
      <c r="AE357" s="26">
        <v>0</v>
      </c>
      <c r="AF357" s="26">
        <v>0</v>
      </c>
      <c r="AG357" s="26" t="s">
        <v>70</v>
      </c>
      <c r="AH357" s="26" t="s">
        <v>70</v>
      </c>
      <c r="AI357" s="26" t="s">
        <v>70</v>
      </c>
      <c r="AJ357" s="26" t="s">
        <v>70</v>
      </c>
      <c r="AK357" s="26" t="s">
        <v>70</v>
      </c>
      <c r="AL357" s="26" t="s">
        <v>70</v>
      </c>
      <c r="AM357" s="35" t="s">
        <v>175</v>
      </c>
      <c r="AN357" s="26" t="s">
        <v>274</v>
      </c>
      <c r="AO357" s="35" t="s">
        <v>548</v>
      </c>
      <c r="AP357" s="35" t="s">
        <v>548</v>
      </c>
      <c r="AQ357" s="35" t="s">
        <v>548</v>
      </c>
      <c r="AR357" s="35" t="s">
        <v>548</v>
      </c>
      <c r="AS357" s="26" t="s">
        <v>175</v>
      </c>
      <c r="AT357" s="26" t="s">
        <v>70</v>
      </c>
      <c r="AU357" s="26" t="s">
        <v>70</v>
      </c>
      <c r="AV357" s="26">
        <v>5</v>
      </c>
    </row>
    <row r="358" spans="1:48" ht="14" customHeight="1">
      <c r="A358" s="27">
        <v>357</v>
      </c>
      <c r="B358" s="27" t="s">
        <v>445</v>
      </c>
      <c r="C358" s="27">
        <v>2009</v>
      </c>
      <c r="D358" s="26" t="s">
        <v>13</v>
      </c>
      <c r="E358" s="26" t="s">
        <v>566</v>
      </c>
      <c r="F358" s="77" t="s">
        <v>175</v>
      </c>
      <c r="G358" s="2" t="s">
        <v>105</v>
      </c>
      <c r="H358" s="2" t="s">
        <v>275</v>
      </c>
      <c r="I358" s="2" t="s">
        <v>548</v>
      </c>
      <c r="J358" s="2" t="s">
        <v>604</v>
      </c>
      <c r="K358" s="2" t="s">
        <v>548</v>
      </c>
      <c r="L358" s="2" t="s">
        <v>548</v>
      </c>
      <c r="M358" s="2" t="s">
        <v>175</v>
      </c>
      <c r="N358" s="2" t="s">
        <v>70</v>
      </c>
      <c r="O358" s="2" t="s">
        <v>209</v>
      </c>
      <c r="P358" s="2" t="s">
        <v>61</v>
      </c>
      <c r="Q358" s="2" t="s">
        <v>42</v>
      </c>
      <c r="R358" s="102" t="s">
        <v>614</v>
      </c>
      <c r="S358" s="88">
        <v>2.1999999999999999E-2</v>
      </c>
      <c r="T358" s="26">
        <v>92</v>
      </c>
      <c r="U358" s="77">
        <v>1</v>
      </c>
      <c r="V358" s="26">
        <v>0</v>
      </c>
      <c r="W358" s="26">
        <v>0</v>
      </c>
      <c r="X358" s="26">
        <v>1</v>
      </c>
      <c r="Y358" s="26">
        <v>1</v>
      </c>
      <c r="Z358" s="26">
        <v>0</v>
      </c>
      <c r="AA358" s="26">
        <v>0</v>
      </c>
      <c r="AB358" s="26">
        <v>0</v>
      </c>
      <c r="AC358" s="26" t="s">
        <v>70</v>
      </c>
      <c r="AD358" s="26" t="s">
        <v>70</v>
      </c>
      <c r="AE358" s="26" t="s">
        <v>70</v>
      </c>
      <c r="AF358" s="26" t="s">
        <v>70</v>
      </c>
      <c r="AG358" s="26" t="s">
        <v>70</v>
      </c>
      <c r="AH358" s="26" t="s">
        <v>70</v>
      </c>
      <c r="AI358" s="26" t="s">
        <v>70</v>
      </c>
      <c r="AJ358" s="26" t="s">
        <v>70</v>
      </c>
      <c r="AK358" s="26" t="s">
        <v>70</v>
      </c>
      <c r="AL358" s="26" t="s">
        <v>70</v>
      </c>
      <c r="AM358" s="35" t="s">
        <v>548</v>
      </c>
      <c r="AN358" s="26" t="s">
        <v>274</v>
      </c>
      <c r="AO358" s="35" t="s">
        <v>548</v>
      </c>
      <c r="AP358" s="35" t="s">
        <v>548</v>
      </c>
      <c r="AQ358" s="35" t="s">
        <v>548</v>
      </c>
      <c r="AR358" s="35" t="s">
        <v>548</v>
      </c>
      <c r="AS358" s="26" t="s">
        <v>175</v>
      </c>
      <c r="AT358" s="26" t="s">
        <v>70</v>
      </c>
      <c r="AU358" s="26" t="s">
        <v>70</v>
      </c>
      <c r="AV358" s="26">
        <v>5</v>
      </c>
    </row>
    <row r="359" spans="1:48" ht="14" customHeight="1">
      <c r="A359" s="27">
        <v>358</v>
      </c>
      <c r="B359" s="27" t="s">
        <v>446</v>
      </c>
      <c r="C359" s="27">
        <v>2007</v>
      </c>
      <c r="D359" s="26" t="s">
        <v>13</v>
      </c>
      <c r="E359" s="26" t="s">
        <v>566</v>
      </c>
      <c r="F359" s="77" t="s">
        <v>175</v>
      </c>
      <c r="G359" s="2" t="s">
        <v>105</v>
      </c>
      <c r="H359" s="2" t="s">
        <v>30</v>
      </c>
      <c r="I359" s="2" t="s">
        <v>175</v>
      </c>
      <c r="J359" s="2" t="s">
        <v>604</v>
      </c>
      <c r="K359" s="2" t="s">
        <v>175</v>
      </c>
      <c r="L359" s="2" t="s">
        <v>175</v>
      </c>
      <c r="M359" s="2" t="s">
        <v>175</v>
      </c>
      <c r="N359" s="2" t="s">
        <v>210</v>
      </c>
      <c r="O359" s="2" t="s">
        <v>43</v>
      </c>
      <c r="P359" s="2" t="s">
        <v>210</v>
      </c>
      <c r="Q359" s="2" t="s">
        <v>42</v>
      </c>
      <c r="R359" s="102" t="s">
        <v>614</v>
      </c>
      <c r="S359" s="90" t="s">
        <v>70</v>
      </c>
      <c r="T359" s="26">
        <v>23</v>
      </c>
      <c r="U359" s="77">
        <v>1</v>
      </c>
      <c r="V359" s="26">
        <v>0</v>
      </c>
      <c r="W359" s="26">
        <v>1</v>
      </c>
      <c r="X359" s="26">
        <v>1</v>
      </c>
      <c r="Y359" s="26">
        <v>1</v>
      </c>
      <c r="Z359" s="26">
        <v>0</v>
      </c>
      <c r="AA359" s="26">
        <v>0</v>
      </c>
      <c r="AB359" s="26">
        <v>0</v>
      </c>
      <c r="AC359" s="26" t="s">
        <v>70</v>
      </c>
      <c r="AD359" s="26" t="s">
        <v>70</v>
      </c>
      <c r="AE359" s="26" t="s">
        <v>70</v>
      </c>
      <c r="AF359" s="26" t="s">
        <v>70</v>
      </c>
      <c r="AG359" s="26" t="s">
        <v>70</v>
      </c>
      <c r="AH359" s="33">
        <v>7</v>
      </c>
      <c r="AI359" s="26" t="s">
        <v>70</v>
      </c>
      <c r="AJ359" s="26" t="s">
        <v>193</v>
      </c>
      <c r="AK359" s="33">
        <v>5</v>
      </c>
      <c r="AL359" s="26" t="s">
        <v>70</v>
      </c>
      <c r="AM359" s="35" t="s">
        <v>175</v>
      </c>
      <c r="AN359" s="32" t="s">
        <v>9</v>
      </c>
      <c r="AO359" s="35" t="s">
        <v>548</v>
      </c>
      <c r="AP359" s="35" t="s">
        <v>548</v>
      </c>
      <c r="AQ359" s="35" t="s">
        <v>548</v>
      </c>
      <c r="AR359" s="35" t="s">
        <v>548</v>
      </c>
      <c r="AS359" s="26" t="s">
        <v>175</v>
      </c>
      <c r="AT359" s="26" t="s">
        <v>70</v>
      </c>
      <c r="AU359" s="26" t="s">
        <v>70</v>
      </c>
      <c r="AV359" s="26">
        <v>10</v>
      </c>
    </row>
    <row r="360" spans="1:48" ht="14" customHeight="1">
      <c r="A360" s="27">
        <v>359</v>
      </c>
      <c r="B360" s="27" t="s">
        <v>446</v>
      </c>
      <c r="C360" s="27">
        <v>2007</v>
      </c>
      <c r="D360" s="26" t="s">
        <v>13</v>
      </c>
      <c r="E360" s="26" t="s">
        <v>566</v>
      </c>
      <c r="F360" s="77" t="s">
        <v>175</v>
      </c>
      <c r="G360" s="2" t="s">
        <v>105</v>
      </c>
      <c r="H360" s="2" t="s">
        <v>30</v>
      </c>
      <c r="I360" s="2" t="s">
        <v>175</v>
      </c>
      <c r="J360" s="2" t="s">
        <v>604</v>
      </c>
      <c r="K360" s="2" t="s">
        <v>175</v>
      </c>
      <c r="L360" s="2" t="s">
        <v>175</v>
      </c>
      <c r="M360" s="2" t="s">
        <v>175</v>
      </c>
      <c r="N360" s="78" t="s">
        <v>70</v>
      </c>
      <c r="O360" s="2" t="s">
        <v>209</v>
      </c>
      <c r="P360" s="2" t="s">
        <v>612</v>
      </c>
      <c r="Q360" s="2" t="s">
        <v>42</v>
      </c>
      <c r="R360" s="102" t="s">
        <v>614</v>
      </c>
      <c r="S360" s="90" t="s">
        <v>70</v>
      </c>
      <c r="T360" s="26">
        <v>175</v>
      </c>
      <c r="U360" s="77">
        <v>1</v>
      </c>
      <c r="V360" s="26">
        <v>0</v>
      </c>
      <c r="W360" s="26">
        <v>1</v>
      </c>
      <c r="X360" s="26">
        <v>1</v>
      </c>
      <c r="Y360" s="26">
        <v>1</v>
      </c>
      <c r="Z360" s="26">
        <v>0</v>
      </c>
      <c r="AA360" s="26">
        <v>0</v>
      </c>
      <c r="AB360" s="26">
        <v>0</v>
      </c>
      <c r="AC360" s="26" t="s">
        <v>70</v>
      </c>
      <c r="AD360" s="26" t="s">
        <v>70</v>
      </c>
      <c r="AE360" s="26" t="s">
        <v>70</v>
      </c>
      <c r="AF360" s="26" t="s">
        <v>70</v>
      </c>
      <c r="AG360" s="26" t="s">
        <v>70</v>
      </c>
      <c r="AH360" s="33">
        <v>2480</v>
      </c>
      <c r="AI360" s="26" t="s">
        <v>70</v>
      </c>
      <c r="AJ360" s="26" t="s">
        <v>192</v>
      </c>
      <c r="AK360" s="33">
        <v>7.9</v>
      </c>
      <c r="AL360" s="26" t="s">
        <v>70</v>
      </c>
      <c r="AM360" s="35" t="s">
        <v>175</v>
      </c>
      <c r="AN360" s="32" t="s">
        <v>9</v>
      </c>
      <c r="AO360" s="35" t="s">
        <v>548</v>
      </c>
      <c r="AP360" s="35" t="s">
        <v>548</v>
      </c>
      <c r="AQ360" s="35" t="s">
        <v>548</v>
      </c>
      <c r="AR360" s="35" t="s">
        <v>548</v>
      </c>
      <c r="AS360" s="26" t="s">
        <v>175</v>
      </c>
      <c r="AT360" s="26" t="s">
        <v>70</v>
      </c>
      <c r="AU360" s="26" t="s">
        <v>70</v>
      </c>
      <c r="AV360" s="26">
        <v>10</v>
      </c>
    </row>
    <row r="361" spans="1:48" ht="14" customHeight="1">
      <c r="A361" s="27">
        <v>360</v>
      </c>
      <c r="B361" s="27" t="s">
        <v>446</v>
      </c>
      <c r="C361" s="27">
        <v>2007</v>
      </c>
      <c r="D361" s="26" t="s">
        <v>13</v>
      </c>
      <c r="E361" s="26" t="s">
        <v>566</v>
      </c>
      <c r="F361" s="77" t="s">
        <v>175</v>
      </c>
      <c r="G361" s="2" t="s">
        <v>105</v>
      </c>
      <c r="H361" s="2" t="s">
        <v>30</v>
      </c>
      <c r="I361" s="2" t="s">
        <v>175</v>
      </c>
      <c r="J361" s="2" t="s">
        <v>604</v>
      </c>
      <c r="K361" s="2" t="s">
        <v>175</v>
      </c>
      <c r="L361" s="2" t="s">
        <v>175</v>
      </c>
      <c r="M361" s="2" t="s">
        <v>175</v>
      </c>
      <c r="N361" s="2" t="s">
        <v>62</v>
      </c>
      <c r="O361" s="2" t="s">
        <v>43</v>
      </c>
      <c r="P361" s="2" t="s">
        <v>62</v>
      </c>
      <c r="Q361" s="38" t="s">
        <v>247</v>
      </c>
      <c r="R361" s="102" t="s">
        <v>614</v>
      </c>
      <c r="S361" s="90" t="s">
        <v>70</v>
      </c>
      <c r="T361" s="26">
        <v>20</v>
      </c>
      <c r="U361" s="77">
        <v>1</v>
      </c>
      <c r="V361" s="26">
        <v>0</v>
      </c>
      <c r="W361" s="26">
        <v>1</v>
      </c>
      <c r="X361" s="26">
        <v>1</v>
      </c>
      <c r="Y361" s="26">
        <v>1</v>
      </c>
      <c r="Z361" s="26">
        <v>0</v>
      </c>
      <c r="AA361" s="26">
        <v>0</v>
      </c>
      <c r="AB361" s="26">
        <v>0</v>
      </c>
      <c r="AC361" s="26" t="s">
        <v>70</v>
      </c>
      <c r="AD361" s="26" t="s">
        <v>70</v>
      </c>
      <c r="AE361" s="26" t="s">
        <v>70</v>
      </c>
      <c r="AF361" s="26" t="s">
        <v>70</v>
      </c>
      <c r="AG361" s="26" t="s">
        <v>70</v>
      </c>
      <c r="AH361" s="33">
        <v>110</v>
      </c>
      <c r="AI361" s="26" t="s">
        <v>70</v>
      </c>
      <c r="AJ361" s="26" t="s">
        <v>194</v>
      </c>
      <c r="AK361" s="33">
        <v>2.6</v>
      </c>
      <c r="AL361" s="26" t="s">
        <v>70</v>
      </c>
      <c r="AM361" s="35" t="s">
        <v>175</v>
      </c>
      <c r="AN361" s="32" t="s">
        <v>9</v>
      </c>
      <c r="AO361" s="35" t="s">
        <v>548</v>
      </c>
      <c r="AP361" s="35" t="s">
        <v>548</v>
      </c>
      <c r="AQ361" s="35" t="s">
        <v>548</v>
      </c>
      <c r="AR361" s="35" t="s">
        <v>548</v>
      </c>
      <c r="AS361" s="26" t="s">
        <v>175</v>
      </c>
      <c r="AT361" s="26" t="s">
        <v>70</v>
      </c>
      <c r="AU361" s="26" t="s">
        <v>70</v>
      </c>
      <c r="AV361" s="26">
        <v>10</v>
      </c>
    </row>
    <row r="362" spans="1:48" ht="14" customHeight="1">
      <c r="A362" s="27">
        <v>361</v>
      </c>
      <c r="B362" s="27" t="s">
        <v>446</v>
      </c>
      <c r="C362" s="27">
        <v>2007</v>
      </c>
      <c r="D362" s="26" t="s">
        <v>13</v>
      </c>
      <c r="E362" s="26" t="s">
        <v>566</v>
      </c>
      <c r="F362" s="77" t="s">
        <v>175</v>
      </c>
      <c r="G362" s="2" t="s">
        <v>105</v>
      </c>
      <c r="H362" s="2" t="s">
        <v>30</v>
      </c>
      <c r="I362" s="2" t="s">
        <v>175</v>
      </c>
      <c r="J362" s="2" t="s">
        <v>604</v>
      </c>
      <c r="K362" s="2" t="s">
        <v>175</v>
      </c>
      <c r="L362" s="2" t="s">
        <v>175</v>
      </c>
      <c r="M362" s="2" t="s">
        <v>175</v>
      </c>
      <c r="N362" s="2" t="s">
        <v>210</v>
      </c>
      <c r="O362" s="2" t="s">
        <v>43</v>
      </c>
      <c r="P362" s="2" t="s">
        <v>618</v>
      </c>
      <c r="Q362" s="2" t="s">
        <v>42</v>
      </c>
      <c r="R362" s="102" t="s">
        <v>614</v>
      </c>
      <c r="S362" s="88">
        <v>1</v>
      </c>
      <c r="T362" s="26">
        <v>23</v>
      </c>
      <c r="U362" s="77">
        <v>1</v>
      </c>
      <c r="V362" s="26">
        <v>0</v>
      </c>
      <c r="W362" s="26">
        <v>1</v>
      </c>
      <c r="X362" s="26">
        <v>1</v>
      </c>
      <c r="Y362" s="26">
        <v>1</v>
      </c>
      <c r="Z362" s="26">
        <v>0</v>
      </c>
      <c r="AA362" s="26">
        <v>0</v>
      </c>
      <c r="AB362" s="26">
        <v>0</v>
      </c>
      <c r="AC362" s="26" t="s">
        <v>70</v>
      </c>
      <c r="AD362" s="26" t="s">
        <v>70</v>
      </c>
      <c r="AE362" s="26" t="s">
        <v>70</v>
      </c>
      <c r="AF362" s="26" t="s">
        <v>70</v>
      </c>
      <c r="AG362" s="26" t="s">
        <v>70</v>
      </c>
      <c r="AH362" s="26">
        <v>1760</v>
      </c>
      <c r="AI362" s="26" t="s">
        <v>70</v>
      </c>
      <c r="AJ362" s="26" t="s">
        <v>265</v>
      </c>
      <c r="AK362" s="26">
        <v>7.2</v>
      </c>
      <c r="AL362" s="26" t="s">
        <v>70</v>
      </c>
      <c r="AM362" s="35" t="s">
        <v>175</v>
      </c>
      <c r="AN362" s="32" t="s">
        <v>9</v>
      </c>
      <c r="AO362" s="35" t="s">
        <v>548</v>
      </c>
      <c r="AP362" s="35" t="s">
        <v>548</v>
      </c>
      <c r="AQ362" s="35" t="s">
        <v>548</v>
      </c>
      <c r="AR362" s="35" t="s">
        <v>548</v>
      </c>
      <c r="AS362" s="26" t="s">
        <v>175</v>
      </c>
      <c r="AT362" s="26" t="s">
        <v>70</v>
      </c>
      <c r="AU362" s="26" t="s">
        <v>70</v>
      </c>
      <c r="AV362" s="26">
        <v>10</v>
      </c>
    </row>
    <row r="363" spans="1:48" ht="14" customHeight="1">
      <c r="A363" s="27">
        <v>362</v>
      </c>
      <c r="B363" s="27" t="s">
        <v>446</v>
      </c>
      <c r="C363" s="27">
        <v>2007</v>
      </c>
      <c r="D363" s="26" t="s">
        <v>13</v>
      </c>
      <c r="E363" s="26" t="s">
        <v>566</v>
      </c>
      <c r="F363" s="77" t="s">
        <v>175</v>
      </c>
      <c r="G363" s="2" t="s">
        <v>105</v>
      </c>
      <c r="H363" s="2" t="s">
        <v>30</v>
      </c>
      <c r="I363" s="2" t="s">
        <v>175</v>
      </c>
      <c r="J363" s="2" t="s">
        <v>604</v>
      </c>
      <c r="K363" s="2" t="s">
        <v>175</v>
      </c>
      <c r="L363" s="2" t="s">
        <v>175</v>
      </c>
      <c r="M363" s="2" t="s">
        <v>175</v>
      </c>
      <c r="N363" s="2" t="s">
        <v>209</v>
      </c>
      <c r="O363" s="2" t="s">
        <v>209</v>
      </c>
      <c r="P363" s="2" t="s">
        <v>620</v>
      </c>
      <c r="Q363" s="2" t="s">
        <v>42</v>
      </c>
      <c r="R363" s="102" t="s">
        <v>614</v>
      </c>
      <c r="S363" s="88">
        <v>1</v>
      </c>
      <c r="T363" s="26">
        <v>175</v>
      </c>
      <c r="U363" s="77">
        <v>1</v>
      </c>
      <c r="V363" s="26">
        <v>0</v>
      </c>
      <c r="W363" s="26">
        <v>1</v>
      </c>
      <c r="X363" s="26">
        <v>1</v>
      </c>
      <c r="Y363" s="26">
        <v>1</v>
      </c>
      <c r="Z363" s="26">
        <v>0</v>
      </c>
      <c r="AA363" s="26">
        <v>0</v>
      </c>
      <c r="AB363" s="26">
        <v>0</v>
      </c>
      <c r="AC363" s="26" t="s">
        <v>70</v>
      </c>
      <c r="AD363" s="26" t="s">
        <v>70</v>
      </c>
      <c r="AE363" s="26" t="s">
        <v>70</v>
      </c>
      <c r="AF363" s="26" t="s">
        <v>70</v>
      </c>
      <c r="AG363" s="26" t="s">
        <v>70</v>
      </c>
      <c r="AH363" s="26">
        <v>3730</v>
      </c>
      <c r="AI363" s="26" t="s">
        <v>70</v>
      </c>
      <c r="AJ363" s="26" t="s">
        <v>264</v>
      </c>
      <c r="AK363" s="26">
        <v>8.6999999999999993</v>
      </c>
      <c r="AL363" s="26" t="s">
        <v>70</v>
      </c>
      <c r="AM363" s="35" t="s">
        <v>175</v>
      </c>
      <c r="AN363" s="32" t="s">
        <v>9</v>
      </c>
      <c r="AO363" s="35" t="s">
        <v>548</v>
      </c>
      <c r="AP363" s="35" t="s">
        <v>548</v>
      </c>
      <c r="AQ363" s="35" t="s">
        <v>548</v>
      </c>
      <c r="AR363" s="35" t="s">
        <v>548</v>
      </c>
      <c r="AS363" s="26" t="s">
        <v>175</v>
      </c>
      <c r="AT363" s="26" t="s">
        <v>70</v>
      </c>
      <c r="AU363" s="26" t="s">
        <v>70</v>
      </c>
      <c r="AV363" s="26">
        <v>10</v>
      </c>
    </row>
    <row r="364" spans="1:48" ht="14" customHeight="1">
      <c r="A364" s="27">
        <v>363</v>
      </c>
      <c r="B364" s="27" t="s">
        <v>446</v>
      </c>
      <c r="C364" s="27">
        <v>2007</v>
      </c>
      <c r="D364" s="26" t="s">
        <v>13</v>
      </c>
      <c r="E364" s="26" t="s">
        <v>566</v>
      </c>
      <c r="F364" s="77" t="s">
        <v>175</v>
      </c>
      <c r="G364" s="2" t="s">
        <v>105</v>
      </c>
      <c r="H364" s="2" t="s">
        <v>30</v>
      </c>
      <c r="I364" s="2" t="s">
        <v>175</v>
      </c>
      <c r="J364" s="2" t="s">
        <v>604</v>
      </c>
      <c r="K364" s="2" t="s">
        <v>175</v>
      </c>
      <c r="L364" s="2" t="s">
        <v>175</v>
      </c>
      <c r="M364" s="2" t="s">
        <v>175</v>
      </c>
      <c r="N364" s="2" t="s">
        <v>62</v>
      </c>
      <c r="O364" s="2" t="s">
        <v>43</v>
      </c>
      <c r="P364" s="2" t="s">
        <v>621</v>
      </c>
      <c r="Q364" s="2" t="s">
        <v>42</v>
      </c>
      <c r="R364" s="102" t="s">
        <v>614</v>
      </c>
      <c r="S364" s="88">
        <v>1</v>
      </c>
      <c r="T364" s="26">
        <v>20</v>
      </c>
      <c r="U364" s="77">
        <v>1</v>
      </c>
      <c r="V364" s="26">
        <v>0</v>
      </c>
      <c r="W364" s="26">
        <v>1</v>
      </c>
      <c r="X364" s="26">
        <v>1</v>
      </c>
      <c r="Y364" s="26">
        <v>1</v>
      </c>
      <c r="Z364" s="26">
        <v>0</v>
      </c>
      <c r="AA364" s="26">
        <v>0</v>
      </c>
      <c r="AB364" s="26">
        <v>0</v>
      </c>
      <c r="AC364" s="26" t="s">
        <v>70</v>
      </c>
      <c r="AD364" s="26" t="s">
        <v>70</v>
      </c>
      <c r="AE364" s="26" t="s">
        <v>70</v>
      </c>
      <c r="AF364" s="26" t="s">
        <v>70</v>
      </c>
      <c r="AG364" s="26" t="s">
        <v>70</v>
      </c>
      <c r="AH364" s="26">
        <v>360</v>
      </c>
      <c r="AI364" s="26" t="s">
        <v>70</v>
      </c>
      <c r="AJ364" s="26" t="s">
        <v>266</v>
      </c>
      <c r="AK364" s="26">
        <v>6.6</v>
      </c>
      <c r="AL364" s="26" t="s">
        <v>70</v>
      </c>
      <c r="AM364" s="35" t="s">
        <v>175</v>
      </c>
      <c r="AN364" s="32" t="s">
        <v>9</v>
      </c>
      <c r="AO364" s="35" t="s">
        <v>548</v>
      </c>
      <c r="AP364" s="35" t="s">
        <v>548</v>
      </c>
      <c r="AQ364" s="35" t="s">
        <v>548</v>
      </c>
      <c r="AR364" s="35" t="s">
        <v>548</v>
      </c>
      <c r="AS364" s="26" t="s">
        <v>175</v>
      </c>
      <c r="AT364" s="26" t="s">
        <v>70</v>
      </c>
      <c r="AU364" s="26" t="s">
        <v>70</v>
      </c>
      <c r="AV364" s="26">
        <v>10</v>
      </c>
    </row>
    <row r="365" spans="1:48" ht="14" customHeight="1">
      <c r="A365" s="27">
        <v>364</v>
      </c>
      <c r="B365" s="27" t="s">
        <v>447</v>
      </c>
      <c r="C365" s="37">
        <v>2010</v>
      </c>
      <c r="D365" s="26" t="s">
        <v>25</v>
      </c>
      <c r="E365" s="26" t="s">
        <v>565</v>
      </c>
      <c r="F365" s="77" t="s">
        <v>548</v>
      </c>
      <c r="G365" s="2" t="s">
        <v>105</v>
      </c>
      <c r="H365" s="2" t="s">
        <v>275</v>
      </c>
      <c r="I365" s="2" t="s">
        <v>548</v>
      </c>
      <c r="J365" s="2" t="s">
        <v>183</v>
      </c>
      <c r="K365" s="2" t="s">
        <v>548</v>
      </c>
      <c r="L365" s="2" t="s">
        <v>548</v>
      </c>
      <c r="M365" s="2" t="s">
        <v>548</v>
      </c>
      <c r="N365" s="2" t="s">
        <v>210</v>
      </c>
      <c r="O365" s="2" t="s">
        <v>43</v>
      </c>
      <c r="P365" s="2" t="s">
        <v>210</v>
      </c>
      <c r="Q365" s="2" t="s">
        <v>42</v>
      </c>
      <c r="R365" s="102" t="s">
        <v>614</v>
      </c>
      <c r="S365" s="2">
        <f>17/T365</f>
        <v>0.70833333333333337</v>
      </c>
      <c r="T365" s="26">
        <v>24</v>
      </c>
      <c r="U365" s="77">
        <v>0</v>
      </c>
      <c r="V365" s="26">
        <v>0</v>
      </c>
      <c r="W365" s="26">
        <v>1</v>
      </c>
      <c r="X365" s="26">
        <v>1</v>
      </c>
      <c r="Y365" s="26">
        <v>1</v>
      </c>
      <c r="Z365" s="26">
        <v>0</v>
      </c>
      <c r="AA365" s="26">
        <v>0</v>
      </c>
      <c r="AB365" s="26">
        <v>0</v>
      </c>
      <c r="AC365" s="26" t="s">
        <v>70</v>
      </c>
      <c r="AD365" s="26" t="s">
        <v>70</v>
      </c>
      <c r="AE365" s="26" t="s">
        <v>70</v>
      </c>
      <c r="AF365" s="26" t="s">
        <v>70</v>
      </c>
      <c r="AG365" s="26" t="s">
        <v>70</v>
      </c>
      <c r="AH365" s="26" t="s">
        <v>70</v>
      </c>
      <c r="AI365" s="26" t="s">
        <v>70</v>
      </c>
      <c r="AJ365" s="26" t="s">
        <v>70</v>
      </c>
      <c r="AK365" s="26" t="s">
        <v>70</v>
      </c>
      <c r="AL365" s="26" t="s">
        <v>70</v>
      </c>
      <c r="AM365" s="35" t="s">
        <v>548</v>
      </c>
      <c r="AN365" s="26" t="s">
        <v>274</v>
      </c>
      <c r="AO365" s="35" t="s">
        <v>548</v>
      </c>
      <c r="AP365" s="35" t="s">
        <v>548</v>
      </c>
      <c r="AQ365" s="35" t="s">
        <v>548</v>
      </c>
      <c r="AR365" s="35" t="s">
        <v>548</v>
      </c>
      <c r="AS365" s="26" t="s">
        <v>175</v>
      </c>
      <c r="AT365" s="26" t="s">
        <v>70</v>
      </c>
      <c r="AU365" s="26" t="s">
        <v>70</v>
      </c>
      <c r="AV365" s="26">
        <v>4</v>
      </c>
    </row>
    <row r="366" spans="1:48" ht="14" customHeight="1">
      <c r="A366" s="27">
        <v>365</v>
      </c>
      <c r="B366" s="27" t="s">
        <v>447</v>
      </c>
      <c r="C366" s="37">
        <v>2010</v>
      </c>
      <c r="D366" s="26" t="s">
        <v>25</v>
      </c>
      <c r="E366" s="26" t="s">
        <v>565</v>
      </c>
      <c r="F366" s="77" t="s">
        <v>548</v>
      </c>
      <c r="G366" s="2" t="s">
        <v>105</v>
      </c>
      <c r="H366" s="2" t="s">
        <v>275</v>
      </c>
      <c r="I366" s="2" t="s">
        <v>548</v>
      </c>
      <c r="J366" s="2" t="s">
        <v>183</v>
      </c>
      <c r="K366" s="2" t="s">
        <v>548</v>
      </c>
      <c r="L366" s="2" t="s">
        <v>548</v>
      </c>
      <c r="M366" s="2" t="s">
        <v>548</v>
      </c>
      <c r="N366" s="2" t="s">
        <v>70</v>
      </c>
      <c r="O366" s="2" t="s">
        <v>209</v>
      </c>
      <c r="P366" s="2" t="s">
        <v>611</v>
      </c>
      <c r="Q366" s="2" t="s">
        <v>42</v>
      </c>
      <c r="R366" s="102" t="s">
        <v>614</v>
      </c>
      <c r="S366" s="2">
        <f>30/T366</f>
        <v>0.90909090909090906</v>
      </c>
      <c r="T366" s="26">
        <v>33</v>
      </c>
      <c r="U366" s="77">
        <v>0</v>
      </c>
      <c r="V366" s="26">
        <v>0</v>
      </c>
      <c r="W366" s="26">
        <v>1</v>
      </c>
      <c r="X366" s="26">
        <v>1</v>
      </c>
      <c r="Y366" s="26">
        <v>1</v>
      </c>
      <c r="Z366" s="26">
        <v>0</v>
      </c>
      <c r="AA366" s="26">
        <v>0</v>
      </c>
      <c r="AB366" s="26">
        <v>0</v>
      </c>
      <c r="AC366" s="26" t="s">
        <v>70</v>
      </c>
      <c r="AD366" s="26" t="s">
        <v>70</v>
      </c>
      <c r="AE366" s="26" t="s">
        <v>70</v>
      </c>
      <c r="AF366" s="26" t="s">
        <v>70</v>
      </c>
      <c r="AG366" s="26" t="s">
        <v>70</v>
      </c>
      <c r="AH366" s="26" t="s">
        <v>70</v>
      </c>
      <c r="AI366" s="26" t="s">
        <v>70</v>
      </c>
      <c r="AJ366" s="26" t="s">
        <v>70</v>
      </c>
      <c r="AK366" s="26" t="s">
        <v>70</v>
      </c>
      <c r="AL366" s="26" t="s">
        <v>70</v>
      </c>
      <c r="AM366" s="35" t="s">
        <v>548</v>
      </c>
      <c r="AN366" s="26" t="s">
        <v>274</v>
      </c>
      <c r="AO366" s="35" t="s">
        <v>548</v>
      </c>
      <c r="AP366" s="35" t="s">
        <v>548</v>
      </c>
      <c r="AQ366" s="35" t="s">
        <v>548</v>
      </c>
      <c r="AR366" s="35" t="s">
        <v>548</v>
      </c>
      <c r="AS366" s="26" t="s">
        <v>175</v>
      </c>
      <c r="AT366" s="26" t="s">
        <v>70</v>
      </c>
      <c r="AU366" s="26" t="s">
        <v>70</v>
      </c>
      <c r="AV366" s="26">
        <v>4</v>
      </c>
    </row>
    <row r="367" spans="1:48" ht="14" customHeight="1">
      <c r="A367" s="27">
        <v>366</v>
      </c>
      <c r="B367" s="27" t="s">
        <v>448</v>
      </c>
      <c r="C367" s="37">
        <v>2012</v>
      </c>
      <c r="D367" s="26" t="s">
        <v>46</v>
      </c>
      <c r="E367" s="26" t="s">
        <v>563</v>
      </c>
      <c r="F367" s="77" t="s">
        <v>175</v>
      </c>
      <c r="G367" s="2" t="s">
        <v>105</v>
      </c>
      <c r="H367" s="2" t="s">
        <v>275</v>
      </c>
      <c r="I367" s="2" t="s">
        <v>548</v>
      </c>
      <c r="J367" s="2" t="s">
        <v>604</v>
      </c>
      <c r="K367" s="2" t="s">
        <v>175</v>
      </c>
      <c r="L367" s="2" t="s">
        <v>175</v>
      </c>
      <c r="M367" s="2" t="s">
        <v>175</v>
      </c>
      <c r="N367" s="2" t="s">
        <v>210</v>
      </c>
      <c r="O367" s="2" t="s">
        <v>43</v>
      </c>
      <c r="P367" s="2" t="s">
        <v>210</v>
      </c>
      <c r="Q367" s="2" t="s">
        <v>42</v>
      </c>
      <c r="R367" s="102" t="s">
        <v>614</v>
      </c>
      <c r="S367" s="2">
        <f>5/T367</f>
        <v>0.18518518518518517</v>
      </c>
      <c r="T367" s="26">
        <v>27</v>
      </c>
      <c r="U367" s="77">
        <v>1</v>
      </c>
      <c r="V367" s="26">
        <v>0</v>
      </c>
      <c r="W367" s="26">
        <v>1</v>
      </c>
      <c r="X367" s="26">
        <v>0</v>
      </c>
      <c r="Y367" s="26">
        <v>0</v>
      </c>
      <c r="Z367" s="26">
        <v>0</v>
      </c>
      <c r="AA367" s="26">
        <v>0</v>
      </c>
      <c r="AB367" s="26">
        <v>0</v>
      </c>
      <c r="AC367" s="33" t="s">
        <v>70</v>
      </c>
      <c r="AD367" s="33" t="s">
        <v>70</v>
      </c>
      <c r="AE367" s="33" t="s">
        <v>70</v>
      </c>
      <c r="AF367" s="33" t="s">
        <v>70</v>
      </c>
      <c r="AG367" s="33" t="s">
        <v>70</v>
      </c>
      <c r="AH367" s="33" t="s">
        <v>70</v>
      </c>
      <c r="AI367" s="33" t="s">
        <v>70</v>
      </c>
      <c r="AJ367" s="33" t="s">
        <v>70</v>
      </c>
      <c r="AK367" s="33" t="s">
        <v>70</v>
      </c>
      <c r="AL367" s="33" t="s">
        <v>70</v>
      </c>
      <c r="AM367" s="35" t="s">
        <v>548</v>
      </c>
      <c r="AN367" s="26" t="s">
        <v>274</v>
      </c>
      <c r="AO367" s="35" t="s">
        <v>548</v>
      </c>
      <c r="AP367" s="35" t="s">
        <v>548</v>
      </c>
      <c r="AQ367" s="35" t="s">
        <v>548</v>
      </c>
      <c r="AR367" s="35" t="s">
        <v>548</v>
      </c>
      <c r="AS367" s="26" t="s">
        <v>175</v>
      </c>
      <c r="AT367" s="26" t="s">
        <v>70</v>
      </c>
      <c r="AU367" s="26" t="s">
        <v>70</v>
      </c>
      <c r="AV367" s="26">
        <v>6</v>
      </c>
    </row>
    <row r="368" spans="1:48" ht="14" customHeight="1">
      <c r="A368" s="27">
        <v>367</v>
      </c>
      <c r="B368" s="27" t="s">
        <v>449</v>
      </c>
      <c r="C368" s="27">
        <v>2008</v>
      </c>
      <c r="D368" s="26" t="s">
        <v>13</v>
      </c>
      <c r="E368" s="26" t="s">
        <v>566</v>
      </c>
      <c r="F368" s="77" t="s">
        <v>175</v>
      </c>
      <c r="G368" s="2" t="s">
        <v>105</v>
      </c>
      <c r="H368" s="2" t="s">
        <v>30</v>
      </c>
      <c r="I368" s="2" t="s">
        <v>548</v>
      </c>
      <c r="J368" s="2" t="s">
        <v>604</v>
      </c>
      <c r="K368" s="2" t="s">
        <v>548</v>
      </c>
      <c r="L368" s="2" t="s">
        <v>548</v>
      </c>
      <c r="M368" s="2" t="s">
        <v>548</v>
      </c>
      <c r="N368" s="2" t="s">
        <v>70</v>
      </c>
      <c r="O368" s="2" t="s">
        <v>209</v>
      </c>
      <c r="P368" s="2" t="s">
        <v>61</v>
      </c>
      <c r="Q368" s="2" t="s">
        <v>42</v>
      </c>
      <c r="R368" s="102" t="s">
        <v>614</v>
      </c>
      <c r="S368" s="2">
        <f>2/T368</f>
        <v>6.6666666666666666E-2</v>
      </c>
      <c r="T368" s="26">
        <v>30</v>
      </c>
      <c r="U368" s="77">
        <v>1</v>
      </c>
      <c r="V368" s="26">
        <v>0</v>
      </c>
      <c r="W368" s="26">
        <v>1</v>
      </c>
      <c r="X368" s="26">
        <v>0</v>
      </c>
      <c r="Y368" s="26">
        <v>0</v>
      </c>
      <c r="Z368" s="26">
        <v>0</v>
      </c>
      <c r="AA368" s="26">
        <v>0</v>
      </c>
      <c r="AB368" s="26">
        <v>0</v>
      </c>
      <c r="AC368" s="26" t="s">
        <v>70</v>
      </c>
      <c r="AD368" s="26" t="s">
        <v>70</v>
      </c>
      <c r="AE368" s="26" t="s">
        <v>70</v>
      </c>
      <c r="AF368" s="26" t="s">
        <v>70</v>
      </c>
      <c r="AG368" s="26" t="s">
        <v>70</v>
      </c>
      <c r="AH368" s="26" t="s">
        <v>70</v>
      </c>
      <c r="AI368" s="26" t="s">
        <v>70</v>
      </c>
      <c r="AJ368" s="26" t="s">
        <v>70</v>
      </c>
      <c r="AK368" s="26" t="s">
        <v>70</v>
      </c>
      <c r="AL368" s="26" t="s">
        <v>70</v>
      </c>
      <c r="AM368" s="35" t="s">
        <v>548</v>
      </c>
      <c r="AN368" s="26" t="s">
        <v>274</v>
      </c>
      <c r="AO368" s="26" t="s">
        <v>548</v>
      </c>
      <c r="AP368" s="38" t="s">
        <v>548</v>
      </c>
      <c r="AQ368" s="38" t="s">
        <v>548</v>
      </c>
      <c r="AR368" s="38" t="s">
        <v>548</v>
      </c>
      <c r="AS368" s="26" t="s">
        <v>175</v>
      </c>
      <c r="AT368" s="26" t="s">
        <v>70</v>
      </c>
      <c r="AU368" s="26" t="s">
        <v>70</v>
      </c>
      <c r="AV368" s="26">
        <v>3</v>
      </c>
    </row>
    <row r="369" spans="1:48" ht="14" customHeight="1">
      <c r="A369" s="27">
        <v>368</v>
      </c>
      <c r="B369" s="27" t="s">
        <v>557</v>
      </c>
      <c r="C369" s="27">
        <v>1991</v>
      </c>
      <c r="D369" s="26" t="s">
        <v>556</v>
      </c>
      <c r="E369" s="26" t="s">
        <v>563</v>
      </c>
      <c r="F369" s="77" t="s">
        <v>175</v>
      </c>
      <c r="H369" s="2" t="s">
        <v>30</v>
      </c>
      <c r="I369" s="2" t="s">
        <v>175</v>
      </c>
      <c r="J369" s="2" t="s">
        <v>604</v>
      </c>
      <c r="K369" s="2" t="s">
        <v>175</v>
      </c>
      <c r="L369" s="2" t="s">
        <v>175</v>
      </c>
      <c r="M369" s="2" t="s">
        <v>175</v>
      </c>
      <c r="N369" s="2" t="s">
        <v>210</v>
      </c>
      <c r="O369" s="2" t="s">
        <v>43</v>
      </c>
      <c r="P369" s="2" t="s">
        <v>618</v>
      </c>
      <c r="Q369" s="2" t="s">
        <v>42</v>
      </c>
      <c r="R369" s="79" t="s">
        <v>613</v>
      </c>
      <c r="S369" s="88">
        <f>3/T369</f>
        <v>0.23076923076923078</v>
      </c>
      <c r="T369" s="61">
        <v>13</v>
      </c>
      <c r="U369" s="77">
        <v>1</v>
      </c>
      <c r="V369" s="26">
        <v>0</v>
      </c>
      <c r="W369" s="26">
        <v>1</v>
      </c>
      <c r="X369" s="26">
        <v>1</v>
      </c>
      <c r="Y369" s="26">
        <v>0</v>
      </c>
      <c r="Z369" s="26">
        <v>0</v>
      </c>
      <c r="AA369" s="26">
        <v>0</v>
      </c>
      <c r="AB369" s="26">
        <v>0</v>
      </c>
      <c r="AC369" s="33" t="s">
        <v>70</v>
      </c>
      <c r="AD369" s="33" t="s">
        <v>70</v>
      </c>
      <c r="AE369" s="33" t="s">
        <v>70</v>
      </c>
      <c r="AF369" s="33" t="s">
        <v>70</v>
      </c>
      <c r="AG369" s="33" t="s">
        <v>70</v>
      </c>
      <c r="AH369" s="33" t="s">
        <v>70</v>
      </c>
      <c r="AI369" s="33" t="s">
        <v>70</v>
      </c>
      <c r="AJ369" s="33" t="s">
        <v>70</v>
      </c>
      <c r="AK369" s="33" t="s">
        <v>70</v>
      </c>
      <c r="AL369" s="33" t="s">
        <v>70</v>
      </c>
      <c r="AM369" s="61" t="s">
        <v>175</v>
      </c>
      <c r="AN369" s="26" t="s">
        <v>274</v>
      </c>
      <c r="AO369" s="35" t="s">
        <v>548</v>
      </c>
      <c r="AP369" s="35" t="s">
        <v>548</v>
      </c>
      <c r="AQ369" s="35" t="s">
        <v>548</v>
      </c>
      <c r="AR369" s="35" t="s">
        <v>548</v>
      </c>
      <c r="AS369" s="26" t="s">
        <v>175</v>
      </c>
      <c r="AT369" s="26" t="s">
        <v>70</v>
      </c>
      <c r="AU369" s="26" t="s">
        <v>70</v>
      </c>
      <c r="AV369" s="26">
        <v>9</v>
      </c>
    </row>
    <row r="370" spans="1:48" ht="14" customHeight="1">
      <c r="A370" s="27">
        <v>369</v>
      </c>
      <c r="B370" s="27" t="s">
        <v>557</v>
      </c>
      <c r="C370" s="27">
        <v>1991</v>
      </c>
      <c r="D370" s="26" t="s">
        <v>556</v>
      </c>
      <c r="E370" s="26" t="s">
        <v>563</v>
      </c>
      <c r="F370" s="77" t="s">
        <v>175</v>
      </c>
      <c r="H370" s="2" t="s">
        <v>30</v>
      </c>
      <c r="I370" s="2" t="s">
        <v>175</v>
      </c>
      <c r="J370" s="2" t="s">
        <v>604</v>
      </c>
      <c r="K370" s="2" t="s">
        <v>175</v>
      </c>
      <c r="L370" s="2" t="s">
        <v>175</v>
      </c>
      <c r="M370" s="2" t="s">
        <v>175</v>
      </c>
      <c r="N370" s="2" t="s">
        <v>209</v>
      </c>
      <c r="O370" s="2" t="s">
        <v>209</v>
      </c>
      <c r="P370" s="2" t="s">
        <v>620</v>
      </c>
      <c r="Q370" s="2" t="s">
        <v>42</v>
      </c>
      <c r="R370" s="79" t="s">
        <v>613</v>
      </c>
      <c r="S370" s="88">
        <f>8/T370</f>
        <v>0.36363636363636365</v>
      </c>
      <c r="T370" s="61">
        <v>22</v>
      </c>
      <c r="U370" s="77">
        <v>1</v>
      </c>
      <c r="V370" s="26">
        <v>0</v>
      </c>
      <c r="W370" s="26">
        <v>1</v>
      </c>
      <c r="X370" s="26">
        <v>1</v>
      </c>
      <c r="Y370" s="26">
        <v>0</v>
      </c>
      <c r="Z370" s="26">
        <v>0</v>
      </c>
      <c r="AA370" s="26">
        <v>0</v>
      </c>
      <c r="AB370" s="26">
        <v>0</v>
      </c>
      <c r="AC370" s="33" t="s">
        <v>70</v>
      </c>
      <c r="AD370" s="33" t="s">
        <v>70</v>
      </c>
      <c r="AE370" s="33" t="s">
        <v>70</v>
      </c>
      <c r="AF370" s="33" t="s">
        <v>70</v>
      </c>
      <c r="AG370" s="33" t="s">
        <v>70</v>
      </c>
      <c r="AH370" s="33" t="s">
        <v>70</v>
      </c>
      <c r="AI370" s="33" t="s">
        <v>70</v>
      </c>
      <c r="AJ370" s="33" t="s">
        <v>70</v>
      </c>
      <c r="AK370" s="33" t="s">
        <v>70</v>
      </c>
      <c r="AL370" s="33" t="s">
        <v>70</v>
      </c>
      <c r="AM370" s="61" t="s">
        <v>175</v>
      </c>
      <c r="AN370" s="26" t="s">
        <v>274</v>
      </c>
      <c r="AO370" s="35" t="s">
        <v>548</v>
      </c>
      <c r="AP370" s="35" t="s">
        <v>548</v>
      </c>
      <c r="AQ370" s="35" t="s">
        <v>548</v>
      </c>
      <c r="AR370" s="35" t="s">
        <v>548</v>
      </c>
      <c r="AS370" s="26" t="s">
        <v>175</v>
      </c>
      <c r="AT370" s="26" t="s">
        <v>70</v>
      </c>
      <c r="AU370" s="26" t="s">
        <v>70</v>
      </c>
      <c r="AV370" s="26">
        <v>9</v>
      </c>
    </row>
    <row r="371" spans="1:48" ht="14" customHeight="1">
      <c r="A371" s="27">
        <v>370</v>
      </c>
      <c r="B371" s="27" t="s">
        <v>557</v>
      </c>
      <c r="C371" s="27">
        <v>1991</v>
      </c>
      <c r="D371" s="26" t="s">
        <v>556</v>
      </c>
      <c r="E371" s="26" t="s">
        <v>563</v>
      </c>
      <c r="F371" s="77" t="s">
        <v>175</v>
      </c>
      <c r="H371" s="2" t="s">
        <v>30</v>
      </c>
      <c r="I371" s="2" t="s">
        <v>175</v>
      </c>
      <c r="J371" s="2" t="s">
        <v>604</v>
      </c>
      <c r="K371" s="2" t="s">
        <v>175</v>
      </c>
      <c r="L371" s="2" t="s">
        <v>175</v>
      </c>
      <c r="M371" s="2" t="s">
        <v>175</v>
      </c>
      <c r="N371" s="2" t="s">
        <v>62</v>
      </c>
      <c r="O371" s="2" t="s">
        <v>43</v>
      </c>
      <c r="P371" s="2" t="s">
        <v>621</v>
      </c>
      <c r="Q371" s="2" t="s">
        <v>42</v>
      </c>
      <c r="R371" s="79" t="s">
        <v>613</v>
      </c>
      <c r="S371" s="88">
        <f>6/T371</f>
        <v>0.17142857142857143</v>
      </c>
      <c r="T371" s="61">
        <v>35</v>
      </c>
      <c r="U371" s="77">
        <v>1</v>
      </c>
      <c r="V371" s="26">
        <v>0</v>
      </c>
      <c r="W371" s="26">
        <v>1</v>
      </c>
      <c r="X371" s="26">
        <v>1</v>
      </c>
      <c r="Y371" s="26">
        <v>0</v>
      </c>
      <c r="Z371" s="26">
        <v>0</v>
      </c>
      <c r="AA371" s="26">
        <v>0</v>
      </c>
      <c r="AB371" s="26">
        <v>0</v>
      </c>
      <c r="AC371" s="33" t="s">
        <v>70</v>
      </c>
      <c r="AD371" s="33" t="s">
        <v>70</v>
      </c>
      <c r="AE371" s="33" t="s">
        <v>70</v>
      </c>
      <c r="AF371" s="33" t="s">
        <v>70</v>
      </c>
      <c r="AG371" s="33" t="s">
        <v>70</v>
      </c>
      <c r="AH371" s="33" t="s">
        <v>70</v>
      </c>
      <c r="AI371" s="33" t="s">
        <v>70</v>
      </c>
      <c r="AJ371" s="33" t="s">
        <v>70</v>
      </c>
      <c r="AK371" s="33" t="s">
        <v>70</v>
      </c>
      <c r="AL371" s="33" t="s">
        <v>70</v>
      </c>
      <c r="AM371" s="61" t="s">
        <v>175</v>
      </c>
      <c r="AN371" s="26" t="s">
        <v>274</v>
      </c>
      <c r="AO371" s="35" t="s">
        <v>548</v>
      </c>
      <c r="AP371" s="35" t="s">
        <v>548</v>
      </c>
      <c r="AQ371" s="35" t="s">
        <v>548</v>
      </c>
      <c r="AR371" s="35" t="s">
        <v>548</v>
      </c>
      <c r="AS371" s="26" t="s">
        <v>175</v>
      </c>
      <c r="AT371" s="26" t="s">
        <v>70</v>
      </c>
      <c r="AU371" s="26" t="s">
        <v>70</v>
      </c>
      <c r="AV371" s="26">
        <v>9</v>
      </c>
    </row>
    <row r="372" spans="1:48" ht="14" customHeight="1">
      <c r="A372" s="27">
        <v>371</v>
      </c>
      <c r="B372" s="27" t="s">
        <v>557</v>
      </c>
      <c r="C372" s="27">
        <v>1991</v>
      </c>
      <c r="D372" s="26" t="s">
        <v>556</v>
      </c>
      <c r="E372" s="26" t="s">
        <v>563</v>
      </c>
      <c r="F372" s="77" t="s">
        <v>175</v>
      </c>
      <c r="H372" s="2" t="s">
        <v>30</v>
      </c>
      <c r="I372" s="2" t="s">
        <v>175</v>
      </c>
      <c r="J372" s="2" t="s">
        <v>604</v>
      </c>
      <c r="K372" s="2" t="s">
        <v>175</v>
      </c>
      <c r="L372" s="2" t="s">
        <v>175</v>
      </c>
      <c r="M372" s="2" t="s">
        <v>175</v>
      </c>
      <c r="N372" s="2" t="s">
        <v>608</v>
      </c>
      <c r="O372" s="2" t="s">
        <v>43</v>
      </c>
      <c r="P372" s="2" t="s">
        <v>623</v>
      </c>
      <c r="Q372" s="2" t="s">
        <v>42</v>
      </c>
      <c r="R372" s="79" t="s">
        <v>613</v>
      </c>
      <c r="S372" s="88">
        <f>6/T372</f>
        <v>0.2857142857142857</v>
      </c>
      <c r="T372" s="61">
        <v>21</v>
      </c>
      <c r="U372" s="77">
        <v>1</v>
      </c>
      <c r="V372" s="26">
        <v>0</v>
      </c>
      <c r="W372" s="26">
        <v>1</v>
      </c>
      <c r="X372" s="26">
        <v>1</v>
      </c>
      <c r="Y372" s="26">
        <v>0</v>
      </c>
      <c r="Z372" s="26">
        <v>0</v>
      </c>
      <c r="AA372" s="26">
        <v>0</v>
      </c>
      <c r="AB372" s="26">
        <v>0</v>
      </c>
      <c r="AC372" s="33" t="s">
        <v>70</v>
      </c>
      <c r="AD372" s="33" t="s">
        <v>70</v>
      </c>
      <c r="AE372" s="33" t="s">
        <v>70</v>
      </c>
      <c r="AF372" s="33" t="s">
        <v>70</v>
      </c>
      <c r="AG372" s="33" t="s">
        <v>70</v>
      </c>
      <c r="AH372" s="33" t="s">
        <v>70</v>
      </c>
      <c r="AI372" s="33" t="s">
        <v>70</v>
      </c>
      <c r="AJ372" s="33" t="s">
        <v>70</v>
      </c>
      <c r="AK372" s="33" t="s">
        <v>70</v>
      </c>
      <c r="AL372" s="33" t="s">
        <v>70</v>
      </c>
      <c r="AM372" s="61" t="s">
        <v>175</v>
      </c>
      <c r="AN372" s="26" t="s">
        <v>274</v>
      </c>
      <c r="AO372" s="35" t="s">
        <v>548</v>
      </c>
      <c r="AP372" s="35" t="s">
        <v>548</v>
      </c>
      <c r="AQ372" s="35" t="s">
        <v>548</v>
      </c>
      <c r="AR372" s="35" t="s">
        <v>548</v>
      </c>
      <c r="AS372" s="26" t="s">
        <v>175</v>
      </c>
      <c r="AT372" s="26" t="s">
        <v>70</v>
      </c>
      <c r="AU372" s="26" t="s">
        <v>70</v>
      </c>
      <c r="AV372" s="26">
        <v>9</v>
      </c>
    </row>
    <row r="373" spans="1:48" ht="14" customHeight="1">
      <c r="A373" s="27">
        <v>372</v>
      </c>
      <c r="B373" s="27" t="s">
        <v>450</v>
      </c>
      <c r="C373" s="27">
        <v>2012</v>
      </c>
      <c r="D373" s="26" t="s">
        <v>134</v>
      </c>
      <c r="E373" s="26" t="s">
        <v>563</v>
      </c>
      <c r="F373" s="77" t="s">
        <v>175</v>
      </c>
      <c r="G373" s="2" t="s">
        <v>105</v>
      </c>
      <c r="H373" s="2" t="s">
        <v>30</v>
      </c>
      <c r="I373" s="2" t="s">
        <v>548</v>
      </c>
      <c r="J373" s="2" t="s">
        <v>604</v>
      </c>
      <c r="K373" s="2" t="s">
        <v>548</v>
      </c>
      <c r="L373" s="2" t="s">
        <v>548</v>
      </c>
      <c r="M373" s="2" t="s">
        <v>175</v>
      </c>
      <c r="N373" s="2" t="s">
        <v>51</v>
      </c>
      <c r="O373" s="2" t="s">
        <v>43</v>
      </c>
      <c r="P373" s="2" t="s">
        <v>51</v>
      </c>
      <c r="Q373" s="2" t="s">
        <v>42</v>
      </c>
      <c r="R373" s="102" t="s">
        <v>614</v>
      </c>
      <c r="S373" s="2">
        <f>25/T373</f>
        <v>0.92592592592592593</v>
      </c>
      <c r="T373" s="26">
        <v>27</v>
      </c>
      <c r="U373" s="77">
        <v>1</v>
      </c>
      <c r="V373" s="26">
        <v>0</v>
      </c>
      <c r="W373" s="26">
        <v>1</v>
      </c>
      <c r="X373" s="26">
        <v>1</v>
      </c>
      <c r="Y373" s="26">
        <v>1</v>
      </c>
      <c r="Z373" s="26">
        <v>1</v>
      </c>
      <c r="AA373" s="26">
        <v>1</v>
      </c>
      <c r="AB373" s="26">
        <v>1</v>
      </c>
      <c r="AC373" s="33" t="s">
        <v>70</v>
      </c>
      <c r="AD373" s="33" t="s">
        <v>70</v>
      </c>
      <c r="AE373" s="33" t="s">
        <v>70</v>
      </c>
      <c r="AF373" s="33" t="s">
        <v>70</v>
      </c>
      <c r="AG373" s="33">
        <v>1500</v>
      </c>
      <c r="AH373" s="33" t="s">
        <v>70</v>
      </c>
      <c r="AI373" s="33" t="s">
        <v>70</v>
      </c>
      <c r="AJ373" s="33" t="s">
        <v>70</v>
      </c>
      <c r="AK373" s="33" t="s">
        <v>70</v>
      </c>
      <c r="AL373" s="33" t="s">
        <v>70</v>
      </c>
      <c r="AM373" s="35" t="s">
        <v>175</v>
      </c>
      <c r="AN373" s="26" t="s">
        <v>617</v>
      </c>
      <c r="AO373" s="35" t="s">
        <v>548</v>
      </c>
      <c r="AP373" s="35" t="s">
        <v>548</v>
      </c>
      <c r="AQ373" s="35" t="s">
        <v>548</v>
      </c>
      <c r="AR373" s="35" t="s">
        <v>548</v>
      </c>
      <c r="AS373" s="26" t="s">
        <v>175</v>
      </c>
      <c r="AT373" s="26" t="s">
        <v>70</v>
      </c>
      <c r="AU373" s="26" t="s">
        <v>70</v>
      </c>
      <c r="AV373" s="26">
        <v>10</v>
      </c>
    </row>
    <row r="374" spans="1:48" ht="14" customHeight="1">
      <c r="A374" s="27">
        <v>373</v>
      </c>
      <c r="B374" s="27" t="s">
        <v>450</v>
      </c>
      <c r="C374" s="27">
        <v>2012</v>
      </c>
      <c r="D374" s="26" t="s">
        <v>134</v>
      </c>
      <c r="E374" s="26" t="s">
        <v>563</v>
      </c>
      <c r="F374" s="77" t="s">
        <v>175</v>
      </c>
      <c r="G374" s="2" t="s">
        <v>105</v>
      </c>
      <c r="H374" s="2" t="s">
        <v>30</v>
      </c>
      <c r="I374" s="2" t="s">
        <v>548</v>
      </c>
      <c r="J374" s="2" t="s">
        <v>604</v>
      </c>
      <c r="K374" s="2" t="s">
        <v>548</v>
      </c>
      <c r="L374" s="2" t="s">
        <v>548</v>
      </c>
      <c r="M374" s="2" t="s">
        <v>175</v>
      </c>
      <c r="N374" s="2" t="s">
        <v>609</v>
      </c>
      <c r="O374" s="2" t="s">
        <v>60</v>
      </c>
      <c r="P374" s="2" t="s">
        <v>609</v>
      </c>
      <c r="Q374" s="2" t="s">
        <v>42</v>
      </c>
      <c r="R374" s="102" t="s">
        <v>614</v>
      </c>
      <c r="S374" s="2">
        <v>1</v>
      </c>
      <c r="T374" s="26">
        <v>26</v>
      </c>
      <c r="U374" s="77">
        <v>1</v>
      </c>
      <c r="V374" s="26">
        <v>0</v>
      </c>
      <c r="W374" s="26">
        <v>1</v>
      </c>
      <c r="X374" s="26">
        <v>1</v>
      </c>
      <c r="Y374" s="26">
        <v>1</v>
      </c>
      <c r="Z374" s="26">
        <v>1</v>
      </c>
      <c r="AA374" s="26">
        <v>1</v>
      </c>
      <c r="AB374" s="26">
        <v>1</v>
      </c>
      <c r="AC374" s="33" t="s">
        <v>70</v>
      </c>
      <c r="AD374" s="33" t="s">
        <v>70</v>
      </c>
      <c r="AE374" s="33" t="s">
        <v>70</v>
      </c>
      <c r="AF374" s="33" t="s">
        <v>70</v>
      </c>
      <c r="AG374" s="33">
        <v>2200</v>
      </c>
      <c r="AH374" s="33" t="s">
        <v>70</v>
      </c>
      <c r="AI374" s="33" t="s">
        <v>70</v>
      </c>
      <c r="AJ374" s="33" t="s">
        <v>70</v>
      </c>
      <c r="AK374" s="33" t="s">
        <v>70</v>
      </c>
      <c r="AL374" s="33" t="s">
        <v>70</v>
      </c>
      <c r="AM374" s="35" t="s">
        <v>175</v>
      </c>
      <c r="AN374" s="26" t="s">
        <v>617</v>
      </c>
      <c r="AO374" s="35" t="s">
        <v>548</v>
      </c>
      <c r="AP374" s="35" t="s">
        <v>548</v>
      </c>
      <c r="AQ374" s="35" t="s">
        <v>548</v>
      </c>
      <c r="AR374" s="35" t="s">
        <v>548</v>
      </c>
      <c r="AS374" s="26" t="s">
        <v>175</v>
      </c>
      <c r="AT374" s="26" t="s">
        <v>70</v>
      </c>
      <c r="AU374" s="26" t="s">
        <v>70</v>
      </c>
      <c r="AV374" s="26">
        <v>10</v>
      </c>
    </row>
    <row r="375" spans="1:48" ht="14" customHeight="1">
      <c r="A375" s="27">
        <v>374</v>
      </c>
      <c r="B375" s="27" t="s">
        <v>451</v>
      </c>
      <c r="C375" s="37">
        <v>2013</v>
      </c>
      <c r="D375" s="26" t="s">
        <v>38</v>
      </c>
      <c r="E375" s="26" t="s">
        <v>566</v>
      </c>
      <c r="F375" s="77" t="s">
        <v>175</v>
      </c>
      <c r="G375" s="2" t="s">
        <v>105</v>
      </c>
      <c r="H375" s="2" t="s">
        <v>24</v>
      </c>
      <c r="I375" s="2" t="s">
        <v>175</v>
      </c>
      <c r="J375" s="2" t="s">
        <v>604</v>
      </c>
      <c r="K375" s="2" t="s">
        <v>175</v>
      </c>
      <c r="L375" s="2" t="s">
        <v>175</v>
      </c>
      <c r="M375" s="2" t="s">
        <v>175</v>
      </c>
      <c r="N375" s="2" t="s">
        <v>608</v>
      </c>
      <c r="O375" s="2" t="s">
        <v>43</v>
      </c>
      <c r="P375" s="2" t="s">
        <v>608</v>
      </c>
      <c r="Q375" s="2" t="s">
        <v>42</v>
      </c>
      <c r="R375" s="102" t="s">
        <v>614</v>
      </c>
      <c r="S375" s="2" t="s">
        <v>70</v>
      </c>
      <c r="T375" s="26">
        <v>15</v>
      </c>
      <c r="U375" s="77">
        <v>1</v>
      </c>
      <c r="V375" s="26">
        <v>1</v>
      </c>
      <c r="W375" s="26">
        <v>1</v>
      </c>
      <c r="X375" s="26">
        <v>1</v>
      </c>
      <c r="Y375" s="26">
        <v>1</v>
      </c>
      <c r="Z375" s="26">
        <v>0</v>
      </c>
      <c r="AA375" s="26">
        <v>0</v>
      </c>
      <c r="AB375" s="26">
        <v>0</v>
      </c>
      <c r="AC375" s="26" t="s">
        <v>70</v>
      </c>
      <c r="AD375" s="26" t="s">
        <v>70</v>
      </c>
      <c r="AE375" s="26" t="s">
        <v>70</v>
      </c>
      <c r="AF375" s="26" t="s">
        <v>70</v>
      </c>
      <c r="AG375" s="33">
        <v>78.739999999999995</v>
      </c>
      <c r="AH375" s="26" t="s">
        <v>70</v>
      </c>
      <c r="AI375" s="26" t="s">
        <v>70</v>
      </c>
      <c r="AJ375" s="26" t="s">
        <v>70</v>
      </c>
      <c r="AK375" s="26" t="s">
        <v>70</v>
      </c>
      <c r="AL375" s="26" t="s">
        <v>70</v>
      </c>
      <c r="AM375" s="35" t="s">
        <v>175</v>
      </c>
      <c r="AN375" s="26" t="s">
        <v>274</v>
      </c>
      <c r="AO375" s="35" t="s">
        <v>548</v>
      </c>
      <c r="AP375" s="35" t="s">
        <v>548</v>
      </c>
      <c r="AQ375" s="35" t="s">
        <v>548</v>
      </c>
      <c r="AR375" s="35" t="s">
        <v>548</v>
      </c>
      <c r="AS375" s="26" t="s">
        <v>175</v>
      </c>
      <c r="AT375" s="26" t="s">
        <v>70</v>
      </c>
      <c r="AU375" s="26" t="s">
        <v>70</v>
      </c>
      <c r="AV375" s="26">
        <v>11</v>
      </c>
    </row>
    <row r="376" spans="1:48" ht="14" customHeight="1">
      <c r="A376" s="27">
        <v>375</v>
      </c>
      <c r="B376" s="27" t="s">
        <v>451</v>
      </c>
      <c r="C376" s="37">
        <v>2013</v>
      </c>
      <c r="D376" s="26" t="s">
        <v>38</v>
      </c>
      <c r="E376" s="26" t="s">
        <v>566</v>
      </c>
      <c r="F376" s="77" t="s">
        <v>175</v>
      </c>
      <c r="G376" s="2" t="s">
        <v>105</v>
      </c>
      <c r="H376" s="2" t="s">
        <v>24</v>
      </c>
      <c r="I376" s="2" t="s">
        <v>175</v>
      </c>
      <c r="J376" s="2" t="s">
        <v>604</v>
      </c>
      <c r="K376" s="2" t="s">
        <v>175</v>
      </c>
      <c r="L376" s="2" t="s">
        <v>175</v>
      </c>
      <c r="M376" s="2" t="s">
        <v>175</v>
      </c>
      <c r="N376" s="2" t="s">
        <v>70</v>
      </c>
      <c r="O376" s="2" t="s">
        <v>209</v>
      </c>
      <c r="P376" s="2" t="s">
        <v>61</v>
      </c>
      <c r="Q376" s="2" t="s">
        <v>42</v>
      </c>
      <c r="R376" s="102" t="s">
        <v>614</v>
      </c>
      <c r="S376" s="2" t="s">
        <v>70</v>
      </c>
      <c r="T376" s="26">
        <f>48</f>
        <v>48</v>
      </c>
      <c r="U376" s="77">
        <v>1</v>
      </c>
      <c r="V376" s="26">
        <v>1</v>
      </c>
      <c r="W376" s="26">
        <v>1</v>
      </c>
      <c r="X376" s="26">
        <v>1</v>
      </c>
      <c r="Y376" s="26">
        <v>1</v>
      </c>
      <c r="Z376" s="26">
        <v>0</v>
      </c>
      <c r="AA376" s="26">
        <v>0</v>
      </c>
      <c r="AB376" s="26">
        <v>0</v>
      </c>
      <c r="AC376" s="26" t="s">
        <v>70</v>
      </c>
      <c r="AD376" s="26" t="s">
        <v>70</v>
      </c>
      <c r="AE376" s="26" t="s">
        <v>70</v>
      </c>
      <c r="AF376" s="26" t="s">
        <v>70</v>
      </c>
      <c r="AG376" s="33">
        <v>0</v>
      </c>
      <c r="AH376" s="26" t="s">
        <v>70</v>
      </c>
      <c r="AI376" s="26" t="s">
        <v>70</v>
      </c>
      <c r="AJ376" s="26" t="s">
        <v>70</v>
      </c>
      <c r="AK376" s="26" t="s">
        <v>70</v>
      </c>
      <c r="AL376" s="26" t="s">
        <v>70</v>
      </c>
      <c r="AM376" s="35" t="s">
        <v>175</v>
      </c>
      <c r="AN376" s="26" t="s">
        <v>274</v>
      </c>
      <c r="AO376" s="35" t="s">
        <v>548</v>
      </c>
      <c r="AP376" s="35" t="s">
        <v>548</v>
      </c>
      <c r="AQ376" s="35" t="s">
        <v>548</v>
      </c>
      <c r="AR376" s="35" t="s">
        <v>548</v>
      </c>
      <c r="AS376" s="26" t="s">
        <v>175</v>
      </c>
      <c r="AT376" s="26" t="s">
        <v>70</v>
      </c>
      <c r="AU376" s="26" t="s">
        <v>70</v>
      </c>
      <c r="AV376" s="26">
        <v>11</v>
      </c>
    </row>
    <row r="377" spans="1:48" ht="14" customHeight="1">
      <c r="A377" s="27">
        <v>376</v>
      </c>
      <c r="B377" s="27" t="s">
        <v>452</v>
      </c>
      <c r="C377" s="28">
        <v>2011</v>
      </c>
      <c r="D377" s="26" t="s">
        <v>13</v>
      </c>
      <c r="E377" s="26" t="s">
        <v>566</v>
      </c>
      <c r="F377" s="2" t="s">
        <v>175</v>
      </c>
      <c r="G377" s="2" t="s">
        <v>105</v>
      </c>
      <c r="H377" s="2" t="s">
        <v>24</v>
      </c>
      <c r="I377" s="2" t="s">
        <v>175</v>
      </c>
      <c r="J377" s="2" t="s">
        <v>604</v>
      </c>
      <c r="K377" s="2" t="s">
        <v>548</v>
      </c>
      <c r="L377" s="2" t="s">
        <v>548</v>
      </c>
      <c r="M377" s="2" t="s">
        <v>175</v>
      </c>
      <c r="N377" s="2" t="s">
        <v>62</v>
      </c>
      <c r="O377" s="2" t="s">
        <v>43</v>
      </c>
      <c r="P377" s="2" t="s">
        <v>62</v>
      </c>
      <c r="Q377" s="26" t="s">
        <v>247</v>
      </c>
      <c r="R377" s="102" t="s">
        <v>614</v>
      </c>
      <c r="S377" s="88">
        <f>11/17</f>
        <v>0.6470588235294118</v>
      </c>
      <c r="T377" s="61">
        <v>17</v>
      </c>
      <c r="U377" s="2">
        <v>1</v>
      </c>
      <c r="V377" s="26">
        <v>0</v>
      </c>
      <c r="W377" s="26">
        <v>1</v>
      </c>
      <c r="X377" s="26">
        <v>0</v>
      </c>
      <c r="Y377" s="26">
        <v>0</v>
      </c>
      <c r="Z377" s="26">
        <v>1</v>
      </c>
      <c r="AA377" s="26">
        <v>0</v>
      </c>
      <c r="AB377" s="26">
        <v>0</v>
      </c>
      <c r="AC377" s="26" t="s">
        <v>70</v>
      </c>
      <c r="AD377" s="26" t="s">
        <v>70</v>
      </c>
      <c r="AE377" s="26" t="s">
        <v>70</v>
      </c>
      <c r="AF377" s="26" t="s">
        <v>70</v>
      </c>
      <c r="AG377" s="33" t="s">
        <v>70</v>
      </c>
      <c r="AH377" s="26" t="s">
        <v>70</v>
      </c>
      <c r="AI377" s="26" t="s">
        <v>70</v>
      </c>
      <c r="AJ377" s="26" t="s">
        <v>70</v>
      </c>
      <c r="AK377" s="26" t="s">
        <v>70</v>
      </c>
      <c r="AL377" s="26" t="s">
        <v>70</v>
      </c>
      <c r="AM377" s="61" t="s">
        <v>548</v>
      </c>
      <c r="AN377" s="26" t="s">
        <v>274</v>
      </c>
      <c r="AO377" s="26" t="s">
        <v>548</v>
      </c>
      <c r="AP377" s="26" t="s">
        <v>548</v>
      </c>
      <c r="AQ377" s="26" t="s">
        <v>548</v>
      </c>
      <c r="AR377" s="26" t="s">
        <v>548</v>
      </c>
      <c r="AS377" s="26" t="s">
        <v>175</v>
      </c>
      <c r="AT377" s="26" t="s">
        <v>70</v>
      </c>
      <c r="AU377" s="26" t="s">
        <v>70</v>
      </c>
      <c r="AV377" s="26">
        <v>6</v>
      </c>
    </row>
    <row r="378" spans="1:48" ht="14" customHeight="1">
      <c r="A378" s="27">
        <v>377</v>
      </c>
      <c r="B378" s="27" t="s">
        <v>452</v>
      </c>
      <c r="C378" s="28">
        <v>2011</v>
      </c>
      <c r="D378" s="26" t="s">
        <v>13</v>
      </c>
      <c r="E378" s="26" t="s">
        <v>566</v>
      </c>
      <c r="F378" s="2" t="s">
        <v>175</v>
      </c>
      <c r="G378" s="2" t="s">
        <v>105</v>
      </c>
      <c r="H378" s="2" t="s">
        <v>24</v>
      </c>
      <c r="I378" s="2" t="s">
        <v>175</v>
      </c>
      <c r="J378" s="2" t="s">
        <v>604</v>
      </c>
      <c r="K378" s="2" t="s">
        <v>548</v>
      </c>
      <c r="L378" s="2" t="s">
        <v>548</v>
      </c>
      <c r="M378" s="2" t="s">
        <v>548</v>
      </c>
      <c r="N378" s="2" t="s">
        <v>51</v>
      </c>
      <c r="O378" s="2" t="s">
        <v>43</v>
      </c>
      <c r="P378" s="2" t="s">
        <v>51</v>
      </c>
      <c r="Q378" s="2" t="s">
        <v>42</v>
      </c>
      <c r="R378" s="102" t="s">
        <v>614</v>
      </c>
      <c r="S378" s="88">
        <f>3/13</f>
        <v>0.23076923076923078</v>
      </c>
      <c r="T378" s="61">
        <v>13</v>
      </c>
      <c r="U378" s="2">
        <v>1</v>
      </c>
      <c r="V378" s="26">
        <v>0</v>
      </c>
      <c r="W378" s="26">
        <v>1</v>
      </c>
      <c r="X378" s="26">
        <v>0</v>
      </c>
      <c r="Y378" s="26">
        <v>0</v>
      </c>
      <c r="Z378" s="26">
        <v>1</v>
      </c>
      <c r="AA378" s="26">
        <v>0</v>
      </c>
      <c r="AB378" s="26">
        <v>0</v>
      </c>
      <c r="AC378" s="26" t="s">
        <v>70</v>
      </c>
      <c r="AD378" s="26" t="s">
        <v>70</v>
      </c>
      <c r="AE378" s="26" t="s">
        <v>70</v>
      </c>
      <c r="AF378" s="26" t="s">
        <v>70</v>
      </c>
      <c r="AG378" s="33" t="s">
        <v>70</v>
      </c>
      <c r="AH378" s="26" t="s">
        <v>70</v>
      </c>
      <c r="AI378" s="26" t="s">
        <v>70</v>
      </c>
      <c r="AJ378" s="26" t="s">
        <v>70</v>
      </c>
      <c r="AK378" s="26" t="s">
        <v>70</v>
      </c>
      <c r="AL378" s="26" t="s">
        <v>70</v>
      </c>
      <c r="AM378" s="61" t="s">
        <v>548</v>
      </c>
      <c r="AN378" s="26" t="s">
        <v>274</v>
      </c>
      <c r="AO378" s="26" t="s">
        <v>548</v>
      </c>
      <c r="AP378" s="26" t="s">
        <v>548</v>
      </c>
      <c r="AQ378" s="26" t="s">
        <v>548</v>
      </c>
      <c r="AR378" s="26" t="s">
        <v>548</v>
      </c>
      <c r="AS378" s="26" t="s">
        <v>175</v>
      </c>
      <c r="AT378" s="26" t="s">
        <v>70</v>
      </c>
      <c r="AU378" s="26" t="s">
        <v>70</v>
      </c>
      <c r="AV378" s="26">
        <v>5</v>
      </c>
    </row>
    <row r="379" spans="1:48" ht="14" customHeight="1">
      <c r="A379" s="27">
        <v>378</v>
      </c>
      <c r="B379" s="27" t="s">
        <v>544</v>
      </c>
      <c r="C379" s="27">
        <v>2007</v>
      </c>
      <c r="D379" s="26" t="s">
        <v>63</v>
      </c>
      <c r="E379" s="26" t="s">
        <v>565</v>
      </c>
      <c r="F379" s="77" t="s">
        <v>175</v>
      </c>
      <c r="G379" s="2" t="s">
        <v>106</v>
      </c>
      <c r="H379" s="2" t="s">
        <v>30</v>
      </c>
      <c r="I379" s="2" t="s">
        <v>548</v>
      </c>
      <c r="J379" s="2" t="s">
        <v>604</v>
      </c>
      <c r="K379" s="2" t="s">
        <v>548</v>
      </c>
      <c r="L379" s="2" t="s">
        <v>548</v>
      </c>
      <c r="M379" s="2" t="s">
        <v>175</v>
      </c>
      <c r="N379" s="2" t="s">
        <v>62</v>
      </c>
      <c r="O379" s="2" t="s">
        <v>43</v>
      </c>
      <c r="P379" s="2" t="s">
        <v>621</v>
      </c>
      <c r="Q379" s="2" t="s">
        <v>42</v>
      </c>
      <c r="R379" s="102" t="s">
        <v>614</v>
      </c>
      <c r="S379" s="88">
        <f>27/T379</f>
        <v>0.32142857142857145</v>
      </c>
      <c r="T379" s="61">
        <v>84</v>
      </c>
      <c r="U379" s="77">
        <v>1</v>
      </c>
      <c r="V379" s="26">
        <v>0</v>
      </c>
      <c r="W379" s="26">
        <v>1</v>
      </c>
      <c r="X379" s="26">
        <v>1</v>
      </c>
      <c r="Y379" s="26">
        <v>1</v>
      </c>
      <c r="Z379" s="26">
        <v>1</v>
      </c>
      <c r="AA379" s="26">
        <v>0</v>
      </c>
      <c r="AB379" s="26">
        <v>0</v>
      </c>
      <c r="AC379" s="33" t="s">
        <v>70</v>
      </c>
      <c r="AD379" s="33" t="s">
        <v>70</v>
      </c>
      <c r="AE379" s="33" t="s">
        <v>70</v>
      </c>
      <c r="AF379" s="33" t="s">
        <v>70</v>
      </c>
      <c r="AG379" s="33" t="s">
        <v>70</v>
      </c>
      <c r="AH379" s="33">
        <f>10^((LOG10(35) +LOG10(89))/2)</f>
        <v>55.812185049503327</v>
      </c>
      <c r="AI379" s="33" t="s">
        <v>70</v>
      </c>
      <c r="AJ379" s="33" t="s">
        <v>70</v>
      </c>
      <c r="AK379" s="33" t="s">
        <v>70</v>
      </c>
      <c r="AL379" s="33" t="s">
        <v>70</v>
      </c>
      <c r="AM379" s="61" t="s">
        <v>175</v>
      </c>
      <c r="AN379" s="26" t="s">
        <v>274</v>
      </c>
      <c r="AO379" s="35" t="s">
        <v>548</v>
      </c>
      <c r="AP379" s="35" t="s">
        <v>548</v>
      </c>
      <c r="AQ379" s="35" t="s">
        <v>548</v>
      </c>
      <c r="AR379" s="35" t="s">
        <v>548</v>
      </c>
      <c r="AS379" s="26" t="s">
        <v>175</v>
      </c>
      <c r="AT379" s="26" t="s">
        <v>70</v>
      </c>
      <c r="AU379" s="26" t="s">
        <v>70</v>
      </c>
      <c r="AV379" s="26">
        <v>8</v>
      </c>
    </row>
    <row r="380" spans="1:48" ht="14" customHeight="1">
      <c r="A380" s="27">
        <v>379</v>
      </c>
      <c r="B380" s="27" t="s">
        <v>453</v>
      </c>
      <c r="C380" s="28">
        <v>2010</v>
      </c>
      <c r="D380" s="26" t="s">
        <v>13</v>
      </c>
      <c r="E380" s="26" t="s">
        <v>566</v>
      </c>
      <c r="F380" s="2" t="s">
        <v>175</v>
      </c>
      <c r="G380" s="2" t="s">
        <v>105</v>
      </c>
      <c r="H380" s="2" t="s">
        <v>30</v>
      </c>
      <c r="I380" s="2" t="s">
        <v>175</v>
      </c>
      <c r="J380" s="2" t="s">
        <v>604</v>
      </c>
      <c r="K380" s="2" t="s">
        <v>548</v>
      </c>
      <c r="L380" s="2" t="s">
        <v>548</v>
      </c>
      <c r="M380" s="2" t="s">
        <v>175</v>
      </c>
      <c r="N380" s="2" t="s">
        <v>48</v>
      </c>
      <c r="O380" s="2" t="s">
        <v>209</v>
      </c>
      <c r="P380" s="2" t="s">
        <v>48</v>
      </c>
      <c r="Q380" s="2" t="s">
        <v>42</v>
      </c>
      <c r="R380" s="102" t="s">
        <v>614</v>
      </c>
      <c r="S380" s="88">
        <f>1/16</f>
        <v>6.25E-2</v>
      </c>
      <c r="T380" s="61">
        <v>48</v>
      </c>
      <c r="U380" s="2">
        <v>1</v>
      </c>
      <c r="V380" s="26">
        <v>0</v>
      </c>
      <c r="W380" s="26">
        <v>1</v>
      </c>
      <c r="X380" s="26">
        <v>0</v>
      </c>
      <c r="Y380" s="26">
        <v>0</v>
      </c>
      <c r="Z380" s="26">
        <v>0</v>
      </c>
      <c r="AA380" s="26">
        <v>0</v>
      </c>
      <c r="AB380" s="26">
        <v>0</v>
      </c>
      <c r="AC380" s="26" t="s">
        <v>70</v>
      </c>
      <c r="AD380" s="26" t="s">
        <v>70</v>
      </c>
      <c r="AE380" s="26" t="s">
        <v>70</v>
      </c>
      <c r="AF380" s="26" t="s">
        <v>70</v>
      </c>
      <c r="AG380" s="33" t="s">
        <v>70</v>
      </c>
      <c r="AH380" s="26" t="s">
        <v>70</v>
      </c>
      <c r="AI380" s="26" t="s">
        <v>70</v>
      </c>
      <c r="AJ380" s="26" t="s">
        <v>70</v>
      </c>
      <c r="AK380" s="26" t="s">
        <v>70</v>
      </c>
      <c r="AL380" s="26" t="s">
        <v>70</v>
      </c>
      <c r="AM380" s="61" t="s">
        <v>548</v>
      </c>
      <c r="AN380" s="26" t="s">
        <v>274</v>
      </c>
      <c r="AO380" s="26" t="s">
        <v>548</v>
      </c>
      <c r="AP380" s="26" t="s">
        <v>548</v>
      </c>
      <c r="AQ380" s="26" t="s">
        <v>548</v>
      </c>
      <c r="AR380" s="26" t="s">
        <v>548</v>
      </c>
      <c r="AS380" s="26" t="s">
        <v>175</v>
      </c>
      <c r="AT380" s="26" t="s">
        <v>70</v>
      </c>
      <c r="AU380" s="26" t="s">
        <v>70</v>
      </c>
      <c r="AV380" s="26">
        <v>5</v>
      </c>
    </row>
    <row r="381" spans="1:48" ht="14" customHeight="1">
      <c r="A381" s="27">
        <v>380</v>
      </c>
      <c r="B381" s="27" t="s">
        <v>453</v>
      </c>
      <c r="C381" s="28">
        <v>2010</v>
      </c>
      <c r="D381" s="26" t="s">
        <v>13</v>
      </c>
      <c r="E381" s="26" t="s">
        <v>566</v>
      </c>
      <c r="F381" s="2" t="s">
        <v>175</v>
      </c>
      <c r="G381" s="2" t="s">
        <v>105</v>
      </c>
      <c r="H381" s="2" t="s">
        <v>30</v>
      </c>
      <c r="I381" s="2" t="s">
        <v>175</v>
      </c>
      <c r="J381" s="2" t="s">
        <v>604</v>
      </c>
      <c r="K381" s="2" t="s">
        <v>548</v>
      </c>
      <c r="L381" s="2" t="s">
        <v>548</v>
      </c>
      <c r="M381" s="2" t="s">
        <v>175</v>
      </c>
      <c r="N381" s="2" t="s">
        <v>70</v>
      </c>
      <c r="O381" s="2" t="s">
        <v>209</v>
      </c>
      <c r="P381" s="2" t="s">
        <v>61</v>
      </c>
      <c r="Q381" s="2" t="s">
        <v>42</v>
      </c>
      <c r="R381" s="102" t="s">
        <v>614</v>
      </c>
      <c r="S381" s="88">
        <v>0.2</v>
      </c>
      <c r="T381" s="61">
        <v>60</v>
      </c>
      <c r="U381" s="2">
        <v>1</v>
      </c>
      <c r="V381" s="26">
        <v>0</v>
      </c>
      <c r="W381" s="26">
        <v>1</v>
      </c>
      <c r="X381" s="26">
        <v>0</v>
      </c>
      <c r="Y381" s="26">
        <v>0</v>
      </c>
      <c r="Z381" s="26">
        <v>0</v>
      </c>
      <c r="AA381" s="26">
        <v>0</v>
      </c>
      <c r="AB381" s="26">
        <v>0</v>
      </c>
      <c r="AC381" s="26" t="s">
        <v>70</v>
      </c>
      <c r="AD381" s="26" t="s">
        <v>70</v>
      </c>
      <c r="AE381" s="26" t="s">
        <v>70</v>
      </c>
      <c r="AF381" s="26" t="s">
        <v>70</v>
      </c>
      <c r="AG381" s="33" t="s">
        <v>70</v>
      </c>
      <c r="AH381" s="26" t="s">
        <v>70</v>
      </c>
      <c r="AI381" s="26" t="s">
        <v>70</v>
      </c>
      <c r="AJ381" s="26" t="s">
        <v>70</v>
      </c>
      <c r="AK381" s="26" t="s">
        <v>70</v>
      </c>
      <c r="AL381" s="26" t="s">
        <v>70</v>
      </c>
      <c r="AM381" s="61" t="s">
        <v>548</v>
      </c>
      <c r="AN381" s="26" t="s">
        <v>274</v>
      </c>
      <c r="AO381" s="26" t="s">
        <v>548</v>
      </c>
      <c r="AP381" s="26" t="s">
        <v>548</v>
      </c>
      <c r="AQ381" s="26" t="s">
        <v>548</v>
      </c>
      <c r="AR381" s="26" t="s">
        <v>548</v>
      </c>
      <c r="AS381" s="26" t="s">
        <v>175</v>
      </c>
      <c r="AT381" s="26" t="s">
        <v>70</v>
      </c>
      <c r="AU381" s="26" t="s">
        <v>70</v>
      </c>
      <c r="AV381" s="26">
        <v>5</v>
      </c>
    </row>
    <row r="382" spans="1:48" ht="14" customHeight="1">
      <c r="A382" s="27">
        <v>381</v>
      </c>
      <c r="B382" s="27" t="s">
        <v>258</v>
      </c>
      <c r="C382" s="40">
        <v>2011</v>
      </c>
      <c r="D382" s="40" t="s">
        <v>252</v>
      </c>
      <c r="E382" s="26" t="s">
        <v>565</v>
      </c>
      <c r="F382" s="74" t="s">
        <v>175</v>
      </c>
      <c r="G382" s="74" t="s">
        <v>149</v>
      </c>
      <c r="H382" s="2" t="s">
        <v>24</v>
      </c>
      <c r="I382" s="2" t="s">
        <v>548</v>
      </c>
      <c r="J382" s="74" t="s">
        <v>604</v>
      </c>
      <c r="K382" s="74" t="s">
        <v>548</v>
      </c>
      <c r="L382" s="74" t="s">
        <v>548</v>
      </c>
      <c r="M382" s="74" t="s">
        <v>548</v>
      </c>
      <c r="N382" s="2" t="s">
        <v>51</v>
      </c>
      <c r="O382" s="2" t="s">
        <v>43</v>
      </c>
      <c r="P382" s="2" t="s">
        <v>51</v>
      </c>
      <c r="Q382" s="2" t="s">
        <v>42</v>
      </c>
      <c r="R382" s="79" t="s">
        <v>613</v>
      </c>
      <c r="S382" s="74">
        <f>12*0.167/118</f>
        <v>1.6983050847457628E-2</v>
      </c>
      <c r="T382" s="40">
        <v>118</v>
      </c>
      <c r="U382" s="74">
        <v>1</v>
      </c>
      <c r="V382" s="40">
        <v>1</v>
      </c>
      <c r="W382" s="40">
        <v>1</v>
      </c>
      <c r="X382" s="40">
        <v>1</v>
      </c>
      <c r="Y382" s="40">
        <v>1</v>
      </c>
      <c r="Z382" s="26">
        <v>0</v>
      </c>
      <c r="AA382" s="40">
        <v>1</v>
      </c>
      <c r="AB382" s="40">
        <v>1</v>
      </c>
      <c r="AC382" s="26" t="s">
        <v>70</v>
      </c>
      <c r="AD382" s="26" t="s">
        <v>70</v>
      </c>
      <c r="AE382" s="26" t="s">
        <v>70</v>
      </c>
      <c r="AF382" s="26" t="s">
        <v>70</v>
      </c>
      <c r="AG382" s="26" t="s">
        <v>70</v>
      </c>
      <c r="AH382" s="26" t="s">
        <v>70</v>
      </c>
      <c r="AI382" s="26" t="s">
        <v>70</v>
      </c>
      <c r="AJ382" s="26" t="s">
        <v>70</v>
      </c>
      <c r="AK382" s="26" t="s">
        <v>70</v>
      </c>
      <c r="AL382" s="26" t="s">
        <v>70</v>
      </c>
      <c r="AM382" s="55" t="s">
        <v>175</v>
      </c>
      <c r="AN382" s="32" t="s">
        <v>9</v>
      </c>
      <c r="AO382" s="55" t="s">
        <v>548</v>
      </c>
      <c r="AP382" s="55" t="s">
        <v>548</v>
      </c>
      <c r="AQ382" s="55" t="s">
        <v>548</v>
      </c>
      <c r="AR382" s="55" t="s">
        <v>548</v>
      </c>
      <c r="AS382" s="40" t="s">
        <v>175</v>
      </c>
      <c r="AT382" s="26" t="s">
        <v>70</v>
      </c>
      <c r="AU382" s="26" t="s">
        <v>70</v>
      </c>
      <c r="AV382" s="26">
        <v>9</v>
      </c>
    </row>
    <row r="383" spans="1:48" ht="14" customHeight="1">
      <c r="A383" s="27">
        <v>382</v>
      </c>
      <c r="B383" s="27" t="s">
        <v>454</v>
      </c>
      <c r="C383" s="27">
        <v>2002</v>
      </c>
      <c r="D383" s="26" t="s">
        <v>18</v>
      </c>
      <c r="E383" s="26" t="s">
        <v>566</v>
      </c>
      <c r="F383" s="77" t="s">
        <v>548</v>
      </c>
      <c r="G383" s="2" t="s">
        <v>84</v>
      </c>
      <c r="H383" s="2" t="s">
        <v>24</v>
      </c>
      <c r="I383" s="2" t="s">
        <v>548</v>
      </c>
      <c r="J383" s="2" t="s">
        <v>183</v>
      </c>
      <c r="K383" s="2" t="s">
        <v>548</v>
      </c>
      <c r="L383" s="2" t="s">
        <v>548</v>
      </c>
      <c r="M383" s="2" t="s">
        <v>175</v>
      </c>
      <c r="N383" s="2" t="s">
        <v>210</v>
      </c>
      <c r="O383" s="2" t="s">
        <v>43</v>
      </c>
      <c r="P383" s="2" t="s">
        <v>210</v>
      </c>
      <c r="Q383" s="2" t="s">
        <v>42</v>
      </c>
      <c r="R383" s="79" t="s">
        <v>613</v>
      </c>
      <c r="S383" s="88">
        <v>0</v>
      </c>
      <c r="T383" s="26">
        <v>34</v>
      </c>
      <c r="U383" s="77">
        <v>0</v>
      </c>
      <c r="V383" s="26">
        <v>0</v>
      </c>
      <c r="W383" s="26">
        <v>1</v>
      </c>
      <c r="X383" s="26">
        <v>1</v>
      </c>
      <c r="Y383" s="26">
        <v>0</v>
      </c>
      <c r="Z383" s="26">
        <v>0</v>
      </c>
      <c r="AA383" s="26">
        <v>0</v>
      </c>
      <c r="AB383" s="26">
        <v>0</v>
      </c>
      <c r="AC383" s="26" t="s">
        <v>70</v>
      </c>
      <c r="AD383" s="26" t="s">
        <v>70</v>
      </c>
      <c r="AE383" s="26" t="s">
        <v>70</v>
      </c>
      <c r="AF383" s="26" t="s">
        <v>70</v>
      </c>
      <c r="AG383" s="26" t="s">
        <v>70</v>
      </c>
      <c r="AH383" s="26" t="s">
        <v>70</v>
      </c>
      <c r="AI383" s="26" t="s">
        <v>70</v>
      </c>
      <c r="AJ383" s="26" t="s">
        <v>70</v>
      </c>
      <c r="AK383" s="26" t="s">
        <v>70</v>
      </c>
      <c r="AL383" s="26" t="s">
        <v>70</v>
      </c>
      <c r="AM383" s="35" t="s">
        <v>548</v>
      </c>
      <c r="AN383" s="26" t="s">
        <v>274</v>
      </c>
      <c r="AO383" s="35" t="s">
        <v>548</v>
      </c>
      <c r="AP383" s="35" t="s">
        <v>548</v>
      </c>
      <c r="AQ383" s="35" t="s">
        <v>548</v>
      </c>
      <c r="AR383" s="35" t="s">
        <v>548</v>
      </c>
      <c r="AS383" s="26" t="s">
        <v>175</v>
      </c>
      <c r="AT383" s="26" t="s">
        <v>70</v>
      </c>
      <c r="AU383" s="26" t="s">
        <v>70</v>
      </c>
      <c r="AV383" s="26">
        <v>4</v>
      </c>
    </row>
    <row r="384" spans="1:48" ht="14" customHeight="1">
      <c r="A384" s="27">
        <v>383</v>
      </c>
      <c r="B384" s="27" t="s">
        <v>454</v>
      </c>
      <c r="C384" s="27">
        <v>2002</v>
      </c>
      <c r="D384" s="26" t="s">
        <v>18</v>
      </c>
      <c r="E384" s="26" t="s">
        <v>566</v>
      </c>
      <c r="F384" s="77" t="s">
        <v>548</v>
      </c>
      <c r="G384" s="2" t="s">
        <v>84</v>
      </c>
      <c r="H384" s="2" t="s">
        <v>24</v>
      </c>
      <c r="I384" s="2" t="s">
        <v>548</v>
      </c>
      <c r="J384" s="2" t="s">
        <v>183</v>
      </c>
      <c r="K384" s="2" t="s">
        <v>548</v>
      </c>
      <c r="L384" s="2" t="s">
        <v>548</v>
      </c>
      <c r="M384" s="2" t="s">
        <v>175</v>
      </c>
      <c r="N384" s="2" t="s">
        <v>70</v>
      </c>
      <c r="O384" s="2" t="s">
        <v>209</v>
      </c>
      <c r="P384" s="2" t="s">
        <v>612</v>
      </c>
      <c r="Q384" s="2" t="s">
        <v>42</v>
      </c>
      <c r="R384" s="79" t="s">
        <v>613</v>
      </c>
      <c r="S384" s="88">
        <v>0.6149068322981367</v>
      </c>
      <c r="T384" s="26">
        <v>161</v>
      </c>
      <c r="U384" s="77">
        <v>0</v>
      </c>
      <c r="V384" s="26">
        <v>0</v>
      </c>
      <c r="W384" s="26">
        <v>1</v>
      </c>
      <c r="X384" s="26">
        <v>1</v>
      </c>
      <c r="Y384" s="26">
        <v>0</v>
      </c>
      <c r="Z384" s="26">
        <v>0</v>
      </c>
      <c r="AA384" s="26">
        <v>0</v>
      </c>
      <c r="AB384" s="26">
        <v>0</v>
      </c>
      <c r="AC384" s="26" t="s">
        <v>70</v>
      </c>
      <c r="AD384" s="26" t="s">
        <v>70</v>
      </c>
      <c r="AE384" s="26" t="s">
        <v>70</v>
      </c>
      <c r="AF384" s="26" t="s">
        <v>70</v>
      </c>
      <c r="AG384" s="26" t="s">
        <v>70</v>
      </c>
      <c r="AH384" s="26" t="s">
        <v>70</v>
      </c>
      <c r="AI384" s="26" t="s">
        <v>70</v>
      </c>
      <c r="AJ384" s="26" t="s">
        <v>70</v>
      </c>
      <c r="AK384" s="26" t="s">
        <v>70</v>
      </c>
      <c r="AL384" s="26" t="s">
        <v>70</v>
      </c>
      <c r="AM384" s="35" t="s">
        <v>548</v>
      </c>
      <c r="AN384" s="32" t="s">
        <v>274</v>
      </c>
      <c r="AO384" s="35" t="s">
        <v>548</v>
      </c>
      <c r="AP384" s="35" t="s">
        <v>548</v>
      </c>
      <c r="AQ384" s="35" t="s">
        <v>548</v>
      </c>
      <c r="AR384" s="35" t="s">
        <v>548</v>
      </c>
      <c r="AS384" s="26" t="s">
        <v>175</v>
      </c>
      <c r="AT384" s="26" t="s">
        <v>70</v>
      </c>
      <c r="AU384" s="26" t="s">
        <v>70</v>
      </c>
      <c r="AV384" s="26">
        <v>4</v>
      </c>
    </row>
    <row r="385" spans="1:2089" s="65" customFormat="1" ht="14" customHeight="1">
      <c r="A385" s="27">
        <v>384</v>
      </c>
      <c r="B385" s="27" t="s">
        <v>455</v>
      </c>
      <c r="C385" s="63">
        <v>2010</v>
      </c>
      <c r="D385" s="26" t="s">
        <v>73</v>
      </c>
      <c r="E385" s="26" t="s">
        <v>563</v>
      </c>
      <c r="F385" s="77" t="s">
        <v>175</v>
      </c>
      <c r="G385" s="2" t="s">
        <v>105</v>
      </c>
      <c r="H385" s="2" t="s">
        <v>24</v>
      </c>
      <c r="I385" s="2" t="s">
        <v>548</v>
      </c>
      <c r="J385" s="2" t="s">
        <v>604</v>
      </c>
      <c r="K385" s="2" t="s">
        <v>548</v>
      </c>
      <c r="L385" s="2" t="s">
        <v>548</v>
      </c>
      <c r="M385" s="2" t="s">
        <v>548</v>
      </c>
      <c r="N385" s="2" t="s">
        <v>210</v>
      </c>
      <c r="O385" s="2" t="s">
        <v>43</v>
      </c>
      <c r="P385" s="2" t="s">
        <v>210</v>
      </c>
      <c r="Q385" s="2" t="s">
        <v>42</v>
      </c>
      <c r="R385" s="79" t="s">
        <v>613</v>
      </c>
      <c r="S385" s="88">
        <v>0.31</v>
      </c>
      <c r="T385" s="26">
        <v>71</v>
      </c>
      <c r="U385" s="77">
        <v>1</v>
      </c>
      <c r="V385" s="26">
        <v>0</v>
      </c>
      <c r="W385" s="26">
        <v>1</v>
      </c>
      <c r="X385" s="26">
        <v>1</v>
      </c>
      <c r="Y385" s="26">
        <v>1</v>
      </c>
      <c r="Z385" s="26">
        <v>1</v>
      </c>
      <c r="AA385" s="26">
        <v>0</v>
      </c>
      <c r="AB385" s="26">
        <v>0</v>
      </c>
      <c r="AC385" s="34" t="s">
        <v>70</v>
      </c>
      <c r="AD385" s="34" t="s">
        <v>70</v>
      </c>
      <c r="AE385" s="34" t="s">
        <v>70</v>
      </c>
      <c r="AF385" s="34" t="s">
        <v>70</v>
      </c>
      <c r="AG385" s="26" t="s">
        <v>70</v>
      </c>
      <c r="AH385" s="26" t="s">
        <v>70</v>
      </c>
      <c r="AI385" s="33">
        <v>0</v>
      </c>
      <c r="AJ385" s="26" t="s">
        <v>70</v>
      </c>
      <c r="AK385" s="33" t="s">
        <v>70</v>
      </c>
      <c r="AL385" s="33" t="s">
        <v>70</v>
      </c>
      <c r="AM385" s="26" t="s">
        <v>175</v>
      </c>
      <c r="AN385" s="26" t="s">
        <v>615</v>
      </c>
      <c r="AO385" s="35" t="s">
        <v>548</v>
      </c>
      <c r="AP385" s="35" t="s">
        <v>175</v>
      </c>
      <c r="AQ385" s="35" t="s">
        <v>548</v>
      </c>
      <c r="AR385" s="35" t="s">
        <v>548</v>
      </c>
      <c r="AS385" s="26" t="s">
        <v>175</v>
      </c>
      <c r="AT385" s="26" t="s">
        <v>548</v>
      </c>
      <c r="AU385" s="40" t="s">
        <v>548</v>
      </c>
      <c r="AV385" s="26">
        <v>7</v>
      </c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  <c r="GR385" s="26"/>
      <c r="GS385" s="26"/>
      <c r="GT385" s="26"/>
      <c r="GU385" s="26"/>
      <c r="GV385" s="26"/>
      <c r="GW385" s="26"/>
      <c r="GX385" s="26"/>
      <c r="GY385" s="26"/>
      <c r="GZ385" s="26"/>
      <c r="HA385" s="26"/>
      <c r="HB385" s="26"/>
      <c r="HC385" s="26"/>
      <c r="HD385" s="26"/>
      <c r="HE385" s="26"/>
      <c r="HF385" s="26"/>
      <c r="HG385" s="26"/>
      <c r="HH385" s="26"/>
      <c r="HI385" s="26"/>
      <c r="HJ385" s="26"/>
      <c r="HK385" s="26"/>
      <c r="HL385" s="26"/>
      <c r="HM385" s="26"/>
      <c r="HN385" s="26"/>
      <c r="HO385" s="26"/>
      <c r="HP385" s="26"/>
      <c r="HQ385" s="26"/>
      <c r="HR385" s="26"/>
      <c r="HS385" s="26"/>
      <c r="HT385" s="26"/>
      <c r="HU385" s="26"/>
      <c r="HV385" s="26"/>
      <c r="HW385" s="26"/>
      <c r="HX385" s="26"/>
      <c r="HY385" s="26"/>
      <c r="HZ385" s="26"/>
      <c r="IA385" s="26"/>
      <c r="IB385" s="26"/>
      <c r="IC385" s="26"/>
      <c r="ID385" s="26"/>
      <c r="IE385" s="26"/>
      <c r="IF385" s="26"/>
      <c r="IG385" s="26"/>
      <c r="IH385" s="26"/>
      <c r="II385" s="26"/>
      <c r="IJ385" s="26"/>
      <c r="IK385" s="26"/>
      <c r="IL385" s="26"/>
      <c r="IM385" s="26"/>
      <c r="IN385" s="26"/>
      <c r="IO385" s="26"/>
      <c r="IP385" s="26"/>
      <c r="IQ385" s="26"/>
      <c r="IR385" s="26"/>
      <c r="IS385" s="26"/>
      <c r="IT385" s="26"/>
      <c r="IU385" s="26"/>
      <c r="IV385" s="26"/>
      <c r="IW385" s="26"/>
      <c r="IX385" s="26"/>
      <c r="IY385" s="26"/>
      <c r="IZ385" s="26"/>
      <c r="JA385" s="26"/>
      <c r="JB385" s="26"/>
      <c r="JC385" s="26"/>
      <c r="JD385" s="26"/>
      <c r="JE385" s="26"/>
      <c r="JF385" s="26"/>
      <c r="JG385" s="26"/>
      <c r="JH385" s="26"/>
      <c r="JI385" s="26"/>
      <c r="JJ385" s="26"/>
      <c r="JK385" s="26"/>
      <c r="JL385" s="26"/>
      <c r="JM385" s="26"/>
      <c r="JN385" s="26"/>
      <c r="JO385" s="26"/>
      <c r="JP385" s="26"/>
      <c r="JQ385" s="26"/>
      <c r="JR385" s="26"/>
      <c r="JS385" s="26"/>
      <c r="JT385" s="26"/>
      <c r="JU385" s="26"/>
      <c r="JV385" s="26"/>
      <c r="JW385" s="26"/>
      <c r="JX385" s="26"/>
      <c r="JY385" s="26"/>
      <c r="JZ385" s="26"/>
      <c r="KA385" s="26"/>
      <c r="KB385" s="26"/>
      <c r="KC385" s="26"/>
      <c r="KD385" s="26"/>
      <c r="KE385" s="26"/>
      <c r="KF385" s="26"/>
      <c r="KG385" s="26"/>
      <c r="KH385" s="26"/>
      <c r="KI385" s="26"/>
      <c r="KJ385" s="26"/>
      <c r="KK385" s="26"/>
      <c r="KL385" s="26"/>
      <c r="KM385" s="26"/>
      <c r="KN385" s="26"/>
      <c r="KO385" s="26"/>
      <c r="KP385" s="26"/>
      <c r="KQ385" s="26"/>
      <c r="KR385" s="26"/>
      <c r="KS385" s="26"/>
      <c r="KT385" s="26"/>
      <c r="KU385" s="26"/>
      <c r="KV385" s="26"/>
      <c r="KW385" s="26"/>
      <c r="KX385" s="26"/>
      <c r="KY385" s="26"/>
      <c r="KZ385" s="26"/>
      <c r="LA385" s="26"/>
      <c r="LB385" s="26"/>
      <c r="LC385" s="26"/>
      <c r="LD385" s="26"/>
      <c r="LE385" s="26"/>
      <c r="LF385" s="26"/>
      <c r="LG385" s="26"/>
      <c r="LH385" s="26"/>
      <c r="LI385" s="26"/>
      <c r="LJ385" s="26"/>
      <c r="LK385" s="26"/>
      <c r="LL385" s="26"/>
      <c r="LM385" s="26"/>
      <c r="LN385" s="26"/>
      <c r="LO385" s="26"/>
      <c r="LP385" s="26"/>
      <c r="LQ385" s="26"/>
      <c r="LR385" s="26"/>
      <c r="LS385" s="26"/>
      <c r="LT385" s="26"/>
      <c r="LU385" s="26"/>
      <c r="LV385" s="26"/>
      <c r="LW385" s="26"/>
      <c r="LX385" s="26"/>
      <c r="LY385" s="26"/>
      <c r="LZ385" s="26"/>
      <c r="MA385" s="26"/>
      <c r="MB385" s="26"/>
      <c r="MC385" s="26"/>
      <c r="MD385" s="26"/>
      <c r="ME385" s="26"/>
      <c r="MF385" s="26"/>
      <c r="MG385" s="26"/>
      <c r="MH385" s="26"/>
      <c r="MI385" s="26"/>
      <c r="MJ385" s="26"/>
      <c r="MK385" s="26"/>
      <c r="ML385" s="26"/>
      <c r="MM385" s="26"/>
      <c r="MN385" s="26"/>
      <c r="MO385" s="26"/>
      <c r="MP385" s="26"/>
      <c r="MQ385" s="26"/>
      <c r="MR385" s="26"/>
      <c r="MS385" s="26"/>
      <c r="MT385" s="26"/>
      <c r="MU385" s="26"/>
      <c r="MV385" s="26"/>
      <c r="MW385" s="26"/>
      <c r="MX385" s="26"/>
      <c r="MY385" s="26"/>
      <c r="MZ385" s="26"/>
      <c r="NA385" s="26"/>
      <c r="NB385" s="26"/>
      <c r="NC385" s="26"/>
      <c r="ND385" s="26"/>
      <c r="NE385" s="26"/>
      <c r="NF385" s="26"/>
      <c r="NG385" s="26"/>
      <c r="NH385" s="26"/>
      <c r="NI385" s="26"/>
      <c r="NJ385" s="26"/>
      <c r="NK385" s="26"/>
      <c r="NL385" s="26"/>
      <c r="NM385" s="26"/>
      <c r="NN385" s="26"/>
      <c r="NO385" s="26"/>
      <c r="NP385" s="26"/>
      <c r="NQ385" s="26"/>
      <c r="NR385" s="26"/>
      <c r="NS385" s="26"/>
      <c r="NT385" s="26"/>
      <c r="NU385" s="26"/>
      <c r="NV385" s="26"/>
      <c r="NW385" s="26"/>
      <c r="NX385" s="26"/>
      <c r="NY385" s="26"/>
      <c r="NZ385" s="26"/>
      <c r="OA385" s="26"/>
      <c r="OB385" s="26"/>
      <c r="OC385" s="26"/>
      <c r="OD385" s="26"/>
      <c r="OE385" s="26"/>
      <c r="OF385" s="26"/>
      <c r="OG385" s="26"/>
      <c r="OH385" s="26"/>
      <c r="OI385" s="26"/>
      <c r="OJ385" s="26"/>
      <c r="OK385" s="26"/>
      <c r="OL385" s="26"/>
      <c r="OM385" s="26"/>
      <c r="ON385" s="26"/>
      <c r="OO385" s="26"/>
      <c r="OP385" s="26"/>
      <c r="OQ385" s="26"/>
      <c r="OR385" s="26"/>
      <c r="OS385" s="26"/>
      <c r="OT385" s="26"/>
      <c r="OU385" s="26"/>
      <c r="OV385" s="26"/>
      <c r="OW385" s="26"/>
      <c r="OX385" s="26"/>
      <c r="OY385" s="26"/>
      <c r="OZ385" s="26"/>
      <c r="PA385" s="26"/>
      <c r="PB385" s="26"/>
      <c r="PC385" s="26"/>
      <c r="PD385" s="26"/>
      <c r="PE385" s="26"/>
      <c r="PF385" s="26"/>
      <c r="PG385" s="26"/>
      <c r="PH385" s="26"/>
      <c r="PI385" s="26"/>
      <c r="PJ385" s="26"/>
      <c r="PK385" s="26"/>
      <c r="PL385" s="26"/>
      <c r="PM385" s="26"/>
      <c r="PN385" s="26"/>
      <c r="PO385" s="26"/>
      <c r="PP385" s="26"/>
      <c r="PQ385" s="26"/>
      <c r="PR385" s="26"/>
      <c r="PS385" s="26"/>
      <c r="PT385" s="26"/>
      <c r="PU385" s="26"/>
      <c r="PV385" s="26"/>
      <c r="PW385" s="26"/>
      <c r="PX385" s="26"/>
      <c r="PY385" s="26"/>
      <c r="PZ385" s="26"/>
      <c r="QA385" s="26"/>
      <c r="QB385" s="26"/>
      <c r="QC385" s="26"/>
      <c r="QD385" s="26"/>
      <c r="QE385" s="26"/>
      <c r="QF385" s="26"/>
      <c r="QG385" s="26"/>
      <c r="QH385" s="26"/>
      <c r="QI385" s="26"/>
      <c r="QJ385" s="26"/>
      <c r="QK385" s="26"/>
      <c r="QL385" s="26"/>
      <c r="QM385" s="26"/>
      <c r="QN385" s="26"/>
      <c r="QO385" s="26"/>
      <c r="QP385" s="26"/>
      <c r="QQ385" s="26"/>
      <c r="QR385" s="26"/>
      <c r="QS385" s="26"/>
      <c r="QT385" s="26"/>
      <c r="QU385" s="26"/>
      <c r="QV385" s="26"/>
      <c r="QW385" s="26"/>
      <c r="QX385" s="26"/>
      <c r="QY385" s="26"/>
      <c r="QZ385" s="26"/>
      <c r="RA385" s="26"/>
      <c r="RB385" s="26"/>
      <c r="RC385" s="26"/>
      <c r="RD385" s="26"/>
      <c r="RE385" s="26"/>
      <c r="RF385" s="26"/>
      <c r="RG385" s="26"/>
      <c r="RH385" s="26"/>
      <c r="RI385" s="26"/>
      <c r="RJ385" s="26"/>
      <c r="RK385" s="26"/>
      <c r="RL385" s="26"/>
      <c r="RM385" s="26"/>
      <c r="RN385" s="26"/>
      <c r="RO385" s="26"/>
      <c r="RP385" s="26"/>
      <c r="RQ385" s="26"/>
      <c r="RR385" s="26"/>
      <c r="RS385" s="26"/>
      <c r="RT385" s="26"/>
      <c r="RU385" s="26"/>
      <c r="RV385" s="26"/>
      <c r="RW385" s="26"/>
      <c r="RX385" s="26"/>
      <c r="RY385" s="26"/>
      <c r="RZ385" s="26"/>
      <c r="SA385" s="26"/>
      <c r="SB385" s="26"/>
      <c r="SC385" s="26"/>
      <c r="SD385" s="26"/>
      <c r="SE385" s="26"/>
      <c r="SF385" s="26"/>
      <c r="SG385" s="26"/>
      <c r="SH385" s="26"/>
      <c r="SI385" s="26"/>
      <c r="SJ385" s="26"/>
      <c r="SK385" s="26"/>
      <c r="SL385" s="26"/>
      <c r="SM385" s="26"/>
      <c r="SN385" s="26"/>
      <c r="SO385" s="26"/>
      <c r="SP385" s="26"/>
      <c r="SQ385" s="26"/>
      <c r="SR385" s="26"/>
      <c r="SS385" s="26"/>
      <c r="ST385" s="26"/>
      <c r="SU385" s="26"/>
      <c r="SV385" s="26"/>
      <c r="SW385" s="26"/>
      <c r="SX385" s="26"/>
      <c r="SY385" s="26"/>
      <c r="SZ385" s="26"/>
      <c r="TA385" s="26"/>
      <c r="TB385" s="26"/>
      <c r="TC385" s="26"/>
      <c r="TD385" s="26"/>
      <c r="TE385" s="26"/>
      <c r="TF385" s="26"/>
      <c r="TG385" s="26"/>
      <c r="TH385" s="26"/>
      <c r="TI385" s="26"/>
      <c r="TJ385" s="26"/>
      <c r="TK385" s="26"/>
      <c r="TL385" s="26"/>
      <c r="TM385" s="26"/>
      <c r="TN385" s="26"/>
      <c r="TO385" s="26"/>
      <c r="TP385" s="26"/>
      <c r="TQ385" s="26"/>
      <c r="TR385" s="26"/>
      <c r="TS385" s="26"/>
      <c r="TT385" s="26"/>
      <c r="TU385" s="26"/>
      <c r="TV385" s="26"/>
      <c r="TW385" s="26"/>
      <c r="TX385" s="26"/>
      <c r="TY385" s="26"/>
      <c r="TZ385" s="26"/>
      <c r="UA385" s="26"/>
      <c r="UB385" s="26"/>
      <c r="UC385" s="26"/>
      <c r="UD385" s="26"/>
      <c r="UE385" s="26"/>
      <c r="UF385" s="26"/>
      <c r="UG385" s="26"/>
      <c r="UH385" s="26"/>
      <c r="UI385" s="26"/>
      <c r="UJ385" s="26"/>
      <c r="UK385" s="26"/>
      <c r="UL385" s="26"/>
      <c r="UM385" s="26"/>
      <c r="UN385" s="26"/>
      <c r="UO385" s="26"/>
      <c r="UP385" s="26"/>
      <c r="UQ385" s="26"/>
      <c r="UR385" s="26"/>
      <c r="US385" s="26"/>
      <c r="UT385" s="26"/>
      <c r="UU385" s="26"/>
      <c r="UV385" s="26"/>
      <c r="UW385" s="26"/>
      <c r="UX385" s="26"/>
      <c r="UY385" s="26"/>
      <c r="UZ385" s="26"/>
      <c r="VA385" s="26"/>
      <c r="VB385" s="26"/>
      <c r="VC385" s="26"/>
      <c r="VD385" s="26"/>
      <c r="VE385" s="26"/>
      <c r="VF385" s="26"/>
      <c r="VG385" s="26"/>
      <c r="VH385" s="26"/>
      <c r="VI385" s="26"/>
      <c r="VJ385" s="26"/>
      <c r="VK385" s="26"/>
      <c r="VL385" s="26"/>
      <c r="VM385" s="26"/>
      <c r="VN385" s="26"/>
      <c r="VO385" s="26"/>
      <c r="VP385" s="26"/>
      <c r="VQ385" s="26"/>
      <c r="VR385" s="26"/>
      <c r="VS385" s="26"/>
      <c r="VT385" s="26"/>
      <c r="VU385" s="26"/>
      <c r="VV385" s="26"/>
      <c r="VW385" s="26"/>
      <c r="VX385" s="26"/>
      <c r="VY385" s="26"/>
      <c r="VZ385" s="26"/>
      <c r="WA385" s="26"/>
      <c r="WB385" s="26"/>
      <c r="WC385" s="26"/>
      <c r="WD385" s="26"/>
      <c r="WE385" s="26"/>
      <c r="WF385" s="26"/>
      <c r="WG385" s="26"/>
      <c r="WH385" s="26"/>
      <c r="WI385" s="26"/>
      <c r="WJ385" s="26"/>
      <c r="WK385" s="26"/>
      <c r="WL385" s="26"/>
      <c r="WM385" s="26"/>
      <c r="WN385" s="26"/>
      <c r="WO385" s="26"/>
      <c r="WP385" s="26"/>
      <c r="WQ385" s="26"/>
      <c r="WR385" s="26"/>
      <c r="WS385" s="26"/>
      <c r="WT385" s="26"/>
      <c r="WU385" s="26"/>
      <c r="WV385" s="26"/>
      <c r="WW385" s="26"/>
      <c r="WX385" s="26"/>
      <c r="WY385" s="26"/>
      <c r="WZ385" s="26"/>
      <c r="XA385" s="26"/>
      <c r="XB385" s="26"/>
      <c r="XC385" s="26"/>
      <c r="XD385" s="26"/>
      <c r="XE385" s="26"/>
      <c r="XF385" s="26"/>
      <c r="XG385" s="26"/>
      <c r="XH385" s="26"/>
      <c r="XI385" s="26"/>
      <c r="XJ385" s="26"/>
      <c r="XK385" s="26"/>
      <c r="XL385" s="26"/>
      <c r="XM385" s="26"/>
      <c r="XN385" s="26"/>
      <c r="XO385" s="26"/>
      <c r="XP385" s="26"/>
      <c r="XQ385" s="26"/>
      <c r="XR385" s="26"/>
      <c r="XS385" s="26"/>
      <c r="XT385" s="26"/>
      <c r="XU385" s="26"/>
      <c r="XV385" s="26"/>
      <c r="XW385" s="26"/>
      <c r="XX385" s="26"/>
      <c r="XY385" s="26"/>
      <c r="XZ385" s="26"/>
      <c r="YA385" s="26"/>
      <c r="YB385" s="26"/>
      <c r="YC385" s="26"/>
      <c r="YD385" s="26"/>
      <c r="YE385" s="26"/>
      <c r="YF385" s="26"/>
      <c r="YG385" s="26"/>
      <c r="YH385" s="26"/>
      <c r="YI385" s="26"/>
      <c r="YJ385" s="26"/>
      <c r="YK385" s="26"/>
      <c r="YL385" s="26"/>
      <c r="YM385" s="26"/>
      <c r="YN385" s="26"/>
      <c r="YO385" s="26"/>
      <c r="YP385" s="26"/>
      <c r="YQ385" s="26"/>
      <c r="YR385" s="26"/>
      <c r="YS385" s="26"/>
      <c r="YT385" s="26"/>
      <c r="YU385" s="26"/>
      <c r="YV385" s="26"/>
      <c r="YW385" s="26"/>
      <c r="YX385" s="26"/>
      <c r="YY385" s="26"/>
      <c r="YZ385" s="26"/>
      <c r="ZA385" s="26"/>
      <c r="ZB385" s="26"/>
      <c r="ZC385" s="26"/>
      <c r="ZD385" s="26"/>
      <c r="ZE385" s="26"/>
      <c r="ZF385" s="26"/>
      <c r="ZG385" s="26"/>
      <c r="ZH385" s="26"/>
      <c r="ZI385" s="26"/>
      <c r="ZJ385" s="26"/>
      <c r="ZK385" s="26"/>
      <c r="ZL385" s="26"/>
      <c r="ZM385" s="26"/>
      <c r="ZN385" s="26"/>
      <c r="ZO385" s="26"/>
      <c r="ZP385" s="26"/>
      <c r="ZQ385" s="26"/>
      <c r="ZR385" s="26"/>
      <c r="ZS385" s="26"/>
      <c r="ZT385" s="26"/>
      <c r="ZU385" s="26"/>
      <c r="ZV385" s="26"/>
      <c r="ZW385" s="26"/>
      <c r="ZX385" s="26"/>
      <c r="ZY385" s="26"/>
      <c r="ZZ385" s="26"/>
      <c r="AAA385" s="26"/>
      <c r="AAB385" s="26"/>
      <c r="AAC385" s="26"/>
      <c r="AAD385" s="26"/>
      <c r="AAE385" s="26"/>
      <c r="AAF385" s="26"/>
      <c r="AAG385" s="26"/>
      <c r="AAH385" s="26"/>
      <c r="AAI385" s="26"/>
      <c r="AAJ385" s="26"/>
      <c r="AAK385" s="26"/>
      <c r="AAL385" s="26"/>
      <c r="AAM385" s="26"/>
      <c r="AAN385" s="26"/>
      <c r="AAO385" s="26"/>
      <c r="AAP385" s="26"/>
      <c r="AAQ385" s="26"/>
      <c r="AAR385" s="26"/>
      <c r="AAS385" s="26"/>
      <c r="AAT385" s="26"/>
      <c r="AAU385" s="26"/>
      <c r="AAV385" s="26"/>
      <c r="AAW385" s="26"/>
      <c r="AAX385" s="26"/>
      <c r="AAY385" s="26"/>
      <c r="AAZ385" s="26"/>
      <c r="ABA385" s="26"/>
      <c r="ABB385" s="26"/>
      <c r="ABC385" s="26"/>
      <c r="ABD385" s="26"/>
      <c r="ABE385" s="26"/>
      <c r="ABF385" s="26"/>
      <c r="ABG385" s="26"/>
      <c r="ABH385" s="26"/>
      <c r="ABI385" s="26"/>
      <c r="ABJ385" s="26"/>
      <c r="ABK385" s="26"/>
      <c r="ABL385" s="26"/>
      <c r="ABM385" s="26"/>
      <c r="ABN385" s="26"/>
      <c r="ABO385" s="26"/>
      <c r="ABP385" s="26"/>
      <c r="ABQ385" s="26"/>
      <c r="ABR385" s="26"/>
      <c r="ABS385" s="26"/>
      <c r="ABT385" s="26"/>
      <c r="ABU385" s="26"/>
      <c r="ABV385" s="26"/>
      <c r="ABW385" s="26"/>
      <c r="ABX385" s="26"/>
      <c r="ABY385" s="26"/>
      <c r="ABZ385" s="26"/>
      <c r="ACA385" s="26"/>
      <c r="ACB385" s="26"/>
      <c r="ACC385" s="26"/>
      <c r="ACD385" s="26"/>
      <c r="ACE385" s="26"/>
      <c r="ACF385" s="26"/>
      <c r="ACG385" s="26"/>
      <c r="ACH385" s="26"/>
      <c r="ACI385" s="26"/>
      <c r="ACJ385" s="26"/>
      <c r="ACK385" s="26"/>
      <c r="ACL385" s="26"/>
      <c r="ACM385" s="26"/>
      <c r="ACN385" s="26"/>
      <c r="ACO385" s="26"/>
      <c r="ACP385" s="26"/>
      <c r="ACQ385" s="26"/>
      <c r="ACR385" s="26"/>
      <c r="ACS385" s="26"/>
      <c r="ACT385" s="26"/>
      <c r="ACU385" s="26"/>
      <c r="ACV385" s="26"/>
      <c r="ACW385" s="26"/>
      <c r="ACX385" s="26"/>
      <c r="ACY385" s="26"/>
      <c r="ACZ385" s="26"/>
      <c r="ADA385" s="26"/>
      <c r="ADB385" s="26"/>
      <c r="ADC385" s="26"/>
      <c r="ADD385" s="26"/>
      <c r="ADE385" s="26"/>
      <c r="ADF385" s="26"/>
      <c r="ADG385" s="26"/>
      <c r="ADH385" s="26"/>
      <c r="ADI385" s="26"/>
      <c r="ADJ385" s="26"/>
      <c r="ADK385" s="26"/>
      <c r="ADL385" s="26"/>
      <c r="ADM385" s="26"/>
      <c r="ADN385" s="26"/>
      <c r="ADO385" s="26"/>
      <c r="ADP385" s="26"/>
      <c r="ADQ385" s="26"/>
      <c r="ADR385" s="26"/>
      <c r="ADS385" s="26"/>
      <c r="ADT385" s="26"/>
      <c r="ADU385" s="26"/>
      <c r="ADV385" s="26"/>
      <c r="ADW385" s="26"/>
      <c r="ADX385" s="26"/>
      <c r="ADY385" s="26"/>
      <c r="ADZ385" s="26"/>
      <c r="AEA385" s="26"/>
      <c r="AEB385" s="26"/>
      <c r="AEC385" s="26"/>
      <c r="AED385" s="26"/>
      <c r="AEE385" s="26"/>
      <c r="AEF385" s="26"/>
      <c r="AEG385" s="26"/>
      <c r="AEH385" s="26"/>
      <c r="AEI385" s="26"/>
      <c r="AEJ385" s="26"/>
      <c r="AEK385" s="26"/>
      <c r="AEL385" s="26"/>
      <c r="AEM385" s="26"/>
      <c r="AEN385" s="26"/>
      <c r="AEO385" s="26"/>
      <c r="AEP385" s="26"/>
      <c r="AEQ385" s="26"/>
      <c r="AER385" s="26"/>
      <c r="AES385" s="26"/>
      <c r="AET385" s="26"/>
      <c r="AEU385" s="26"/>
      <c r="AEV385" s="26"/>
      <c r="AEW385" s="26"/>
      <c r="AEX385" s="26"/>
      <c r="AEY385" s="26"/>
      <c r="AEZ385" s="26"/>
      <c r="AFA385" s="26"/>
      <c r="AFB385" s="26"/>
      <c r="AFC385" s="26"/>
      <c r="AFD385" s="26"/>
      <c r="AFE385" s="26"/>
      <c r="AFF385" s="26"/>
      <c r="AFG385" s="26"/>
      <c r="AFH385" s="26"/>
      <c r="AFI385" s="26"/>
      <c r="AFJ385" s="26"/>
      <c r="AFK385" s="26"/>
      <c r="AFL385" s="26"/>
      <c r="AFM385" s="26"/>
      <c r="AFN385" s="26"/>
      <c r="AFO385" s="26"/>
      <c r="AFP385" s="26"/>
      <c r="AFQ385" s="26"/>
      <c r="AFR385" s="26"/>
      <c r="AFS385" s="26"/>
      <c r="AFT385" s="26"/>
      <c r="AFU385" s="26"/>
      <c r="AFV385" s="26"/>
      <c r="AFW385" s="26"/>
      <c r="AFX385" s="26"/>
      <c r="AFY385" s="26"/>
      <c r="AFZ385" s="26"/>
      <c r="AGA385" s="26"/>
      <c r="AGB385" s="26"/>
      <c r="AGC385" s="26"/>
      <c r="AGD385" s="26"/>
      <c r="AGE385" s="26"/>
      <c r="AGF385" s="26"/>
      <c r="AGG385" s="26"/>
      <c r="AGH385" s="26"/>
      <c r="AGI385" s="26"/>
      <c r="AGJ385" s="26"/>
      <c r="AGK385" s="26"/>
      <c r="AGL385" s="26"/>
      <c r="AGM385" s="26"/>
      <c r="AGN385" s="26"/>
      <c r="AGO385" s="26"/>
      <c r="AGP385" s="26"/>
      <c r="AGQ385" s="26"/>
      <c r="AGR385" s="26"/>
      <c r="AGS385" s="26"/>
      <c r="AGT385" s="26"/>
      <c r="AGU385" s="26"/>
      <c r="AGV385" s="26"/>
      <c r="AGW385" s="26"/>
      <c r="AGX385" s="26"/>
      <c r="AGY385" s="26"/>
      <c r="AGZ385" s="26"/>
      <c r="AHA385" s="26"/>
      <c r="AHB385" s="26"/>
      <c r="AHC385" s="26"/>
      <c r="AHD385" s="26"/>
      <c r="AHE385" s="26"/>
      <c r="AHF385" s="26"/>
      <c r="AHG385" s="26"/>
      <c r="AHH385" s="26"/>
      <c r="AHI385" s="26"/>
      <c r="AHJ385" s="26"/>
      <c r="AHK385" s="26"/>
      <c r="AHL385" s="26"/>
      <c r="AHM385" s="26"/>
      <c r="AHN385" s="26"/>
      <c r="AHO385" s="26"/>
      <c r="AHP385" s="26"/>
      <c r="AHQ385" s="26"/>
      <c r="AHR385" s="26"/>
      <c r="AHS385" s="26"/>
      <c r="AHT385" s="26"/>
      <c r="AHU385" s="26"/>
      <c r="AHV385" s="26"/>
      <c r="AHW385" s="26"/>
      <c r="AHX385" s="26"/>
      <c r="AHY385" s="26"/>
      <c r="AHZ385" s="26"/>
      <c r="AIA385" s="26"/>
      <c r="AIB385" s="26"/>
      <c r="AIC385" s="26"/>
      <c r="AID385" s="26"/>
      <c r="AIE385" s="26"/>
      <c r="AIF385" s="26"/>
      <c r="AIG385" s="26"/>
      <c r="AIH385" s="26"/>
      <c r="AII385" s="26"/>
      <c r="AIJ385" s="26"/>
      <c r="AIK385" s="26"/>
      <c r="AIL385" s="26"/>
      <c r="AIM385" s="26"/>
      <c r="AIN385" s="26"/>
      <c r="AIO385" s="26"/>
      <c r="AIP385" s="26"/>
      <c r="AIQ385" s="26"/>
      <c r="AIR385" s="26"/>
      <c r="AIS385" s="26"/>
      <c r="AIT385" s="26"/>
      <c r="AIU385" s="26"/>
      <c r="AIV385" s="26"/>
      <c r="AIW385" s="26"/>
      <c r="AIX385" s="26"/>
      <c r="AIY385" s="26"/>
      <c r="AIZ385" s="26"/>
      <c r="AJA385" s="26"/>
      <c r="AJB385" s="26"/>
      <c r="AJC385" s="26"/>
      <c r="AJD385" s="26"/>
      <c r="AJE385" s="26"/>
      <c r="AJF385" s="26"/>
      <c r="AJG385" s="26"/>
      <c r="AJH385" s="26"/>
      <c r="AJI385" s="26"/>
      <c r="AJJ385" s="26"/>
      <c r="AJK385" s="26"/>
      <c r="AJL385" s="26"/>
      <c r="AJM385" s="26"/>
      <c r="AJN385" s="26"/>
      <c r="AJO385" s="26"/>
      <c r="AJP385" s="26"/>
      <c r="AJQ385" s="26"/>
      <c r="AJR385" s="26"/>
      <c r="AJS385" s="26"/>
      <c r="AJT385" s="26"/>
      <c r="AJU385" s="26"/>
      <c r="AJV385" s="26"/>
      <c r="AJW385" s="26"/>
      <c r="AJX385" s="26"/>
      <c r="AJY385" s="26"/>
      <c r="AJZ385" s="26"/>
      <c r="AKA385" s="26"/>
      <c r="AKB385" s="26"/>
      <c r="AKC385" s="26"/>
      <c r="AKD385" s="26"/>
      <c r="AKE385" s="26"/>
      <c r="AKF385" s="26"/>
      <c r="AKG385" s="26"/>
      <c r="AKH385" s="26"/>
      <c r="AKI385" s="26"/>
      <c r="AKJ385" s="26"/>
      <c r="AKK385" s="26"/>
      <c r="AKL385" s="26"/>
      <c r="AKM385" s="26"/>
      <c r="AKN385" s="26"/>
      <c r="AKO385" s="26"/>
      <c r="AKP385" s="26"/>
      <c r="AKQ385" s="26"/>
      <c r="AKR385" s="26"/>
      <c r="AKS385" s="26"/>
      <c r="AKT385" s="26"/>
      <c r="AKU385" s="26"/>
      <c r="AKV385" s="26"/>
      <c r="AKW385" s="26"/>
      <c r="AKX385" s="26"/>
      <c r="AKY385" s="26"/>
      <c r="AKZ385" s="26"/>
      <c r="ALA385" s="26"/>
      <c r="ALB385" s="26"/>
      <c r="ALC385" s="26"/>
      <c r="ALD385" s="26"/>
      <c r="ALE385" s="26"/>
      <c r="ALF385" s="26"/>
      <c r="ALG385" s="26"/>
      <c r="ALH385" s="26"/>
      <c r="ALI385" s="26"/>
      <c r="ALJ385" s="26"/>
      <c r="ALK385" s="26"/>
      <c r="ALL385" s="26"/>
      <c r="ALM385" s="26"/>
      <c r="ALN385" s="26"/>
      <c r="ALO385" s="26"/>
      <c r="ALP385" s="26"/>
      <c r="ALQ385" s="26"/>
      <c r="ALR385" s="26"/>
      <c r="ALS385" s="26"/>
      <c r="ALT385" s="26"/>
      <c r="ALU385" s="26"/>
      <c r="ALV385" s="26"/>
      <c r="ALW385" s="26"/>
      <c r="ALX385" s="26"/>
      <c r="ALY385" s="26"/>
      <c r="ALZ385" s="26"/>
      <c r="AMA385" s="26"/>
      <c r="AMB385" s="26"/>
      <c r="AMC385" s="26"/>
      <c r="AMD385" s="26"/>
      <c r="AME385" s="26"/>
      <c r="AMF385" s="26"/>
      <c r="AMG385" s="26"/>
      <c r="AMH385" s="26"/>
      <c r="AMI385" s="26"/>
      <c r="AMJ385" s="26"/>
      <c r="AMK385" s="26"/>
      <c r="AML385" s="26"/>
      <c r="AMM385" s="26"/>
      <c r="AMN385" s="26"/>
      <c r="AMO385" s="26"/>
      <c r="AMP385" s="26"/>
      <c r="AMQ385" s="26"/>
      <c r="AMR385" s="26"/>
      <c r="AMS385" s="26"/>
      <c r="AMT385" s="26"/>
      <c r="AMU385" s="26"/>
      <c r="AMV385" s="26"/>
      <c r="AMW385" s="26"/>
      <c r="AMX385" s="26"/>
      <c r="AMY385" s="26"/>
      <c r="AMZ385" s="26"/>
      <c r="ANA385" s="26"/>
      <c r="ANB385" s="26"/>
      <c r="ANC385" s="26"/>
      <c r="AND385" s="26"/>
      <c r="ANE385" s="26"/>
      <c r="ANF385" s="26"/>
      <c r="ANG385" s="26"/>
      <c r="ANH385" s="26"/>
      <c r="ANI385" s="26"/>
      <c r="ANJ385" s="26"/>
      <c r="ANK385" s="26"/>
      <c r="ANL385" s="26"/>
      <c r="ANM385" s="26"/>
      <c r="ANN385" s="26"/>
      <c r="ANO385" s="26"/>
      <c r="ANP385" s="26"/>
      <c r="ANQ385" s="26"/>
      <c r="ANR385" s="26"/>
      <c r="ANS385" s="26"/>
      <c r="ANT385" s="26"/>
      <c r="ANU385" s="26"/>
      <c r="ANV385" s="26"/>
      <c r="ANW385" s="26"/>
      <c r="ANX385" s="26"/>
      <c r="ANY385" s="26"/>
      <c r="ANZ385" s="26"/>
      <c r="AOA385" s="26"/>
      <c r="AOB385" s="26"/>
      <c r="AOC385" s="26"/>
      <c r="AOD385" s="26"/>
      <c r="AOE385" s="26"/>
      <c r="AOF385" s="26"/>
      <c r="AOG385" s="26"/>
      <c r="AOH385" s="26"/>
      <c r="AOI385" s="26"/>
      <c r="AOJ385" s="26"/>
      <c r="AOK385" s="26"/>
      <c r="AOL385" s="26"/>
      <c r="AOM385" s="26"/>
      <c r="AON385" s="26"/>
      <c r="AOO385" s="26"/>
      <c r="AOP385" s="26"/>
      <c r="AOQ385" s="26"/>
      <c r="AOR385" s="26"/>
      <c r="AOS385" s="26"/>
      <c r="AOT385" s="26"/>
      <c r="AOU385" s="26"/>
      <c r="AOV385" s="26"/>
      <c r="AOW385" s="26"/>
      <c r="AOX385" s="26"/>
      <c r="AOY385" s="26"/>
      <c r="AOZ385" s="26"/>
      <c r="APA385" s="26"/>
      <c r="APB385" s="26"/>
      <c r="APC385" s="26"/>
      <c r="APD385" s="26"/>
      <c r="APE385" s="26"/>
      <c r="APF385" s="26"/>
      <c r="APG385" s="26"/>
      <c r="APH385" s="26"/>
      <c r="API385" s="26"/>
      <c r="APJ385" s="26"/>
      <c r="APK385" s="26"/>
      <c r="APL385" s="26"/>
      <c r="APM385" s="26"/>
      <c r="APN385" s="26"/>
      <c r="APO385" s="26"/>
      <c r="APP385" s="26"/>
      <c r="APQ385" s="26"/>
      <c r="APR385" s="26"/>
      <c r="APS385" s="26"/>
      <c r="APT385" s="26"/>
      <c r="APU385" s="26"/>
      <c r="APV385" s="26"/>
      <c r="APW385" s="26"/>
      <c r="APX385" s="26"/>
      <c r="APY385" s="26"/>
      <c r="APZ385" s="26"/>
      <c r="AQA385" s="26"/>
      <c r="AQB385" s="26"/>
      <c r="AQC385" s="26"/>
      <c r="AQD385" s="26"/>
      <c r="AQE385" s="26"/>
      <c r="AQF385" s="26"/>
      <c r="AQG385" s="26"/>
      <c r="AQH385" s="26"/>
      <c r="AQI385" s="26"/>
      <c r="AQJ385" s="26"/>
      <c r="AQK385" s="26"/>
      <c r="AQL385" s="26"/>
      <c r="AQM385" s="26"/>
      <c r="AQN385" s="26"/>
      <c r="AQO385" s="26"/>
      <c r="AQP385" s="26"/>
      <c r="AQQ385" s="26"/>
      <c r="AQR385" s="26"/>
      <c r="AQS385" s="26"/>
      <c r="AQT385" s="26"/>
      <c r="AQU385" s="26"/>
      <c r="AQV385" s="26"/>
      <c r="AQW385" s="26"/>
      <c r="AQX385" s="26"/>
      <c r="AQY385" s="26"/>
      <c r="AQZ385" s="26"/>
      <c r="ARA385" s="26"/>
      <c r="ARB385" s="26"/>
      <c r="ARC385" s="26"/>
      <c r="ARD385" s="26"/>
      <c r="ARE385" s="26"/>
      <c r="ARF385" s="26"/>
      <c r="ARG385" s="26"/>
      <c r="ARH385" s="26"/>
      <c r="ARI385" s="26"/>
      <c r="ARJ385" s="26"/>
      <c r="ARK385" s="26"/>
      <c r="ARL385" s="26"/>
      <c r="ARM385" s="26"/>
      <c r="ARN385" s="26"/>
      <c r="ARO385" s="26"/>
      <c r="ARP385" s="26"/>
      <c r="ARQ385" s="26"/>
      <c r="ARR385" s="26"/>
      <c r="ARS385" s="26"/>
      <c r="ART385" s="26"/>
      <c r="ARU385" s="26"/>
      <c r="ARV385" s="26"/>
      <c r="ARW385" s="26"/>
      <c r="ARX385" s="26"/>
      <c r="ARY385" s="26"/>
      <c r="ARZ385" s="26"/>
      <c r="ASA385" s="26"/>
      <c r="ASB385" s="26"/>
      <c r="ASC385" s="26"/>
      <c r="ASD385" s="26"/>
      <c r="ASE385" s="26"/>
      <c r="ASF385" s="26"/>
      <c r="ASG385" s="26"/>
      <c r="ASH385" s="26"/>
      <c r="ASI385" s="26"/>
      <c r="ASJ385" s="26"/>
      <c r="ASK385" s="26"/>
      <c r="ASL385" s="26"/>
      <c r="ASM385" s="26"/>
      <c r="ASN385" s="26"/>
      <c r="ASO385" s="26"/>
      <c r="ASP385" s="26"/>
      <c r="ASQ385" s="26"/>
      <c r="ASR385" s="26"/>
      <c r="ASS385" s="26"/>
      <c r="AST385" s="26"/>
      <c r="ASU385" s="26"/>
      <c r="ASV385" s="26"/>
      <c r="ASW385" s="26"/>
      <c r="ASX385" s="26"/>
      <c r="ASY385" s="26"/>
      <c r="ASZ385" s="26"/>
      <c r="ATA385" s="26"/>
      <c r="ATB385" s="26"/>
      <c r="ATC385" s="26"/>
      <c r="ATD385" s="26"/>
      <c r="ATE385" s="26"/>
      <c r="ATF385" s="26"/>
      <c r="ATG385" s="26"/>
      <c r="ATH385" s="26"/>
      <c r="ATI385" s="26"/>
      <c r="ATJ385" s="26"/>
      <c r="ATK385" s="26"/>
      <c r="ATL385" s="26"/>
      <c r="ATM385" s="26"/>
      <c r="ATN385" s="26"/>
      <c r="ATO385" s="26"/>
      <c r="ATP385" s="26"/>
      <c r="ATQ385" s="26"/>
      <c r="ATR385" s="26"/>
      <c r="ATS385" s="26"/>
      <c r="ATT385" s="26"/>
      <c r="ATU385" s="26"/>
      <c r="ATV385" s="26"/>
      <c r="ATW385" s="26"/>
      <c r="ATX385" s="26"/>
      <c r="ATY385" s="26"/>
      <c r="ATZ385" s="26"/>
      <c r="AUA385" s="26"/>
      <c r="AUB385" s="26"/>
      <c r="AUC385" s="26"/>
      <c r="AUD385" s="26"/>
      <c r="AUE385" s="26"/>
      <c r="AUF385" s="26"/>
      <c r="AUG385" s="26"/>
      <c r="AUH385" s="26"/>
      <c r="AUI385" s="26"/>
      <c r="AUJ385" s="26"/>
      <c r="AUK385" s="26"/>
      <c r="AUL385" s="26"/>
      <c r="AUM385" s="26"/>
      <c r="AUN385" s="26"/>
      <c r="AUO385" s="26"/>
      <c r="AUP385" s="26"/>
      <c r="AUQ385" s="26"/>
      <c r="AUR385" s="26"/>
      <c r="AUS385" s="26"/>
      <c r="AUT385" s="26"/>
      <c r="AUU385" s="26"/>
      <c r="AUV385" s="26"/>
      <c r="AUW385" s="26"/>
      <c r="AUX385" s="26"/>
      <c r="AUY385" s="26"/>
      <c r="AUZ385" s="26"/>
      <c r="AVA385" s="26"/>
      <c r="AVB385" s="26"/>
      <c r="AVC385" s="26"/>
      <c r="AVD385" s="26"/>
      <c r="AVE385" s="26"/>
      <c r="AVF385" s="26"/>
      <c r="AVG385" s="26"/>
      <c r="AVH385" s="26"/>
      <c r="AVI385" s="26"/>
      <c r="AVJ385" s="26"/>
      <c r="AVK385" s="26"/>
      <c r="AVL385" s="26"/>
      <c r="AVM385" s="26"/>
      <c r="AVN385" s="26"/>
      <c r="AVO385" s="26"/>
      <c r="AVP385" s="26"/>
      <c r="AVQ385" s="26"/>
      <c r="AVR385" s="26"/>
      <c r="AVS385" s="26"/>
      <c r="AVT385" s="26"/>
      <c r="AVU385" s="26"/>
      <c r="AVV385" s="26"/>
      <c r="AVW385" s="26"/>
      <c r="AVX385" s="26"/>
      <c r="AVY385" s="26"/>
      <c r="AVZ385" s="26"/>
      <c r="AWA385" s="26"/>
      <c r="AWB385" s="26"/>
      <c r="AWC385" s="26"/>
      <c r="AWD385" s="26"/>
      <c r="AWE385" s="26"/>
      <c r="AWF385" s="26"/>
      <c r="AWG385" s="26"/>
      <c r="AWH385" s="26"/>
      <c r="AWI385" s="26"/>
      <c r="AWJ385" s="26"/>
      <c r="AWK385" s="26"/>
      <c r="AWL385" s="26"/>
      <c r="AWM385" s="26"/>
      <c r="AWN385" s="26"/>
      <c r="AWO385" s="26"/>
      <c r="AWP385" s="26"/>
      <c r="AWQ385" s="26"/>
      <c r="AWR385" s="26"/>
      <c r="AWS385" s="26"/>
      <c r="AWT385" s="26"/>
      <c r="AWU385" s="26"/>
      <c r="AWV385" s="26"/>
      <c r="AWW385" s="26"/>
      <c r="AWX385" s="26"/>
      <c r="AWY385" s="26"/>
      <c r="AWZ385" s="26"/>
      <c r="AXA385" s="26"/>
      <c r="AXB385" s="26"/>
      <c r="AXC385" s="26"/>
      <c r="AXD385" s="26"/>
      <c r="AXE385" s="26"/>
      <c r="AXF385" s="26"/>
      <c r="AXG385" s="26"/>
      <c r="AXH385" s="26"/>
      <c r="AXI385" s="26"/>
      <c r="AXJ385" s="26"/>
      <c r="AXK385" s="26"/>
      <c r="AXL385" s="26"/>
      <c r="AXM385" s="26"/>
      <c r="AXN385" s="26"/>
      <c r="AXO385" s="26"/>
      <c r="AXP385" s="26"/>
      <c r="AXQ385" s="26"/>
      <c r="AXR385" s="26"/>
      <c r="AXS385" s="26"/>
      <c r="AXT385" s="26"/>
      <c r="AXU385" s="26"/>
      <c r="AXV385" s="26"/>
      <c r="AXW385" s="26"/>
      <c r="AXX385" s="26"/>
      <c r="AXY385" s="26"/>
      <c r="AXZ385" s="26"/>
      <c r="AYA385" s="26"/>
      <c r="AYB385" s="26"/>
      <c r="AYC385" s="26"/>
      <c r="AYD385" s="26"/>
      <c r="AYE385" s="26"/>
      <c r="AYF385" s="26"/>
      <c r="AYG385" s="26"/>
      <c r="AYH385" s="26"/>
      <c r="AYI385" s="26"/>
      <c r="AYJ385" s="26"/>
      <c r="AYK385" s="26"/>
      <c r="AYL385" s="26"/>
      <c r="AYM385" s="26"/>
      <c r="AYN385" s="26"/>
      <c r="AYO385" s="26"/>
      <c r="AYP385" s="26"/>
      <c r="AYQ385" s="26"/>
      <c r="AYR385" s="26"/>
      <c r="AYS385" s="26"/>
      <c r="AYT385" s="26"/>
      <c r="AYU385" s="26"/>
      <c r="AYV385" s="26"/>
      <c r="AYW385" s="26"/>
      <c r="AYX385" s="26"/>
      <c r="AYY385" s="26"/>
      <c r="AYZ385" s="26"/>
      <c r="AZA385" s="26"/>
      <c r="AZB385" s="26"/>
      <c r="AZC385" s="26"/>
      <c r="AZD385" s="26"/>
      <c r="AZE385" s="26"/>
      <c r="AZF385" s="26"/>
      <c r="AZG385" s="26"/>
      <c r="AZH385" s="26"/>
      <c r="AZI385" s="26"/>
      <c r="AZJ385" s="26"/>
      <c r="AZK385" s="26"/>
      <c r="AZL385" s="26"/>
      <c r="AZM385" s="26"/>
      <c r="AZN385" s="26"/>
      <c r="AZO385" s="26"/>
      <c r="AZP385" s="26"/>
      <c r="AZQ385" s="26"/>
      <c r="AZR385" s="26"/>
      <c r="AZS385" s="26"/>
      <c r="AZT385" s="26"/>
      <c r="AZU385" s="26"/>
      <c r="AZV385" s="26"/>
      <c r="AZW385" s="26"/>
      <c r="AZX385" s="26"/>
      <c r="AZY385" s="26"/>
      <c r="AZZ385" s="26"/>
      <c r="BAA385" s="26"/>
      <c r="BAB385" s="26"/>
      <c r="BAC385" s="26"/>
      <c r="BAD385" s="26"/>
      <c r="BAE385" s="26"/>
      <c r="BAF385" s="26"/>
      <c r="BAG385" s="26"/>
      <c r="BAH385" s="26"/>
      <c r="BAI385" s="26"/>
      <c r="BAJ385" s="26"/>
      <c r="BAK385" s="26"/>
      <c r="BAL385" s="26"/>
      <c r="BAM385" s="26"/>
      <c r="BAN385" s="26"/>
      <c r="BAO385" s="26"/>
      <c r="BAP385" s="26"/>
      <c r="BAQ385" s="26"/>
      <c r="BAR385" s="26"/>
      <c r="BAS385" s="26"/>
      <c r="BAT385" s="26"/>
      <c r="BAU385" s="26"/>
      <c r="BAV385" s="26"/>
      <c r="BAW385" s="26"/>
      <c r="BAX385" s="26"/>
      <c r="BAY385" s="26"/>
      <c r="BAZ385" s="26"/>
      <c r="BBA385" s="26"/>
      <c r="BBB385" s="26"/>
      <c r="BBC385" s="26"/>
      <c r="BBD385" s="26"/>
      <c r="BBE385" s="26"/>
      <c r="BBF385" s="26"/>
      <c r="BBG385" s="26"/>
      <c r="BBH385" s="26"/>
      <c r="BBI385" s="26"/>
      <c r="BBJ385" s="26"/>
      <c r="BBK385" s="26"/>
      <c r="BBL385" s="26"/>
      <c r="BBM385" s="26"/>
      <c r="BBN385" s="26"/>
      <c r="BBO385" s="26"/>
      <c r="BBP385" s="26"/>
      <c r="BBQ385" s="26"/>
      <c r="BBR385" s="26"/>
      <c r="BBS385" s="26"/>
      <c r="BBT385" s="26"/>
      <c r="BBU385" s="26"/>
      <c r="BBV385" s="26"/>
      <c r="BBW385" s="26"/>
      <c r="BBX385" s="26"/>
      <c r="BBY385" s="26"/>
      <c r="BBZ385" s="26"/>
      <c r="BCA385" s="26"/>
      <c r="BCB385" s="26"/>
      <c r="BCC385" s="26"/>
      <c r="BCD385" s="26"/>
      <c r="BCE385" s="26"/>
      <c r="BCF385" s="26"/>
      <c r="BCG385" s="26"/>
      <c r="BCH385" s="26"/>
      <c r="BCI385" s="26"/>
      <c r="BCJ385" s="26"/>
      <c r="BCK385" s="26"/>
      <c r="BCL385" s="26"/>
      <c r="BCM385" s="26"/>
      <c r="BCN385" s="26"/>
      <c r="BCO385" s="26"/>
      <c r="BCP385" s="26"/>
      <c r="BCQ385" s="26"/>
      <c r="BCR385" s="26"/>
      <c r="BCS385" s="26"/>
      <c r="BCT385" s="26"/>
      <c r="BCU385" s="26"/>
      <c r="BCV385" s="26"/>
      <c r="BCW385" s="26"/>
      <c r="BCX385" s="26"/>
      <c r="BCY385" s="26"/>
      <c r="BCZ385" s="26"/>
      <c r="BDA385" s="26"/>
      <c r="BDB385" s="26"/>
      <c r="BDC385" s="26"/>
      <c r="BDD385" s="26"/>
      <c r="BDE385" s="26"/>
      <c r="BDF385" s="26"/>
      <c r="BDG385" s="26"/>
      <c r="BDH385" s="26"/>
      <c r="BDI385" s="26"/>
      <c r="BDJ385" s="26"/>
      <c r="BDK385" s="26"/>
      <c r="BDL385" s="26"/>
      <c r="BDM385" s="26"/>
      <c r="BDN385" s="26"/>
      <c r="BDO385" s="26"/>
      <c r="BDP385" s="26"/>
      <c r="BDQ385" s="26"/>
      <c r="BDR385" s="26"/>
      <c r="BDS385" s="26"/>
      <c r="BDT385" s="26"/>
      <c r="BDU385" s="26"/>
      <c r="BDV385" s="26"/>
      <c r="BDW385" s="26"/>
      <c r="BDX385" s="26"/>
      <c r="BDY385" s="26"/>
      <c r="BDZ385" s="26"/>
      <c r="BEA385" s="26"/>
      <c r="BEB385" s="26"/>
      <c r="BEC385" s="26"/>
      <c r="BED385" s="26"/>
      <c r="BEE385" s="26"/>
      <c r="BEF385" s="26"/>
      <c r="BEG385" s="26"/>
      <c r="BEH385" s="26"/>
      <c r="BEI385" s="26"/>
      <c r="BEJ385" s="26"/>
      <c r="BEK385" s="26"/>
      <c r="BEL385" s="26"/>
      <c r="BEM385" s="26"/>
      <c r="BEN385" s="26"/>
      <c r="BEO385" s="26"/>
      <c r="BEP385" s="26"/>
      <c r="BEQ385" s="26"/>
      <c r="BER385" s="26"/>
      <c r="BES385" s="26"/>
      <c r="BET385" s="26"/>
      <c r="BEU385" s="26"/>
      <c r="BEV385" s="26"/>
      <c r="BEW385" s="26"/>
      <c r="BEX385" s="26"/>
      <c r="BEY385" s="26"/>
      <c r="BEZ385" s="26"/>
      <c r="BFA385" s="26"/>
      <c r="BFB385" s="26"/>
      <c r="BFC385" s="26"/>
      <c r="BFD385" s="26"/>
      <c r="BFE385" s="26"/>
      <c r="BFF385" s="26"/>
      <c r="BFG385" s="26"/>
      <c r="BFH385" s="26"/>
      <c r="BFI385" s="26"/>
      <c r="BFJ385" s="26"/>
      <c r="BFK385" s="26"/>
      <c r="BFL385" s="26"/>
      <c r="BFM385" s="26"/>
      <c r="BFN385" s="26"/>
      <c r="BFO385" s="26"/>
      <c r="BFP385" s="26"/>
      <c r="BFQ385" s="26"/>
      <c r="BFR385" s="26"/>
      <c r="BFS385" s="26"/>
      <c r="BFT385" s="26"/>
      <c r="BFU385" s="26"/>
      <c r="BFV385" s="26"/>
      <c r="BFW385" s="26"/>
      <c r="BFX385" s="26"/>
      <c r="BFY385" s="26"/>
      <c r="BFZ385" s="26"/>
      <c r="BGA385" s="26"/>
      <c r="BGB385" s="26"/>
      <c r="BGC385" s="26"/>
      <c r="BGD385" s="26"/>
      <c r="BGE385" s="26"/>
      <c r="BGF385" s="26"/>
      <c r="BGG385" s="26"/>
      <c r="BGH385" s="26"/>
      <c r="BGI385" s="26"/>
      <c r="BGJ385" s="26"/>
      <c r="BGK385" s="26"/>
      <c r="BGL385" s="26"/>
      <c r="BGM385" s="26"/>
      <c r="BGN385" s="26"/>
      <c r="BGO385" s="26"/>
      <c r="BGP385" s="26"/>
      <c r="BGQ385" s="26"/>
      <c r="BGR385" s="26"/>
      <c r="BGS385" s="26"/>
      <c r="BGT385" s="26"/>
      <c r="BGU385" s="26"/>
      <c r="BGV385" s="26"/>
      <c r="BGW385" s="26"/>
      <c r="BGX385" s="26"/>
      <c r="BGY385" s="26"/>
      <c r="BGZ385" s="26"/>
      <c r="BHA385" s="26"/>
      <c r="BHB385" s="26"/>
      <c r="BHC385" s="26"/>
      <c r="BHD385" s="26"/>
      <c r="BHE385" s="26"/>
      <c r="BHF385" s="26"/>
      <c r="BHG385" s="26"/>
      <c r="BHH385" s="26"/>
      <c r="BHI385" s="26"/>
      <c r="BHJ385" s="26"/>
      <c r="BHK385" s="26"/>
      <c r="BHL385" s="26"/>
      <c r="BHM385" s="26"/>
      <c r="BHN385" s="26"/>
      <c r="BHO385" s="26"/>
      <c r="BHP385" s="26"/>
      <c r="BHQ385" s="26"/>
      <c r="BHR385" s="26"/>
      <c r="BHS385" s="26"/>
      <c r="BHT385" s="26"/>
      <c r="BHU385" s="26"/>
      <c r="BHV385" s="26"/>
      <c r="BHW385" s="26"/>
      <c r="BHX385" s="26"/>
      <c r="BHY385" s="26"/>
      <c r="BHZ385" s="26"/>
      <c r="BIA385" s="26"/>
      <c r="BIB385" s="26"/>
      <c r="BIC385" s="26"/>
      <c r="BID385" s="26"/>
      <c r="BIE385" s="26"/>
      <c r="BIF385" s="26"/>
      <c r="BIG385" s="26"/>
      <c r="BIH385" s="26"/>
      <c r="BII385" s="26"/>
      <c r="BIJ385" s="26"/>
      <c r="BIK385" s="26"/>
      <c r="BIL385" s="26"/>
      <c r="BIM385" s="26"/>
      <c r="BIN385" s="26"/>
      <c r="BIO385" s="26"/>
      <c r="BIP385" s="26"/>
      <c r="BIQ385" s="26"/>
      <c r="BIR385" s="26"/>
      <c r="BIS385" s="26"/>
      <c r="BIT385" s="26"/>
      <c r="BIU385" s="26"/>
      <c r="BIV385" s="26"/>
      <c r="BIW385" s="26"/>
      <c r="BIX385" s="26"/>
      <c r="BIY385" s="26"/>
      <c r="BIZ385" s="26"/>
      <c r="BJA385" s="26"/>
      <c r="BJB385" s="26"/>
      <c r="BJC385" s="26"/>
      <c r="BJD385" s="26"/>
      <c r="BJE385" s="26"/>
      <c r="BJF385" s="26"/>
      <c r="BJG385" s="26"/>
      <c r="BJH385" s="26"/>
      <c r="BJI385" s="26"/>
      <c r="BJJ385" s="26"/>
      <c r="BJK385" s="26"/>
      <c r="BJL385" s="26"/>
      <c r="BJM385" s="26"/>
      <c r="BJN385" s="26"/>
      <c r="BJO385" s="26"/>
      <c r="BJP385" s="26"/>
      <c r="BJQ385" s="26"/>
      <c r="BJR385" s="26"/>
      <c r="BJS385" s="26"/>
      <c r="BJT385" s="26"/>
      <c r="BJU385" s="26"/>
      <c r="BJV385" s="26"/>
      <c r="BJW385" s="26"/>
      <c r="BJX385" s="26"/>
      <c r="BJY385" s="26"/>
      <c r="BJZ385" s="26"/>
      <c r="BKA385" s="26"/>
      <c r="BKB385" s="26"/>
      <c r="BKC385" s="26"/>
      <c r="BKD385" s="26"/>
      <c r="BKE385" s="26"/>
      <c r="BKF385" s="26"/>
      <c r="BKG385" s="26"/>
      <c r="BKH385" s="26"/>
      <c r="BKI385" s="26"/>
      <c r="BKJ385" s="26"/>
      <c r="BKK385" s="26"/>
      <c r="BKL385" s="26"/>
      <c r="BKM385" s="26"/>
      <c r="BKN385" s="26"/>
      <c r="BKO385" s="26"/>
      <c r="BKP385" s="26"/>
      <c r="BKQ385" s="26"/>
      <c r="BKR385" s="26"/>
      <c r="BKS385" s="26"/>
      <c r="BKT385" s="26"/>
      <c r="BKU385" s="26"/>
      <c r="BKV385" s="26"/>
      <c r="BKW385" s="26"/>
      <c r="BKX385" s="26"/>
      <c r="BKY385" s="26"/>
      <c r="BKZ385" s="26"/>
      <c r="BLA385" s="26"/>
      <c r="BLB385" s="26"/>
      <c r="BLC385" s="26"/>
      <c r="BLD385" s="26"/>
      <c r="BLE385" s="26"/>
      <c r="BLF385" s="26"/>
      <c r="BLG385" s="26"/>
      <c r="BLH385" s="26"/>
      <c r="BLI385" s="26"/>
      <c r="BLJ385" s="26"/>
      <c r="BLK385" s="26"/>
      <c r="BLL385" s="26"/>
      <c r="BLM385" s="26"/>
      <c r="BLN385" s="26"/>
      <c r="BLO385" s="26"/>
      <c r="BLP385" s="26"/>
      <c r="BLQ385" s="26"/>
      <c r="BLR385" s="26"/>
      <c r="BLS385" s="26"/>
      <c r="BLT385" s="26"/>
      <c r="BLU385" s="26"/>
      <c r="BLV385" s="26"/>
      <c r="BLW385" s="26"/>
      <c r="BLX385" s="26"/>
      <c r="BLY385" s="26"/>
      <c r="BLZ385" s="26"/>
      <c r="BMA385" s="26"/>
      <c r="BMB385" s="26"/>
      <c r="BMC385" s="26"/>
      <c r="BMD385" s="26"/>
      <c r="BME385" s="26"/>
      <c r="BMF385" s="26"/>
      <c r="BMG385" s="26"/>
      <c r="BMH385" s="26"/>
      <c r="BMI385" s="26"/>
      <c r="BMJ385" s="26"/>
      <c r="BMK385" s="26"/>
      <c r="BML385" s="26"/>
      <c r="BMM385" s="26"/>
      <c r="BMN385" s="26"/>
      <c r="BMO385" s="26"/>
      <c r="BMP385" s="26"/>
      <c r="BMQ385" s="26"/>
      <c r="BMR385" s="26"/>
      <c r="BMS385" s="26"/>
      <c r="BMT385" s="26"/>
      <c r="BMU385" s="26"/>
      <c r="BMV385" s="26"/>
      <c r="BMW385" s="26"/>
      <c r="BMX385" s="26"/>
      <c r="BMY385" s="26"/>
      <c r="BMZ385" s="26"/>
      <c r="BNA385" s="26"/>
      <c r="BNB385" s="26"/>
      <c r="BNC385" s="26"/>
      <c r="BND385" s="26"/>
      <c r="BNE385" s="26"/>
      <c r="BNF385" s="26"/>
      <c r="BNG385" s="26"/>
      <c r="BNH385" s="26"/>
      <c r="BNI385" s="26"/>
      <c r="BNJ385" s="26"/>
      <c r="BNK385" s="26"/>
      <c r="BNL385" s="26"/>
      <c r="BNM385" s="26"/>
      <c r="BNN385" s="26"/>
      <c r="BNO385" s="26"/>
      <c r="BNP385" s="26"/>
      <c r="BNQ385" s="26"/>
      <c r="BNR385" s="26"/>
      <c r="BNS385" s="26"/>
      <c r="BNT385" s="26"/>
      <c r="BNU385" s="26"/>
      <c r="BNV385" s="26"/>
      <c r="BNW385" s="26"/>
      <c r="BNX385" s="26"/>
      <c r="BNY385" s="26"/>
      <c r="BNZ385" s="26"/>
      <c r="BOA385" s="26"/>
      <c r="BOB385" s="26"/>
      <c r="BOC385" s="26"/>
      <c r="BOD385" s="26"/>
      <c r="BOE385" s="26"/>
      <c r="BOF385" s="26"/>
      <c r="BOG385" s="26"/>
      <c r="BOH385" s="26"/>
      <c r="BOI385" s="26"/>
      <c r="BOJ385" s="26"/>
      <c r="BOK385" s="26"/>
      <c r="BOL385" s="26"/>
      <c r="BOM385" s="26"/>
      <c r="BON385" s="26"/>
      <c r="BOO385" s="26"/>
      <c r="BOP385" s="26"/>
      <c r="BOQ385" s="26"/>
      <c r="BOR385" s="26"/>
      <c r="BOS385" s="26"/>
      <c r="BOT385" s="26"/>
      <c r="BOU385" s="26"/>
      <c r="BOV385" s="26"/>
      <c r="BOW385" s="26"/>
      <c r="BOX385" s="26"/>
      <c r="BOY385" s="26"/>
      <c r="BOZ385" s="26"/>
      <c r="BPA385" s="26"/>
      <c r="BPB385" s="26"/>
      <c r="BPC385" s="26"/>
      <c r="BPD385" s="26"/>
      <c r="BPE385" s="26"/>
      <c r="BPF385" s="26"/>
      <c r="BPG385" s="26"/>
      <c r="BPH385" s="26"/>
      <c r="BPI385" s="26"/>
      <c r="BPJ385" s="26"/>
      <c r="BPK385" s="26"/>
      <c r="BPL385" s="26"/>
      <c r="BPM385" s="26"/>
      <c r="BPN385" s="26"/>
      <c r="BPO385" s="26"/>
      <c r="BPP385" s="26"/>
      <c r="BPQ385" s="26"/>
      <c r="BPR385" s="26"/>
      <c r="BPS385" s="26"/>
      <c r="BPT385" s="26"/>
      <c r="BPU385" s="26"/>
      <c r="BPV385" s="26"/>
      <c r="BPW385" s="26"/>
      <c r="BPX385" s="26"/>
      <c r="BPY385" s="26"/>
      <c r="BPZ385" s="26"/>
      <c r="BQA385" s="26"/>
      <c r="BQB385" s="26"/>
      <c r="BQC385" s="26"/>
      <c r="BQD385" s="26"/>
      <c r="BQE385" s="26"/>
      <c r="BQF385" s="26"/>
      <c r="BQG385" s="26"/>
      <c r="BQH385" s="26"/>
      <c r="BQI385" s="26"/>
      <c r="BQJ385" s="26"/>
      <c r="BQK385" s="26"/>
      <c r="BQL385" s="26"/>
      <c r="BQM385" s="26"/>
      <c r="BQN385" s="26"/>
      <c r="BQO385" s="26"/>
      <c r="BQP385" s="26"/>
      <c r="BQQ385" s="26"/>
      <c r="BQR385" s="26"/>
      <c r="BQS385" s="26"/>
      <c r="BQT385" s="26"/>
      <c r="BQU385" s="26"/>
      <c r="BQV385" s="26"/>
      <c r="BQW385" s="26"/>
      <c r="BQX385" s="26"/>
      <c r="BQY385" s="26"/>
      <c r="BQZ385" s="26"/>
      <c r="BRA385" s="26"/>
      <c r="BRB385" s="26"/>
      <c r="BRC385" s="26"/>
      <c r="BRD385" s="26"/>
      <c r="BRE385" s="26"/>
      <c r="BRF385" s="26"/>
      <c r="BRG385" s="26"/>
      <c r="BRH385" s="26"/>
      <c r="BRI385" s="26"/>
      <c r="BRJ385" s="26"/>
      <c r="BRK385" s="26"/>
      <c r="BRL385" s="26"/>
      <c r="BRM385" s="26"/>
      <c r="BRN385" s="26"/>
      <c r="BRO385" s="26"/>
      <c r="BRP385" s="26"/>
      <c r="BRQ385" s="26"/>
      <c r="BRR385" s="26"/>
      <c r="BRS385" s="26"/>
      <c r="BRT385" s="26"/>
      <c r="BRU385" s="26"/>
      <c r="BRV385" s="26"/>
      <c r="BRW385" s="26"/>
      <c r="BRX385" s="26"/>
      <c r="BRY385" s="26"/>
      <c r="BRZ385" s="26"/>
      <c r="BSA385" s="26"/>
      <c r="BSB385" s="26"/>
      <c r="BSC385" s="26"/>
      <c r="BSD385" s="26"/>
      <c r="BSE385" s="26"/>
      <c r="BSF385" s="26"/>
      <c r="BSG385" s="26"/>
      <c r="BSH385" s="26"/>
      <c r="BSI385" s="26"/>
      <c r="BSJ385" s="26"/>
      <c r="BSK385" s="26"/>
      <c r="BSL385" s="26"/>
      <c r="BSM385" s="26"/>
      <c r="BSN385" s="26"/>
      <c r="BSO385" s="26"/>
      <c r="BSP385" s="26"/>
      <c r="BSQ385" s="26"/>
      <c r="BSR385" s="26"/>
      <c r="BSS385" s="26"/>
      <c r="BST385" s="26"/>
      <c r="BSU385" s="26"/>
      <c r="BSV385" s="26"/>
      <c r="BSW385" s="26"/>
      <c r="BSX385" s="26"/>
      <c r="BSY385" s="26"/>
      <c r="BSZ385" s="26"/>
      <c r="BTA385" s="26"/>
      <c r="BTB385" s="26"/>
      <c r="BTC385" s="26"/>
      <c r="BTD385" s="26"/>
      <c r="BTE385" s="26"/>
      <c r="BTF385" s="26"/>
      <c r="BTG385" s="26"/>
      <c r="BTH385" s="26"/>
      <c r="BTI385" s="26"/>
      <c r="BTJ385" s="26"/>
      <c r="BTK385" s="26"/>
      <c r="BTL385" s="26"/>
      <c r="BTM385" s="26"/>
      <c r="BTN385" s="26"/>
      <c r="BTO385" s="26"/>
      <c r="BTP385" s="26"/>
      <c r="BTQ385" s="26"/>
      <c r="BTR385" s="26"/>
      <c r="BTS385" s="26"/>
      <c r="BTT385" s="26"/>
      <c r="BTU385" s="26"/>
      <c r="BTV385" s="26"/>
      <c r="BTW385" s="26"/>
      <c r="BTX385" s="26"/>
      <c r="BTY385" s="26"/>
      <c r="BTZ385" s="26"/>
      <c r="BUA385" s="26"/>
      <c r="BUB385" s="26"/>
      <c r="BUC385" s="26"/>
      <c r="BUD385" s="26"/>
      <c r="BUE385" s="26"/>
      <c r="BUF385" s="26"/>
      <c r="BUG385" s="26"/>
      <c r="BUH385" s="26"/>
      <c r="BUI385" s="26"/>
      <c r="BUJ385" s="26"/>
      <c r="BUK385" s="26"/>
      <c r="BUL385" s="26"/>
      <c r="BUM385" s="26"/>
      <c r="BUN385" s="26"/>
      <c r="BUO385" s="26"/>
      <c r="BUP385" s="26"/>
      <c r="BUQ385" s="26"/>
      <c r="BUR385" s="26"/>
      <c r="BUS385" s="26"/>
      <c r="BUT385" s="26"/>
      <c r="BUU385" s="26"/>
      <c r="BUV385" s="26"/>
      <c r="BUW385" s="26"/>
      <c r="BUX385" s="26"/>
      <c r="BUY385" s="26"/>
      <c r="BUZ385" s="26"/>
      <c r="BVA385" s="26"/>
      <c r="BVB385" s="26"/>
      <c r="BVC385" s="26"/>
      <c r="BVD385" s="26"/>
      <c r="BVE385" s="26"/>
      <c r="BVF385" s="26"/>
      <c r="BVG385" s="26"/>
      <c r="BVH385" s="26"/>
      <c r="BVI385" s="26"/>
      <c r="BVJ385" s="26"/>
      <c r="BVK385" s="26"/>
      <c r="BVL385" s="26"/>
      <c r="BVM385" s="26"/>
      <c r="BVN385" s="26"/>
      <c r="BVO385" s="26"/>
      <c r="BVP385" s="26"/>
      <c r="BVQ385" s="26"/>
      <c r="BVR385" s="26"/>
      <c r="BVS385" s="26"/>
      <c r="BVT385" s="26"/>
      <c r="BVU385" s="26"/>
      <c r="BVV385" s="26"/>
      <c r="BVW385" s="26"/>
      <c r="BVX385" s="26"/>
      <c r="BVY385" s="26"/>
      <c r="BVZ385" s="26"/>
      <c r="BWA385" s="26"/>
      <c r="BWB385" s="26"/>
      <c r="BWC385" s="26"/>
      <c r="BWD385" s="26"/>
      <c r="BWE385" s="26"/>
      <c r="BWF385" s="26"/>
      <c r="BWG385" s="26"/>
      <c r="BWH385" s="26"/>
      <c r="BWI385" s="26"/>
      <c r="BWJ385" s="26"/>
      <c r="BWK385" s="26"/>
      <c r="BWL385" s="26"/>
      <c r="BWM385" s="26"/>
      <c r="BWN385" s="26"/>
      <c r="BWO385" s="26"/>
      <c r="BWP385" s="26"/>
      <c r="BWQ385" s="26"/>
      <c r="BWR385" s="26"/>
      <c r="BWS385" s="26"/>
      <c r="BWT385" s="26"/>
      <c r="BWU385" s="26"/>
      <c r="BWV385" s="26"/>
      <c r="BWW385" s="26"/>
      <c r="BWX385" s="26"/>
      <c r="BWY385" s="26"/>
      <c r="BWZ385" s="26"/>
      <c r="BXA385" s="26"/>
      <c r="BXB385" s="26"/>
      <c r="BXC385" s="26"/>
      <c r="BXD385" s="26"/>
      <c r="BXE385" s="26"/>
      <c r="BXF385" s="26"/>
      <c r="BXG385" s="26"/>
      <c r="BXH385" s="26"/>
      <c r="BXI385" s="26"/>
      <c r="BXJ385" s="26"/>
      <c r="BXK385" s="26"/>
      <c r="BXL385" s="26"/>
      <c r="BXM385" s="26"/>
      <c r="BXN385" s="26"/>
      <c r="BXO385" s="26"/>
      <c r="BXP385" s="26"/>
      <c r="BXQ385" s="26"/>
      <c r="BXR385" s="26"/>
      <c r="BXS385" s="26"/>
      <c r="BXT385" s="26"/>
      <c r="BXU385" s="26"/>
      <c r="BXV385" s="26"/>
      <c r="BXW385" s="26"/>
      <c r="BXX385" s="26"/>
      <c r="BXY385" s="26"/>
      <c r="BXZ385" s="26"/>
      <c r="BYA385" s="26"/>
      <c r="BYB385" s="26"/>
      <c r="BYC385" s="26"/>
      <c r="BYD385" s="26"/>
      <c r="BYE385" s="26"/>
      <c r="BYF385" s="26"/>
      <c r="BYG385" s="26"/>
      <c r="BYH385" s="26"/>
      <c r="BYI385" s="26"/>
      <c r="BYJ385" s="26"/>
      <c r="BYK385" s="26"/>
      <c r="BYL385" s="26"/>
      <c r="BYM385" s="26"/>
      <c r="BYN385" s="26"/>
      <c r="BYO385" s="26"/>
      <c r="BYP385" s="26"/>
      <c r="BYQ385" s="26"/>
      <c r="BYR385" s="26"/>
      <c r="BYS385" s="26"/>
      <c r="BYT385" s="26"/>
      <c r="BYU385" s="26"/>
      <c r="BYV385" s="26"/>
      <c r="BYW385" s="26"/>
      <c r="BYX385" s="26"/>
      <c r="BYY385" s="26"/>
      <c r="BYZ385" s="26"/>
      <c r="BZA385" s="26"/>
      <c r="BZB385" s="26"/>
      <c r="BZC385" s="26"/>
      <c r="BZD385" s="26"/>
      <c r="BZE385" s="26"/>
      <c r="BZF385" s="26"/>
      <c r="BZG385" s="26"/>
      <c r="BZH385" s="26"/>
      <c r="BZI385" s="26"/>
      <c r="BZJ385" s="26"/>
      <c r="BZK385" s="26"/>
      <c r="BZL385" s="26"/>
      <c r="BZM385" s="26"/>
      <c r="BZN385" s="26"/>
      <c r="BZO385" s="26"/>
      <c r="BZP385" s="26"/>
      <c r="BZQ385" s="26"/>
      <c r="BZR385" s="26"/>
      <c r="BZS385" s="26"/>
      <c r="BZT385" s="26"/>
      <c r="BZU385" s="26"/>
      <c r="BZV385" s="26"/>
      <c r="BZW385" s="26"/>
      <c r="BZX385" s="26"/>
      <c r="BZY385" s="26"/>
      <c r="BZZ385" s="26"/>
      <c r="CAA385" s="26"/>
      <c r="CAB385" s="26"/>
      <c r="CAC385" s="26"/>
      <c r="CAD385" s="26"/>
      <c r="CAE385" s="26"/>
      <c r="CAF385" s="26"/>
      <c r="CAG385" s="26"/>
      <c r="CAH385" s="26"/>
      <c r="CAI385" s="26"/>
      <c r="CAJ385" s="26"/>
      <c r="CAK385" s="26"/>
      <c r="CAL385" s="26"/>
      <c r="CAM385" s="26"/>
      <c r="CAN385" s="26"/>
      <c r="CAO385" s="26"/>
      <c r="CAP385" s="26"/>
      <c r="CAQ385" s="26"/>
      <c r="CAR385" s="26"/>
      <c r="CAS385" s="26"/>
      <c r="CAT385" s="26"/>
      <c r="CAU385" s="26"/>
      <c r="CAV385" s="26"/>
      <c r="CAW385" s="26"/>
      <c r="CAX385" s="26"/>
      <c r="CAY385" s="26"/>
      <c r="CAZ385" s="26"/>
      <c r="CBA385" s="26"/>
      <c r="CBB385" s="26"/>
      <c r="CBC385" s="26"/>
      <c r="CBD385" s="26"/>
      <c r="CBE385" s="26"/>
      <c r="CBF385" s="26"/>
      <c r="CBG385" s="26"/>
      <c r="CBH385" s="26"/>
      <c r="CBI385" s="26"/>
    </row>
    <row r="386" spans="1:2089" ht="14" customHeight="1">
      <c r="A386" s="27">
        <v>385</v>
      </c>
      <c r="B386" s="63" t="s">
        <v>455</v>
      </c>
      <c r="C386" s="63">
        <v>2010</v>
      </c>
      <c r="D386" s="26" t="s">
        <v>73</v>
      </c>
      <c r="E386" s="26" t="s">
        <v>563</v>
      </c>
      <c r="F386" s="77" t="s">
        <v>175</v>
      </c>
      <c r="G386" s="2" t="s">
        <v>105</v>
      </c>
      <c r="H386" s="2" t="s">
        <v>24</v>
      </c>
      <c r="I386" s="2" t="s">
        <v>548</v>
      </c>
      <c r="J386" s="2" t="s">
        <v>604</v>
      </c>
      <c r="K386" s="2" t="s">
        <v>548</v>
      </c>
      <c r="L386" s="2" t="s">
        <v>548</v>
      </c>
      <c r="M386" s="2" t="s">
        <v>548</v>
      </c>
      <c r="N386" s="2" t="s">
        <v>50</v>
      </c>
      <c r="O386" s="2" t="s">
        <v>43</v>
      </c>
      <c r="P386" s="2" t="s">
        <v>50</v>
      </c>
      <c r="Q386" s="2" t="s">
        <v>42</v>
      </c>
      <c r="R386" s="79" t="s">
        <v>613</v>
      </c>
      <c r="S386" s="88">
        <v>0.86</v>
      </c>
      <c r="T386" s="26">
        <v>49</v>
      </c>
      <c r="U386" s="77">
        <v>1</v>
      </c>
      <c r="V386" s="26">
        <v>0</v>
      </c>
      <c r="W386" s="26">
        <v>1</v>
      </c>
      <c r="X386" s="26">
        <v>1</v>
      </c>
      <c r="Y386" s="26">
        <v>1</v>
      </c>
      <c r="Z386" s="26">
        <v>1</v>
      </c>
      <c r="AA386" s="26">
        <v>0</v>
      </c>
      <c r="AB386" s="26">
        <v>0</v>
      </c>
      <c r="AC386" s="26" t="s">
        <v>70</v>
      </c>
      <c r="AD386" s="26" t="s">
        <v>70</v>
      </c>
      <c r="AE386" s="26" t="s">
        <v>70</v>
      </c>
      <c r="AF386" s="26" t="s">
        <v>70</v>
      </c>
      <c r="AG386" s="26" t="s">
        <v>70</v>
      </c>
      <c r="AH386" s="26" t="s">
        <v>70</v>
      </c>
      <c r="AI386" s="33">
        <v>18</v>
      </c>
      <c r="AJ386" s="26" t="s">
        <v>70</v>
      </c>
      <c r="AK386" s="33" t="s">
        <v>70</v>
      </c>
      <c r="AL386" s="33" t="s">
        <v>70</v>
      </c>
      <c r="AM386" s="26" t="s">
        <v>175</v>
      </c>
      <c r="AN386" s="26" t="s">
        <v>615</v>
      </c>
      <c r="AO386" s="35" t="s">
        <v>548</v>
      </c>
      <c r="AP386" s="35" t="s">
        <v>175</v>
      </c>
      <c r="AQ386" s="35" t="s">
        <v>548</v>
      </c>
      <c r="AR386" s="35" t="s">
        <v>548</v>
      </c>
      <c r="AS386" s="26" t="s">
        <v>175</v>
      </c>
      <c r="AT386" s="26" t="s">
        <v>548</v>
      </c>
      <c r="AU386" s="40" t="s">
        <v>548</v>
      </c>
      <c r="AV386" s="26">
        <v>7</v>
      </c>
    </row>
    <row r="387" spans="1:2089" ht="14" customHeight="1">
      <c r="A387" s="27">
        <v>386</v>
      </c>
      <c r="B387" s="63" t="s">
        <v>455</v>
      </c>
      <c r="C387" s="63">
        <v>2010</v>
      </c>
      <c r="D387" s="26" t="s">
        <v>73</v>
      </c>
      <c r="E387" s="26" t="s">
        <v>563</v>
      </c>
      <c r="F387" s="77" t="s">
        <v>175</v>
      </c>
      <c r="G387" s="2" t="s">
        <v>105</v>
      </c>
      <c r="H387" s="2" t="s">
        <v>24</v>
      </c>
      <c r="I387" s="2" t="s">
        <v>548</v>
      </c>
      <c r="J387" s="2" t="s">
        <v>604</v>
      </c>
      <c r="K387" s="2" t="s">
        <v>548</v>
      </c>
      <c r="L387" s="2" t="s">
        <v>548</v>
      </c>
      <c r="M387" s="2" t="s">
        <v>548</v>
      </c>
      <c r="N387" s="2" t="s">
        <v>51</v>
      </c>
      <c r="O387" s="2" t="s">
        <v>43</v>
      </c>
      <c r="P387" s="2" t="s">
        <v>51</v>
      </c>
      <c r="Q387" s="2" t="s">
        <v>42</v>
      </c>
      <c r="R387" s="79" t="s">
        <v>613</v>
      </c>
      <c r="S387" s="88">
        <v>0.83</v>
      </c>
      <c r="T387" s="26">
        <v>70</v>
      </c>
      <c r="U387" s="77">
        <v>1</v>
      </c>
      <c r="V387" s="26">
        <v>0</v>
      </c>
      <c r="W387" s="26">
        <v>1</v>
      </c>
      <c r="X387" s="26">
        <v>1</v>
      </c>
      <c r="Y387" s="26">
        <v>1</v>
      </c>
      <c r="Z387" s="26">
        <v>1</v>
      </c>
      <c r="AA387" s="26">
        <v>0</v>
      </c>
      <c r="AB387" s="26">
        <v>0</v>
      </c>
      <c r="AC387" s="26" t="s">
        <v>70</v>
      </c>
      <c r="AD387" s="26" t="s">
        <v>70</v>
      </c>
      <c r="AE387" s="26" t="s">
        <v>70</v>
      </c>
      <c r="AF387" s="26" t="s">
        <v>70</v>
      </c>
      <c r="AG387" s="26" t="s">
        <v>70</v>
      </c>
      <c r="AH387" s="26" t="s">
        <v>70</v>
      </c>
      <c r="AI387" s="33">
        <v>235</v>
      </c>
      <c r="AJ387" s="26" t="s">
        <v>70</v>
      </c>
      <c r="AK387" s="33" t="s">
        <v>70</v>
      </c>
      <c r="AL387" s="33" t="s">
        <v>70</v>
      </c>
      <c r="AM387" s="26" t="s">
        <v>175</v>
      </c>
      <c r="AN387" s="26" t="s">
        <v>615</v>
      </c>
      <c r="AO387" s="35" t="s">
        <v>548</v>
      </c>
      <c r="AP387" s="35" t="s">
        <v>175</v>
      </c>
      <c r="AQ387" s="35" t="s">
        <v>548</v>
      </c>
      <c r="AR387" s="35" t="s">
        <v>548</v>
      </c>
      <c r="AS387" s="26" t="s">
        <v>175</v>
      </c>
      <c r="AT387" s="26" t="s">
        <v>548</v>
      </c>
      <c r="AU387" s="40" t="s">
        <v>548</v>
      </c>
      <c r="AV387" s="26">
        <v>7</v>
      </c>
    </row>
    <row r="388" spans="1:2089" ht="14" customHeight="1">
      <c r="A388" s="27">
        <v>387</v>
      </c>
      <c r="B388" s="63" t="s">
        <v>455</v>
      </c>
      <c r="C388" s="63">
        <v>2010</v>
      </c>
      <c r="D388" s="26" t="s">
        <v>73</v>
      </c>
      <c r="E388" s="26" t="s">
        <v>563</v>
      </c>
      <c r="F388" s="77" t="s">
        <v>175</v>
      </c>
      <c r="G388" s="2" t="s">
        <v>105</v>
      </c>
      <c r="H388" s="2" t="s">
        <v>24</v>
      </c>
      <c r="I388" s="2" t="s">
        <v>548</v>
      </c>
      <c r="J388" s="2" t="s">
        <v>604</v>
      </c>
      <c r="K388" s="2" t="s">
        <v>548</v>
      </c>
      <c r="L388" s="2" t="s">
        <v>548</v>
      </c>
      <c r="M388" s="2" t="s">
        <v>548</v>
      </c>
      <c r="N388" s="2" t="s">
        <v>608</v>
      </c>
      <c r="O388" s="2" t="s">
        <v>43</v>
      </c>
      <c r="P388" s="2" t="s">
        <v>608</v>
      </c>
      <c r="Q388" s="2" t="s">
        <v>42</v>
      </c>
      <c r="R388" s="79" t="s">
        <v>613</v>
      </c>
      <c r="S388" s="88">
        <v>0.67</v>
      </c>
      <c r="T388" s="26">
        <v>49</v>
      </c>
      <c r="U388" s="77">
        <v>1</v>
      </c>
      <c r="V388" s="26">
        <v>0</v>
      </c>
      <c r="W388" s="26">
        <v>1</v>
      </c>
      <c r="X388" s="26">
        <v>1</v>
      </c>
      <c r="Y388" s="26">
        <v>1</v>
      </c>
      <c r="Z388" s="26">
        <v>1</v>
      </c>
      <c r="AA388" s="26">
        <v>0</v>
      </c>
      <c r="AB388" s="26">
        <v>0</v>
      </c>
      <c r="AC388" s="26" t="s">
        <v>70</v>
      </c>
      <c r="AD388" s="26" t="s">
        <v>70</v>
      </c>
      <c r="AE388" s="26" t="s">
        <v>70</v>
      </c>
      <c r="AF388" s="26" t="s">
        <v>70</v>
      </c>
      <c r="AG388" s="26" t="s">
        <v>70</v>
      </c>
      <c r="AH388" s="26" t="s">
        <v>70</v>
      </c>
      <c r="AI388" s="33">
        <v>12</v>
      </c>
      <c r="AJ388" s="26" t="s">
        <v>70</v>
      </c>
      <c r="AK388" s="33" t="s">
        <v>70</v>
      </c>
      <c r="AL388" s="33" t="s">
        <v>70</v>
      </c>
      <c r="AM388" s="26" t="s">
        <v>175</v>
      </c>
      <c r="AN388" s="26" t="s">
        <v>615</v>
      </c>
      <c r="AO388" s="35" t="s">
        <v>548</v>
      </c>
      <c r="AP388" s="35" t="s">
        <v>175</v>
      </c>
      <c r="AQ388" s="35" t="s">
        <v>548</v>
      </c>
      <c r="AR388" s="35" t="s">
        <v>548</v>
      </c>
      <c r="AS388" s="26" t="s">
        <v>175</v>
      </c>
      <c r="AT388" s="26" t="s">
        <v>548</v>
      </c>
      <c r="AU388" s="40" t="s">
        <v>548</v>
      </c>
      <c r="AV388" s="26">
        <v>7</v>
      </c>
    </row>
    <row r="389" spans="1:2089" ht="14" customHeight="1">
      <c r="A389" s="27">
        <v>388</v>
      </c>
      <c r="B389" s="63" t="s">
        <v>455</v>
      </c>
      <c r="C389" s="63">
        <v>2010</v>
      </c>
      <c r="D389" s="26" t="s">
        <v>73</v>
      </c>
      <c r="E389" s="26" t="s">
        <v>563</v>
      </c>
      <c r="F389" s="77" t="s">
        <v>175</v>
      </c>
      <c r="G389" s="2" t="s">
        <v>105</v>
      </c>
      <c r="H389" s="2" t="s">
        <v>24</v>
      </c>
      <c r="I389" s="2" t="s">
        <v>548</v>
      </c>
      <c r="J389" s="2" t="s">
        <v>604</v>
      </c>
      <c r="K389" s="2" t="s">
        <v>548</v>
      </c>
      <c r="L389" s="2" t="s">
        <v>548</v>
      </c>
      <c r="M389" s="2" t="s">
        <v>548</v>
      </c>
      <c r="N389" s="2" t="s">
        <v>609</v>
      </c>
      <c r="O389" s="2" t="s">
        <v>60</v>
      </c>
      <c r="P389" s="2" t="s">
        <v>609</v>
      </c>
      <c r="Q389" s="2" t="s">
        <v>42</v>
      </c>
      <c r="R389" s="79" t="s">
        <v>613</v>
      </c>
      <c r="S389" s="88">
        <v>1</v>
      </c>
      <c r="T389" s="26">
        <v>24</v>
      </c>
      <c r="U389" s="77">
        <v>1</v>
      </c>
      <c r="V389" s="26">
        <v>0</v>
      </c>
      <c r="W389" s="26">
        <v>1</v>
      </c>
      <c r="X389" s="26">
        <v>1</v>
      </c>
      <c r="Y389" s="26">
        <v>1</v>
      </c>
      <c r="Z389" s="26">
        <v>1</v>
      </c>
      <c r="AA389" s="26">
        <v>0</v>
      </c>
      <c r="AB389" s="26">
        <v>0</v>
      </c>
      <c r="AC389" s="26" t="s">
        <v>70</v>
      </c>
      <c r="AD389" s="26" t="s">
        <v>70</v>
      </c>
      <c r="AE389" s="26" t="s">
        <v>70</v>
      </c>
      <c r="AF389" s="26" t="s">
        <v>70</v>
      </c>
      <c r="AG389" s="26" t="s">
        <v>70</v>
      </c>
      <c r="AH389" s="26" t="s">
        <v>70</v>
      </c>
      <c r="AI389" s="33">
        <v>1070</v>
      </c>
      <c r="AJ389" s="26" t="s">
        <v>70</v>
      </c>
      <c r="AK389" s="33" t="s">
        <v>70</v>
      </c>
      <c r="AL389" s="33" t="s">
        <v>70</v>
      </c>
      <c r="AM389" s="26" t="s">
        <v>175</v>
      </c>
      <c r="AN389" s="26" t="s">
        <v>615</v>
      </c>
      <c r="AO389" s="35" t="s">
        <v>548</v>
      </c>
      <c r="AP389" s="35" t="s">
        <v>175</v>
      </c>
      <c r="AQ389" s="35" t="s">
        <v>548</v>
      </c>
      <c r="AR389" s="35" t="s">
        <v>548</v>
      </c>
      <c r="AS389" s="26" t="s">
        <v>175</v>
      </c>
      <c r="AT389" s="26" t="s">
        <v>548</v>
      </c>
      <c r="AU389" s="40" t="s">
        <v>548</v>
      </c>
      <c r="AV389" s="26">
        <v>7</v>
      </c>
    </row>
    <row r="390" spans="1:2089" ht="14" customHeight="1">
      <c r="A390" s="27">
        <v>389</v>
      </c>
      <c r="B390" s="27" t="s">
        <v>456</v>
      </c>
      <c r="C390" s="26">
        <v>1994</v>
      </c>
      <c r="D390" s="26" t="s">
        <v>18</v>
      </c>
      <c r="E390" s="26" t="s">
        <v>566</v>
      </c>
      <c r="F390" s="77" t="s">
        <v>175</v>
      </c>
      <c r="G390" s="2" t="s">
        <v>84</v>
      </c>
      <c r="H390" s="2" t="s">
        <v>275</v>
      </c>
      <c r="I390" s="2" t="s">
        <v>548</v>
      </c>
      <c r="J390" s="2" t="s">
        <v>604</v>
      </c>
      <c r="K390" s="2" t="s">
        <v>548</v>
      </c>
      <c r="L390" s="2" t="s">
        <v>548</v>
      </c>
      <c r="M390" s="2" t="s">
        <v>175</v>
      </c>
      <c r="N390" s="2" t="s">
        <v>210</v>
      </c>
      <c r="O390" s="2" t="s">
        <v>43</v>
      </c>
      <c r="P390" s="2" t="s">
        <v>210</v>
      </c>
      <c r="Q390" s="2" t="s">
        <v>42</v>
      </c>
      <c r="R390" s="79" t="s">
        <v>613</v>
      </c>
      <c r="S390" s="88">
        <f>9/90</f>
        <v>0.1</v>
      </c>
      <c r="T390" s="61">
        <v>90</v>
      </c>
      <c r="U390" s="77">
        <v>1</v>
      </c>
      <c r="V390" s="26">
        <v>0</v>
      </c>
      <c r="W390" s="26">
        <v>1</v>
      </c>
      <c r="X390" s="26">
        <v>0</v>
      </c>
      <c r="Y390" s="26">
        <v>0</v>
      </c>
      <c r="Z390" s="26">
        <v>0</v>
      </c>
      <c r="AA390" s="26">
        <v>0</v>
      </c>
      <c r="AB390" s="26">
        <v>0</v>
      </c>
      <c r="AC390" s="26" t="s">
        <v>70</v>
      </c>
      <c r="AD390" s="26" t="s">
        <v>70</v>
      </c>
      <c r="AE390" s="26" t="s">
        <v>70</v>
      </c>
      <c r="AF390" s="26" t="s">
        <v>70</v>
      </c>
      <c r="AG390" s="33" t="s">
        <v>70</v>
      </c>
      <c r="AH390" s="26" t="s">
        <v>70</v>
      </c>
      <c r="AI390" s="26" t="s">
        <v>70</v>
      </c>
      <c r="AJ390" s="26" t="s">
        <v>70</v>
      </c>
      <c r="AK390" s="26" t="s">
        <v>70</v>
      </c>
      <c r="AL390" s="26" t="s">
        <v>70</v>
      </c>
      <c r="AM390" s="61" t="s">
        <v>548</v>
      </c>
      <c r="AN390" s="26" t="s">
        <v>274</v>
      </c>
      <c r="AO390" s="35" t="s">
        <v>548</v>
      </c>
      <c r="AP390" s="35" t="s">
        <v>548</v>
      </c>
      <c r="AQ390" s="35" t="s">
        <v>548</v>
      </c>
      <c r="AR390" s="35" t="s">
        <v>548</v>
      </c>
      <c r="AS390" s="26" t="s">
        <v>175</v>
      </c>
      <c r="AT390" s="26" t="s">
        <v>70</v>
      </c>
      <c r="AU390" s="26" t="s">
        <v>70</v>
      </c>
      <c r="AV390" s="26">
        <v>4</v>
      </c>
    </row>
    <row r="391" spans="1:2089" ht="14" customHeight="1">
      <c r="A391" s="27">
        <v>390</v>
      </c>
      <c r="B391" s="27" t="s">
        <v>456</v>
      </c>
      <c r="C391" s="26">
        <v>1994</v>
      </c>
      <c r="D391" s="26" t="s">
        <v>18</v>
      </c>
      <c r="E391" s="26" t="s">
        <v>566</v>
      </c>
      <c r="F391" s="77" t="s">
        <v>175</v>
      </c>
      <c r="G391" s="2" t="s">
        <v>84</v>
      </c>
      <c r="H391" s="2" t="s">
        <v>275</v>
      </c>
      <c r="I391" s="2" t="s">
        <v>548</v>
      </c>
      <c r="J391" s="2" t="s">
        <v>604</v>
      </c>
      <c r="K391" s="2" t="s">
        <v>548</v>
      </c>
      <c r="L391" s="2" t="s">
        <v>548</v>
      </c>
      <c r="M391" s="2" t="s">
        <v>175</v>
      </c>
      <c r="N391" s="2" t="s">
        <v>210</v>
      </c>
      <c r="O391" s="2" t="s">
        <v>43</v>
      </c>
      <c r="P391" s="2" t="s">
        <v>210</v>
      </c>
      <c r="Q391" s="2" t="s">
        <v>42</v>
      </c>
      <c r="R391" s="79" t="s">
        <v>613</v>
      </c>
      <c r="S391" s="88">
        <f>8/75</f>
        <v>0.10666666666666667</v>
      </c>
      <c r="T391" s="61">
        <v>75</v>
      </c>
      <c r="U391" s="77">
        <v>1</v>
      </c>
      <c r="V391" s="26">
        <v>0</v>
      </c>
      <c r="W391" s="26">
        <v>1</v>
      </c>
      <c r="X391" s="26">
        <v>0</v>
      </c>
      <c r="Y391" s="26">
        <v>0</v>
      </c>
      <c r="Z391" s="26">
        <v>0</v>
      </c>
      <c r="AA391" s="26">
        <v>0</v>
      </c>
      <c r="AB391" s="26">
        <v>0</v>
      </c>
      <c r="AC391" s="26" t="s">
        <v>70</v>
      </c>
      <c r="AD391" s="26" t="s">
        <v>70</v>
      </c>
      <c r="AE391" s="26" t="s">
        <v>70</v>
      </c>
      <c r="AF391" s="26" t="s">
        <v>70</v>
      </c>
      <c r="AG391" s="33" t="s">
        <v>70</v>
      </c>
      <c r="AH391" s="26" t="s">
        <v>70</v>
      </c>
      <c r="AI391" s="26" t="s">
        <v>70</v>
      </c>
      <c r="AJ391" s="26" t="s">
        <v>70</v>
      </c>
      <c r="AK391" s="26" t="s">
        <v>70</v>
      </c>
      <c r="AL391" s="26" t="s">
        <v>70</v>
      </c>
      <c r="AM391" s="61" t="s">
        <v>548</v>
      </c>
      <c r="AN391" s="26" t="s">
        <v>274</v>
      </c>
      <c r="AO391" s="35" t="s">
        <v>548</v>
      </c>
      <c r="AP391" s="35" t="s">
        <v>548</v>
      </c>
      <c r="AQ391" s="35" t="s">
        <v>548</v>
      </c>
      <c r="AR391" s="35" t="s">
        <v>548</v>
      </c>
      <c r="AS391" s="26" t="s">
        <v>175</v>
      </c>
      <c r="AT391" s="26" t="s">
        <v>70</v>
      </c>
      <c r="AU391" s="26" t="s">
        <v>70</v>
      </c>
      <c r="AV391" s="26">
        <v>4</v>
      </c>
    </row>
    <row r="392" spans="1:2089" ht="14" customHeight="1">
      <c r="A392" s="27">
        <v>391</v>
      </c>
      <c r="B392" s="27" t="s">
        <v>456</v>
      </c>
      <c r="C392" s="26">
        <v>1994</v>
      </c>
      <c r="D392" s="26" t="s">
        <v>18</v>
      </c>
      <c r="E392" s="26" t="s">
        <v>566</v>
      </c>
      <c r="F392" s="77" t="s">
        <v>175</v>
      </c>
      <c r="G392" s="2" t="s">
        <v>84</v>
      </c>
      <c r="H392" s="2" t="s">
        <v>275</v>
      </c>
      <c r="I392" s="2" t="s">
        <v>548</v>
      </c>
      <c r="J392" s="2" t="s">
        <v>604</v>
      </c>
      <c r="K392" s="2" t="s">
        <v>548</v>
      </c>
      <c r="L392" s="2" t="s">
        <v>548</v>
      </c>
      <c r="M392" s="2" t="s">
        <v>175</v>
      </c>
      <c r="N392" s="2" t="s">
        <v>62</v>
      </c>
      <c r="O392" s="2" t="s">
        <v>43</v>
      </c>
      <c r="P392" s="2" t="s">
        <v>62</v>
      </c>
      <c r="Q392" s="26" t="s">
        <v>606</v>
      </c>
      <c r="R392" s="79" t="s">
        <v>613</v>
      </c>
      <c r="S392" s="88">
        <f>62/151</f>
        <v>0.41059602649006621</v>
      </c>
      <c r="T392" s="61">
        <v>151</v>
      </c>
      <c r="U392" s="77">
        <v>1</v>
      </c>
      <c r="V392" s="26">
        <v>0</v>
      </c>
      <c r="W392" s="26">
        <v>1</v>
      </c>
      <c r="X392" s="26">
        <v>0</v>
      </c>
      <c r="Y392" s="26">
        <v>0</v>
      </c>
      <c r="Z392" s="26">
        <v>0</v>
      </c>
      <c r="AA392" s="26">
        <v>0</v>
      </c>
      <c r="AB392" s="26">
        <v>0</v>
      </c>
      <c r="AC392" s="26" t="s">
        <v>70</v>
      </c>
      <c r="AD392" s="26" t="s">
        <v>70</v>
      </c>
      <c r="AE392" s="26" t="s">
        <v>70</v>
      </c>
      <c r="AF392" s="26" t="s">
        <v>70</v>
      </c>
      <c r="AG392" s="33" t="s">
        <v>70</v>
      </c>
      <c r="AH392" s="26" t="s">
        <v>70</v>
      </c>
      <c r="AI392" s="26" t="s">
        <v>70</v>
      </c>
      <c r="AJ392" s="26" t="s">
        <v>70</v>
      </c>
      <c r="AK392" s="26" t="s">
        <v>70</v>
      </c>
      <c r="AL392" s="26" t="s">
        <v>70</v>
      </c>
      <c r="AM392" s="61" t="s">
        <v>548</v>
      </c>
      <c r="AN392" s="26" t="s">
        <v>274</v>
      </c>
      <c r="AO392" s="35" t="s">
        <v>548</v>
      </c>
      <c r="AP392" s="35" t="s">
        <v>548</v>
      </c>
      <c r="AQ392" s="35" t="s">
        <v>548</v>
      </c>
      <c r="AR392" s="35" t="s">
        <v>548</v>
      </c>
      <c r="AS392" s="26" t="s">
        <v>175</v>
      </c>
      <c r="AT392" s="26" t="s">
        <v>70</v>
      </c>
      <c r="AU392" s="26" t="s">
        <v>70</v>
      </c>
      <c r="AV392" s="26">
        <v>4</v>
      </c>
    </row>
    <row r="393" spans="1:2089" ht="14" customHeight="1">
      <c r="A393" s="27">
        <v>392</v>
      </c>
      <c r="B393" s="27" t="s">
        <v>456</v>
      </c>
      <c r="C393" s="26">
        <v>1994</v>
      </c>
      <c r="D393" s="26" t="s">
        <v>18</v>
      </c>
      <c r="E393" s="26" t="s">
        <v>566</v>
      </c>
      <c r="F393" s="77" t="s">
        <v>175</v>
      </c>
      <c r="G393" s="2" t="s">
        <v>84</v>
      </c>
      <c r="H393" s="2" t="s">
        <v>275</v>
      </c>
      <c r="I393" s="2" t="s">
        <v>548</v>
      </c>
      <c r="J393" s="2" t="s">
        <v>604</v>
      </c>
      <c r="K393" s="2" t="s">
        <v>548</v>
      </c>
      <c r="L393" s="2" t="s">
        <v>548</v>
      </c>
      <c r="M393" s="2" t="s">
        <v>175</v>
      </c>
      <c r="N393" s="2" t="s">
        <v>139</v>
      </c>
      <c r="O393" s="2" t="s">
        <v>60</v>
      </c>
      <c r="P393" s="2" t="s">
        <v>139</v>
      </c>
      <c r="Q393" s="2" t="s">
        <v>42</v>
      </c>
      <c r="R393" s="79" t="s">
        <v>613</v>
      </c>
      <c r="S393" s="88">
        <f>170/326</f>
        <v>0.5214723926380368</v>
      </c>
      <c r="T393" s="61">
        <v>326</v>
      </c>
      <c r="U393" s="77">
        <v>1</v>
      </c>
      <c r="V393" s="26">
        <v>0</v>
      </c>
      <c r="W393" s="26">
        <v>1</v>
      </c>
      <c r="X393" s="26">
        <v>0</v>
      </c>
      <c r="Y393" s="26">
        <v>0</v>
      </c>
      <c r="Z393" s="26">
        <v>0</v>
      </c>
      <c r="AA393" s="26">
        <v>0</v>
      </c>
      <c r="AB393" s="26">
        <v>0</v>
      </c>
      <c r="AC393" s="26" t="s">
        <v>70</v>
      </c>
      <c r="AD393" s="26" t="s">
        <v>70</v>
      </c>
      <c r="AE393" s="26" t="s">
        <v>70</v>
      </c>
      <c r="AF393" s="26" t="s">
        <v>70</v>
      </c>
      <c r="AG393" s="33" t="s">
        <v>70</v>
      </c>
      <c r="AH393" s="26" t="s">
        <v>70</v>
      </c>
      <c r="AI393" s="26" t="s">
        <v>70</v>
      </c>
      <c r="AJ393" s="26" t="s">
        <v>70</v>
      </c>
      <c r="AK393" s="26" t="s">
        <v>70</v>
      </c>
      <c r="AL393" s="26" t="s">
        <v>70</v>
      </c>
      <c r="AM393" s="61" t="s">
        <v>548</v>
      </c>
      <c r="AN393" s="26" t="s">
        <v>274</v>
      </c>
      <c r="AO393" s="35" t="s">
        <v>548</v>
      </c>
      <c r="AP393" s="35" t="s">
        <v>548</v>
      </c>
      <c r="AQ393" s="35" t="s">
        <v>548</v>
      </c>
      <c r="AR393" s="35" t="s">
        <v>548</v>
      </c>
      <c r="AS393" s="26" t="s">
        <v>175</v>
      </c>
      <c r="AT393" s="26" t="s">
        <v>70</v>
      </c>
      <c r="AU393" s="26" t="s">
        <v>70</v>
      </c>
      <c r="AV393" s="26">
        <v>4</v>
      </c>
    </row>
    <row r="394" spans="1:2089" ht="14" customHeight="1">
      <c r="A394" s="27">
        <v>393</v>
      </c>
      <c r="B394" s="27" t="s">
        <v>456</v>
      </c>
      <c r="C394" s="26">
        <v>1994</v>
      </c>
      <c r="D394" s="26" t="s">
        <v>18</v>
      </c>
      <c r="E394" s="26" t="s">
        <v>566</v>
      </c>
      <c r="F394" s="77" t="s">
        <v>175</v>
      </c>
      <c r="G394" s="2" t="s">
        <v>84</v>
      </c>
      <c r="H394" s="2" t="s">
        <v>275</v>
      </c>
      <c r="I394" s="2" t="s">
        <v>548</v>
      </c>
      <c r="J394" s="2" t="s">
        <v>604</v>
      </c>
      <c r="K394" s="2" t="s">
        <v>548</v>
      </c>
      <c r="L394" s="2" t="s">
        <v>548</v>
      </c>
      <c r="M394" s="2" t="s">
        <v>175</v>
      </c>
      <c r="N394" s="2" t="s">
        <v>609</v>
      </c>
      <c r="O394" s="2" t="s">
        <v>60</v>
      </c>
      <c r="P394" s="2" t="s">
        <v>609</v>
      </c>
      <c r="Q394" s="2" t="s">
        <v>42</v>
      </c>
      <c r="R394" s="79" t="s">
        <v>613</v>
      </c>
      <c r="S394" s="88">
        <f>119/183</f>
        <v>0.65027322404371579</v>
      </c>
      <c r="T394" s="61">
        <v>183</v>
      </c>
      <c r="U394" s="77">
        <v>1</v>
      </c>
      <c r="V394" s="26">
        <v>0</v>
      </c>
      <c r="W394" s="26">
        <v>1</v>
      </c>
      <c r="X394" s="26">
        <v>0</v>
      </c>
      <c r="Y394" s="26">
        <v>0</v>
      </c>
      <c r="Z394" s="26">
        <v>0</v>
      </c>
      <c r="AA394" s="26">
        <v>0</v>
      </c>
      <c r="AB394" s="26">
        <v>0</v>
      </c>
      <c r="AC394" s="26" t="s">
        <v>70</v>
      </c>
      <c r="AD394" s="26" t="s">
        <v>70</v>
      </c>
      <c r="AE394" s="26" t="s">
        <v>70</v>
      </c>
      <c r="AF394" s="26" t="s">
        <v>70</v>
      </c>
      <c r="AG394" s="33" t="s">
        <v>70</v>
      </c>
      <c r="AH394" s="26" t="s">
        <v>70</v>
      </c>
      <c r="AI394" s="26" t="s">
        <v>70</v>
      </c>
      <c r="AJ394" s="26" t="s">
        <v>70</v>
      </c>
      <c r="AK394" s="26" t="s">
        <v>70</v>
      </c>
      <c r="AL394" s="26" t="s">
        <v>70</v>
      </c>
      <c r="AM394" s="61" t="s">
        <v>548</v>
      </c>
      <c r="AN394" s="26" t="s">
        <v>274</v>
      </c>
      <c r="AO394" s="35" t="s">
        <v>548</v>
      </c>
      <c r="AP394" s="35" t="s">
        <v>548</v>
      </c>
      <c r="AQ394" s="35" t="s">
        <v>548</v>
      </c>
      <c r="AR394" s="35" t="s">
        <v>548</v>
      </c>
      <c r="AS394" s="26" t="s">
        <v>175</v>
      </c>
      <c r="AT394" s="26" t="s">
        <v>70</v>
      </c>
      <c r="AU394" s="26" t="s">
        <v>70</v>
      </c>
      <c r="AV394" s="26">
        <v>4</v>
      </c>
    </row>
    <row r="395" spans="1:2089" ht="14" customHeight="1">
      <c r="A395" s="27">
        <v>394</v>
      </c>
      <c r="B395" s="27" t="s">
        <v>456</v>
      </c>
      <c r="C395" s="27">
        <v>2005</v>
      </c>
      <c r="D395" s="26" t="s">
        <v>18</v>
      </c>
      <c r="E395" s="26" t="s">
        <v>566</v>
      </c>
      <c r="F395" s="77" t="s">
        <v>175</v>
      </c>
      <c r="G395" s="2" t="s">
        <v>84</v>
      </c>
      <c r="H395" s="2" t="s">
        <v>30</v>
      </c>
      <c r="I395" s="2" t="s">
        <v>548</v>
      </c>
      <c r="J395" s="2" t="s">
        <v>183</v>
      </c>
      <c r="K395" s="2" t="s">
        <v>548</v>
      </c>
      <c r="L395" s="2" t="s">
        <v>548</v>
      </c>
      <c r="M395" s="2" t="s">
        <v>548</v>
      </c>
      <c r="N395" s="2" t="s">
        <v>210</v>
      </c>
      <c r="O395" s="2" t="s">
        <v>43</v>
      </c>
      <c r="P395" s="2" t="s">
        <v>210</v>
      </c>
      <c r="Q395" s="2" t="s">
        <v>42</v>
      </c>
      <c r="R395" s="79" t="s">
        <v>613</v>
      </c>
      <c r="S395" s="88">
        <v>0.13</v>
      </c>
      <c r="T395" s="26">
        <v>15</v>
      </c>
      <c r="U395" s="77">
        <v>1</v>
      </c>
      <c r="V395" s="26">
        <v>0</v>
      </c>
      <c r="W395" s="26">
        <v>1</v>
      </c>
      <c r="X395" s="26">
        <v>0</v>
      </c>
      <c r="Y395" s="26">
        <v>0</v>
      </c>
      <c r="Z395" s="26">
        <v>0</v>
      </c>
      <c r="AA395" s="26">
        <v>0</v>
      </c>
      <c r="AB395" s="26">
        <v>0</v>
      </c>
      <c r="AC395" s="26" t="s">
        <v>70</v>
      </c>
      <c r="AD395" s="26" t="s">
        <v>70</v>
      </c>
      <c r="AE395" s="26" t="s">
        <v>70</v>
      </c>
      <c r="AF395" s="26" t="s">
        <v>70</v>
      </c>
      <c r="AG395" s="26" t="s">
        <v>70</v>
      </c>
      <c r="AH395" s="26" t="s">
        <v>70</v>
      </c>
      <c r="AI395" s="33" t="s">
        <v>70</v>
      </c>
      <c r="AJ395" s="26" t="s">
        <v>70</v>
      </c>
      <c r="AK395" s="33" t="s">
        <v>70</v>
      </c>
      <c r="AL395" s="33" t="s">
        <v>70</v>
      </c>
      <c r="AM395" s="35" t="s">
        <v>548</v>
      </c>
      <c r="AN395" s="26" t="s">
        <v>274</v>
      </c>
      <c r="AO395" s="35" t="s">
        <v>548</v>
      </c>
      <c r="AP395" s="35" t="s">
        <v>548</v>
      </c>
      <c r="AQ395" s="35" t="s">
        <v>548</v>
      </c>
      <c r="AR395" s="35" t="s">
        <v>548</v>
      </c>
      <c r="AS395" s="26" t="s">
        <v>175</v>
      </c>
      <c r="AT395" s="26" t="s">
        <v>70</v>
      </c>
      <c r="AU395" s="26" t="s">
        <v>70</v>
      </c>
      <c r="AV395" s="26">
        <v>3</v>
      </c>
    </row>
    <row r="396" spans="1:2089" ht="14" customHeight="1">
      <c r="A396" s="27">
        <v>395</v>
      </c>
      <c r="B396" s="27" t="s">
        <v>456</v>
      </c>
      <c r="C396" s="27">
        <v>2005</v>
      </c>
      <c r="D396" s="26" t="s">
        <v>18</v>
      </c>
      <c r="E396" s="26" t="s">
        <v>566</v>
      </c>
      <c r="F396" s="77" t="s">
        <v>175</v>
      </c>
      <c r="G396" s="2" t="s">
        <v>84</v>
      </c>
      <c r="H396" s="2" t="s">
        <v>30</v>
      </c>
      <c r="I396" s="2" t="s">
        <v>548</v>
      </c>
      <c r="J396" s="2" t="s">
        <v>183</v>
      </c>
      <c r="K396" s="2" t="s">
        <v>548</v>
      </c>
      <c r="L396" s="2" t="s">
        <v>548</v>
      </c>
      <c r="M396" s="2" t="s">
        <v>548</v>
      </c>
      <c r="N396" s="2" t="s">
        <v>62</v>
      </c>
      <c r="O396" s="2" t="s">
        <v>43</v>
      </c>
      <c r="P396" s="2" t="s">
        <v>62</v>
      </c>
      <c r="Q396" s="26" t="s">
        <v>247</v>
      </c>
      <c r="R396" s="79" t="s">
        <v>613</v>
      </c>
      <c r="S396" s="88">
        <v>0.43</v>
      </c>
      <c r="T396" s="26">
        <v>40</v>
      </c>
      <c r="U396" s="77">
        <v>1</v>
      </c>
      <c r="V396" s="26">
        <v>0</v>
      </c>
      <c r="W396" s="26">
        <v>1</v>
      </c>
      <c r="X396" s="26">
        <v>0</v>
      </c>
      <c r="Y396" s="26">
        <v>0</v>
      </c>
      <c r="Z396" s="26">
        <v>0</v>
      </c>
      <c r="AA396" s="26">
        <v>0</v>
      </c>
      <c r="AB396" s="26">
        <v>0</v>
      </c>
      <c r="AC396" s="26" t="s">
        <v>70</v>
      </c>
      <c r="AD396" s="26" t="s">
        <v>70</v>
      </c>
      <c r="AE396" s="26" t="s">
        <v>70</v>
      </c>
      <c r="AF396" s="26" t="s">
        <v>70</v>
      </c>
      <c r="AG396" s="26" t="s">
        <v>70</v>
      </c>
      <c r="AH396" s="26" t="s">
        <v>70</v>
      </c>
      <c r="AI396" s="33" t="s">
        <v>70</v>
      </c>
      <c r="AJ396" s="26" t="s">
        <v>70</v>
      </c>
      <c r="AK396" s="33" t="s">
        <v>70</v>
      </c>
      <c r="AL396" s="33" t="s">
        <v>70</v>
      </c>
      <c r="AM396" s="35" t="s">
        <v>548</v>
      </c>
      <c r="AN396" s="26" t="s">
        <v>274</v>
      </c>
      <c r="AO396" s="35" t="s">
        <v>548</v>
      </c>
      <c r="AP396" s="35" t="s">
        <v>548</v>
      </c>
      <c r="AQ396" s="35" t="s">
        <v>548</v>
      </c>
      <c r="AR396" s="35" t="s">
        <v>548</v>
      </c>
      <c r="AS396" s="26" t="s">
        <v>175</v>
      </c>
      <c r="AT396" s="26" t="s">
        <v>70</v>
      </c>
      <c r="AU396" s="26" t="s">
        <v>70</v>
      </c>
      <c r="AV396" s="26">
        <v>3</v>
      </c>
    </row>
    <row r="397" spans="1:2089" ht="14" customHeight="1">
      <c r="A397" s="27">
        <v>396</v>
      </c>
      <c r="B397" s="27" t="s">
        <v>456</v>
      </c>
      <c r="C397" s="27">
        <v>2005</v>
      </c>
      <c r="D397" s="26" t="s">
        <v>18</v>
      </c>
      <c r="E397" s="26" t="s">
        <v>566</v>
      </c>
      <c r="F397" s="77" t="s">
        <v>175</v>
      </c>
      <c r="G397" s="2" t="s">
        <v>84</v>
      </c>
      <c r="H397" s="2" t="s">
        <v>30</v>
      </c>
      <c r="I397" s="2" t="s">
        <v>548</v>
      </c>
      <c r="J397" s="2" t="s">
        <v>183</v>
      </c>
      <c r="K397" s="2" t="s">
        <v>548</v>
      </c>
      <c r="L397" s="2" t="s">
        <v>548</v>
      </c>
      <c r="M397" s="2" t="s">
        <v>548</v>
      </c>
      <c r="N397" s="2" t="s">
        <v>609</v>
      </c>
      <c r="O397" s="2" t="s">
        <v>60</v>
      </c>
      <c r="P397" s="2" t="s">
        <v>609</v>
      </c>
      <c r="Q397" s="2" t="s">
        <v>42</v>
      </c>
      <c r="R397" s="79" t="s">
        <v>613</v>
      </c>
      <c r="S397" s="88">
        <v>0.95</v>
      </c>
      <c r="T397" s="26">
        <v>20</v>
      </c>
      <c r="U397" s="77">
        <v>1</v>
      </c>
      <c r="V397" s="26">
        <v>0</v>
      </c>
      <c r="W397" s="26">
        <v>1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 t="s">
        <v>70</v>
      </c>
      <c r="AD397" s="26" t="s">
        <v>70</v>
      </c>
      <c r="AE397" s="26" t="s">
        <v>70</v>
      </c>
      <c r="AF397" s="26" t="s">
        <v>70</v>
      </c>
      <c r="AG397" s="26" t="s">
        <v>70</v>
      </c>
      <c r="AH397" s="26" t="s">
        <v>70</v>
      </c>
      <c r="AI397" s="33" t="s">
        <v>70</v>
      </c>
      <c r="AJ397" s="26" t="s">
        <v>70</v>
      </c>
      <c r="AK397" s="33" t="s">
        <v>70</v>
      </c>
      <c r="AL397" s="33" t="s">
        <v>70</v>
      </c>
      <c r="AM397" s="35" t="s">
        <v>548</v>
      </c>
      <c r="AN397" s="26" t="s">
        <v>274</v>
      </c>
      <c r="AO397" s="35" t="s">
        <v>548</v>
      </c>
      <c r="AP397" s="35" t="s">
        <v>548</v>
      </c>
      <c r="AQ397" s="35" t="s">
        <v>548</v>
      </c>
      <c r="AR397" s="35" t="s">
        <v>548</v>
      </c>
      <c r="AS397" s="26" t="s">
        <v>175</v>
      </c>
      <c r="AT397" s="26" t="s">
        <v>70</v>
      </c>
      <c r="AU397" s="26" t="s">
        <v>70</v>
      </c>
      <c r="AV397" s="26">
        <v>3</v>
      </c>
    </row>
    <row r="398" spans="1:2089" ht="14" customHeight="1">
      <c r="A398" s="27">
        <v>397</v>
      </c>
      <c r="B398" s="27" t="s">
        <v>456</v>
      </c>
      <c r="C398" s="27">
        <v>2008</v>
      </c>
      <c r="D398" s="26" t="s">
        <v>18</v>
      </c>
      <c r="E398" s="26" t="s">
        <v>566</v>
      </c>
      <c r="F398" s="77" t="s">
        <v>175</v>
      </c>
      <c r="G398" s="2" t="s">
        <v>84</v>
      </c>
      <c r="H398" s="2" t="s">
        <v>30</v>
      </c>
      <c r="I398" s="2" t="s">
        <v>548</v>
      </c>
      <c r="J398" s="2" t="s">
        <v>604</v>
      </c>
      <c r="K398" s="2" t="s">
        <v>548</v>
      </c>
      <c r="L398" s="2" t="s">
        <v>548</v>
      </c>
      <c r="M398" s="2" t="s">
        <v>548</v>
      </c>
      <c r="N398" s="2" t="s">
        <v>62</v>
      </c>
      <c r="O398" s="2" t="s">
        <v>43</v>
      </c>
      <c r="P398" s="2" t="s">
        <v>62</v>
      </c>
      <c r="Q398" s="26" t="s">
        <v>606</v>
      </c>
      <c r="R398" s="79" t="s">
        <v>613</v>
      </c>
      <c r="S398" s="2">
        <v>0.18</v>
      </c>
      <c r="T398" s="26">
        <v>100</v>
      </c>
      <c r="U398" s="77">
        <v>1</v>
      </c>
      <c r="V398" s="26">
        <v>0</v>
      </c>
      <c r="W398" s="26">
        <v>1</v>
      </c>
      <c r="X398" s="26">
        <v>1</v>
      </c>
      <c r="Y398" s="26">
        <v>1</v>
      </c>
      <c r="Z398" s="26">
        <v>1</v>
      </c>
      <c r="AA398" s="26">
        <v>0</v>
      </c>
      <c r="AB398" s="26">
        <v>0</v>
      </c>
      <c r="AC398" s="26" t="s">
        <v>70</v>
      </c>
      <c r="AD398" s="26" t="s">
        <v>70</v>
      </c>
      <c r="AE398" s="26" t="s">
        <v>70</v>
      </c>
      <c r="AF398" s="26" t="s">
        <v>70</v>
      </c>
      <c r="AG398" s="26" t="s">
        <v>70</v>
      </c>
      <c r="AH398" s="26" t="s">
        <v>70</v>
      </c>
      <c r="AI398" s="26" t="s">
        <v>70</v>
      </c>
      <c r="AJ398" s="26" t="s">
        <v>70</v>
      </c>
      <c r="AK398" s="26" t="s">
        <v>70</v>
      </c>
      <c r="AL398" s="26" t="s">
        <v>70</v>
      </c>
      <c r="AM398" s="35" t="s">
        <v>548</v>
      </c>
      <c r="AN398" s="26" t="s">
        <v>274</v>
      </c>
      <c r="AO398" s="26" t="s">
        <v>548</v>
      </c>
      <c r="AP398" s="35" t="s">
        <v>548</v>
      </c>
      <c r="AQ398" s="35" t="s">
        <v>548</v>
      </c>
      <c r="AR398" s="35" t="s">
        <v>548</v>
      </c>
      <c r="AS398" s="26" t="s">
        <v>175</v>
      </c>
      <c r="AT398" s="26" t="s">
        <v>70</v>
      </c>
      <c r="AU398" s="26" t="s">
        <v>70</v>
      </c>
      <c r="AV398" s="26">
        <v>6</v>
      </c>
    </row>
    <row r="399" spans="1:2089" ht="14" customHeight="1">
      <c r="A399" s="27">
        <v>398</v>
      </c>
      <c r="B399" s="27" t="s">
        <v>457</v>
      </c>
      <c r="C399" s="27">
        <v>2010</v>
      </c>
      <c r="D399" s="26" t="s">
        <v>161</v>
      </c>
      <c r="E399" s="26" t="s">
        <v>566</v>
      </c>
      <c r="F399" s="77" t="s">
        <v>175</v>
      </c>
      <c r="G399" s="2" t="s">
        <v>108</v>
      </c>
      <c r="H399" s="2" t="s">
        <v>275</v>
      </c>
      <c r="I399" s="2" t="s">
        <v>548</v>
      </c>
      <c r="J399" s="2" t="s">
        <v>604</v>
      </c>
      <c r="K399" s="2" t="s">
        <v>548</v>
      </c>
      <c r="L399" s="2" t="s">
        <v>548</v>
      </c>
      <c r="M399" s="2" t="s">
        <v>175</v>
      </c>
      <c r="N399" s="2" t="s">
        <v>210</v>
      </c>
      <c r="O399" s="2" t="s">
        <v>43</v>
      </c>
      <c r="P399" s="2" t="s">
        <v>210</v>
      </c>
      <c r="Q399" s="2" t="s">
        <v>42</v>
      </c>
      <c r="R399" s="102" t="s">
        <v>614</v>
      </c>
      <c r="S399" s="26">
        <v>0.67047619047619045</v>
      </c>
      <c r="T399" s="26">
        <v>336</v>
      </c>
      <c r="U399" s="77">
        <v>1</v>
      </c>
      <c r="V399" s="26">
        <v>0</v>
      </c>
      <c r="W399" s="26">
        <v>1</v>
      </c>
      <c r="X399" s="26">
        <v>0</v>
      </c>
      <c r="Y399" s="26">
        <v>0</v>
      </c>
      <c r="Z399" s="26">
        <v>0</v>
      </c>
      <c r="AA399" s="26">
        <v>0</v>
      </c>
      <c r="AB399" s="26">
        <v>0</v>
      </c>
      <c r="AC399" s="26">
        <v>0.32952380952380961</v>
      </c>
      <c r="AD399" s="26">
        <v>0.26235119047619049</v>
      </c>
      <c r="AE399" s="26">
        <v>0.16651785714285711</v>
      </c>
      <c r="AF399" s="26">
        <v>0.25032738095238094</v>
      </c>
      <c r="AG399" s="26" t="s">
        <v>70</v>
      </c>
      <c r="AH399" s="26" t="s">
        <v>70</v>
      </c>
      <c r="AI399" s="26" t="s">
        <v>70</v>
      </c>
      <c r="AJ399" s="26" t="s">
        <v>70</v>
      </c>
      <c r="AK399" s="26" t="s">
        <v>70</v>
      </c>
      <c r="AL399" s="26" t="s">
        <v>70</v>
      </c>
      <c r="AM399" s="35" t="s">
        <v>175</v>
      </c>
      <c r="AN399" s="26" t="s">
        <v>615</v>
      </c>
      <c r="AO399" s="35" t="s">
        <v>548</v>
      </c>
      <c r="AP399" s="35" t="s">
        <v>175</v>
      </c>
      <c r="AQ399" s="35" t="s">
        <v>548</v>
      </c>
      <c r="AR399" s="35" t="s">
        <v>548</v>
      </c>
      <c r="AS399" s="26" t="s">
        <v>175</v>
      </c>
      <c r="AT399" s="26" t="s">
        <v>175</v>
      </c>
      <c r="AU399" s="40" t="s">
        <v>175</v>
      </c>
      <c r="AV399" s="26">
        <v>5</v>
      </c>
    </row>
    <row r="400" spans="1:2089" ht="14" customHeight="1">
      <c r="A400" s="27">
        <v>399</v>
      </c>
      <c r="B400" s="27" t="s">
        <v>457</v>
      </c>
      <c r="C400" s="27">
        <v>2010</v>
      </c>
      <c r="D400" s="26" t="s">
        <v>161</v>
      </c>
      <c r="E400" s="26" t="s">
        <v>566</v>
      </c>
      <c r="F400" s="77" t="s">
        <v>175</v>
      </c>
      <c r="G400" s="2" t="s">
        <v>108</v>
      </c>
      <c r="H400" s="2" t="s">
        <v>275</v>
      </c>
      <c r="I400" s="2" t="s">
        <v>548</v>
      </c>
      <c r="J400" s="2" t="s">
        <v>604</v>
      </c>
      <c r="K400" s="2" t="s">
        <v>548</v>
      </c>
      <c r="L400" s="2" t="s">
        <v>548</v>
      </c>
      <c r="M400" s="2" t="s">
        <v>175</v>
      </c>
      <c r="N400" s="2" t="s">
        <v>70</v>
      </c>
      <c r="O400" s="2" t="s">
        <v>209</v>
      </c>
      <c r="P400" s="2" t="s">
        <v>612</v>
      </c>
      <c r="Q400" s="2" t="s">
        <v>42</v>
      </c>
      <c r="R400" s="102" t="s">
        <v>614</v>
      </c>
      <c r="S400" s="2">
        <f t="shared" ref="S400:S405" si="2">1-AC400</f>
        <v>0.56000000000000005</v>
      </c>
      <c r="T400" s="26">
        <v>30</v>
      </c>
      <c r="U400" s="77">
        <v>1</v>
      </c>
      <c r="V400" s="26">
        <v>0</v>
      </c>
      <c r="W400" s="26">
        <v>1</v>
      </c>
      <c r="X400" s="26">
        <v>0</v>
      </c>
      <c r="Y400" s="26">
        <v>0</v>
      </c>
      <c r="Z400" s="26">
        <v>0</v>
      </c>
      <c r="AA400" s="26">
        <v>0</v>
      </c>
      <c r="AB400" s="26">
        <v>0</v>
      </c>
      <c r="AC400" s="26">
        <v>0.44</v>
      </c>
      <c r="AD400" s="26">
        <v>0.16</v>
      </c>
      <c r="AE400" s="26">
        <v>0.2</v>
      </c>
      <c r="AF400" s="26">
        <v>0.2</v>
      </c>
      <c r="AG400" s="26" t="s">
        <v>70</v>
      </c>
      <c r="AH400" s="26" t="s">
        <v>70</v>
      </c>
      <c r="AI400" s="26" t="s">
        <v>70</v>
      </c>
      <c r="AJ400" s="26" t="s">
        <v>70</v>
      </c>
      <c r="AK400" s="26" t="s">
        <v>70</v>
      </c>
      <c r="AL400" s="26" t="s">
        <v>70</v>
      </c>
      <c r="AM400" s="35" t="s">
        <v>175</v>
      </c>
      <c r="AN400" s="26" t="s">
        <v>615</v>
      </c>
      <c r="AO400" s="35" t="s">
        <v>548</v>
      </c>
      <c r="AP400" s="35" t="s">
        <v>175</v>
      </c>
      <c r="AQ400" s="35" t="s">
        <v>548</v>
      </c>
      <c r="AR400" s="35" t="s">
        <v>548</v>
      </c>
      <c r="AS400" s="26" t="s">
        <v>175</v>
      </c>
      <c r="AT400" s="26" t="s">
        <v>175</v>
      </c>
      <c r="AU400" s="40" t="s">
        <v>175</v>
      </c>
      <c r="AV400" s="26">
        <v>5</v>
      </c>
    </row>
    <row r="401" spans="1:2089" ht="14" customHeight="1">
      <c r="A401" s="27">
        <v>400</v>
      </c>
      <c r="B401" s="27" t="s">
        <v>457</v>
      </c>
      <c r="C401" s="27">
        <v>2010</v>
      </c>
      <c r="D401" s="26" t="s">
        <v>161</v>
      </c>
      <c r="E401" s="26" t="s">
        <v>566</v>
      </c>
      <c r="F401" s="77" t="s">
        <v>175</v>
      </c>
      <c r="G401" s="2" t="s">
        <v>108</v>
      </c>
      <c r="H401" s="2" t="s">
        <v>275</v>
      </c>
      <c r="I401" s="2" t="s">
        <v>548</v>
      </c>
      <c r="J401" s="2" t="s">
        <v>604</v>
      </c>
      <c r="K401" s="2" t="s">
        <v>548</v>
      </c>
      <c r="L401" s="2" t="s">
        <v>548</v>
      </c>
      <c r="M401" s="2" t="s">
        <v>175</v>
      </c>
      <c r="N401" s="2" t="s">
        <v>62</v>
      </c>
      <c r="O401" s="2" t="s">
        <v>43</v>
      </c>
      <c r="P401" s="2" t="s">
        <v>62</v>
      </c>
      <c r="Q401" s="26" t="s">
        <v>606</v>
      </c>
      <c r="R401" s="102" t="s">
        <v>614</v>
      </c>
      <c r="S401" s="2">
        <f t="shared" si="2"/>
        <v>0.39</v>
      </c>
      <c r="T401" s="26">
        <v>70</v>
      </c>
      <c r="U401" s="77">
        <v>1</v>
      </c>
      <c r="V401" s="26">
        <v>0</v>
      </c>
      <c r="W401" s="26">
        <v>1</v>
      </c>
      <c r="X401" s="26">
        <v>0</v>
      </c>
      <c r="Y401" s="26">
        <v>0</v>
      </c>
      <c r="Z401" s="26">
        <v>0</v>
      </c>
      <c r="AA401" s="26">
        <v>0</v>
      </c>
      <c r="AB401" s="26">
        <v>0</v>
      </c>
      <c r="AC401" s="26">
        <v>0.61</v>
      </c>
      <c r="AD401" s="26">
        <v>0.28000000000000003</v>
      </c>
      <c r="AE401" s="26">
        <f>1-AD401-AC401</f>
        <v>0.10999999999999999</v>
      </c>
      <c r="AF401" s="26">
        <v>0</v>
      </c>
      <c r="AG401" s="26" t="s">
        <v>70</v>
      </c>
      <c r="AH401" s="26" t="s">
        <v>70</v>
      </c>
      <c r="AI401" s="26" t="s">
        <v>70</v>
      </c>
      <c r="AJ401" s="26" t="s">
        <v>70</v>
      </c>
      <c r="AK401" s="26" t="s">
        <v>70</v>
      </c>
      <c r="AL401" s="26" t="s">
        <v>70</v>
      </c>
      <c r="AM401" s="35" t="s">
        <v>175</v>
      </c>
      <c r="AN401" s="26" t="s">
        <v>617</v>
      </c>
      <c r="AO401" s="35" t="s">
        <v>548</v>
      </c>
      <c r="AP401" s="35" t="s">
        <v>175</v>
      </c>
      <c r="AQ401" s="35" t="s">
        <v>548</v>
      </c>
      <c r="AR401" s="35" t="s">
        <v>548</v>
      </c>
      <c r="AS401" s="26" t="s">
        <v>175</v>
      </c>
      <c r="AT401" s="26" t="s">
        <v>175</v>
      </c>
      <c r="AU401" s="40" t="s">
        <v>175</v>
      </c>
      <c r="AV401" s="26">
        <v>5</v>
      </c>
    </row>
    <row r="402" spans="1:2089" ht="14" customHeight="1">
      <c r="A402" s="27">
        <v>401</v>
      </c>
      <c r="B402" s="27" t="s">
        <v>457</v>
      </c>
      <c r="C402" s="27">
        <v>2010</v>
      </c>
      <c r="D402" s="26" t="s">
        <v>161</v>
      </c>
      <c r="E402" s="26" t="s">
        <v>566</v>
      </c>
      <c r="F402" s="77" t="s">
        <v>175</v>
      </c>
      <c r="G402" s="2" t="s">
        <v>108</v>
      </c>
      <c r="H402" s="2" t="s">
        <v>275</v>
      </c>
      <c r="I402" s="2" t="s">
        <v>548</v>
      </c>
      <c r="J402" s="2" t="s">
        <v>604</v>
      </c>
      <c r="K402" s="2" t="s">
        <v>548</v>
      </c>
      <c r="L402" s="2" t="s">
        <v>548</v>
      </c>
      <c r="M402" s="2" t="s">
        <v>175</v>
      </c>
      <c r="N402" s="2" t="s">
        <v>50</v>
      </c>
      <c r="O402" s="2" t="s">
        <v>43</v>
      </c>
      <c r="P402" s="2" t="s">
        <v>50</v>
      </c>
      <c r="Q402" s="2" t="s">
        <v>42</v>
      </c>
      <c r="R402" s="102" t="s">
        <v>614</v>
      </c>
      <c r="S402" s="2">
        <f t="shared" si="2"/>
        <v>0.66999999999999993</v>
      </c>
      <c r="T402" s="26">
        <v>37</v>
      </c>
      <c r="U402" s="77">
        <v>1</v>
      </c>
      <c r="V402" s="26">
        <v>0</v>
      </c>
      <c r="W402" s="26">
        <v>1</v>
      </c>
      <c r="X402" s="26">
        <v>0</v>
      </c>
      <c r="Y402" s="26">
        <v>0</v>
      </c>
      <c r="Z402" s="26">
        <v>0</v>
      </c>
      <c r="AA402" s="26">
        <v>0</v>
      </c>
      <c r="AB402" s="26">
        <v>0</v>
      </c>
      <c r="AC402" s="26">
        <v>0.33</v>
      </c>
      <c r="AD402" s="26">
        <v>0.4</v>
      </c>
      <c r="AE402" s="26">
        <f>1-AF402-AC402-AD402</f>
        <v>0.21999999999999986</v>
      </c>
      <c r="AF402" s="26">
        <v>0.05</v>
      </c>
      <c r="AG402" s="26" t="s">
        <v>70</v>
      </c>
      <c r="AH402" s="26" t="s">
        <v>70</v>
      </c>
      <c r="AI402" s="26" t="s">
        <v>70</v>
      </c>
      <c r="AJ402" s="26" t="s">
        <v>70</v>
      </c>
      <c r="AK402" s="26" t="s">
        <v>70</v>
      </c>
      <c r="AL402" s="26" t="s">
        <v>70</v>
      </c>
      <c r="AM402" s="35" t="s">
        <v>175</v>
      </c>
      <c r="AN402" s="26" t="s">
        <v>615</v>
      </c>
      <c r="AO402" s="35" t="s">
        <v>548</v>
      </c>
      <c r="AP402" s="35" t="s">
        <v>175</v>
      </c>
      <c r="AQ402" s="35" t="s">
        <v>548</v>
      </c>
      <c r="AR402" s="35" t="s">
        <v>548</v>
      </c>
      <c r="AS402" s="26" t="s">
        <v>175</v>
      </c>
      <c r="AT402" s="26" t="s">
        <v>175</v>
      </c>
      <c r="AU402" s="40" t="s">
        <v>175</v>
      </c>
      <c r="AV402" s="26">
        <v>5</v>
      </c>
    </row>
    <row r="403" spans="1:2089" ht="14" customHeight="1">
      <c r="A403" s="27">
        <v>402</v>
      </c>
      <c r="B403" s="27" t="s">
        <v>457</v>
      </c>
      <c r="C403" s="27">
        <v>2010</v>
      </c>
      <c r="D403" s="26" t="s">
        <v>161</v>
      </c>
      <c r="E403" s="26" t="s">
        <v>566</v>
      </c>
      <c r="F403" s="77" t="s">
        <v>175</v>
      </c>
      <c r="G403" s="2" t="s">
        <v>108</v>
      </c>
      <c r="H403" s="2" t="s">
        <v>275</v>
      </c>
      <c r="I403" s="2" t="s">
        <v>548</v>
      </c>
      <c r="J403" s="2" t="s">
        <v>604</v>
      </c>
      <c r="K403" s="2" t="s">
        <v>548</v>
      </c>
      <c r="L403" s="2" t="s">
        <v>548</v>
      </c>
      <c r="M403" s="2" t="s">
        <v>175</v>
      </c>
      <c r="N403" s="2" t="s">
        <v>608</v>
      </c>
      <c r="O403" s="2" t="s">
        <v>43</v>
      </c>
      <c r="P403" s="2" t="s">
        <v>608</v>
      </c>
      <c r="Q403" s="2" t="s">
        <v>42</v>
      </c>
      <c r="R403" s="102" t="s">
        <v>614</v>
      </c>
      <c r="S403" s="2">
        <f t="shared" si="2"/>
        <v>0.67999999999999994</v>
      </c>
      <c r="T403" s="26">
        <v>19</v>
      </c>
      <c r="U403" s="77">
        <v>1</v>
      </c>
      <c r="V403" s="26">
        <v>0</v>
      </c>
      <c r="W403" s="26">
        <v>1</v>
      </c>
      <c r="X403" s="26">
        <v>0</v>
      </c>
      <c r="Y403" s="26">
        <v>0</v>
      </c>
      <c r="Z403" s="26">
        <v>0</v>
      </c>
      <c r="AA403" s="26">
        <v>0</v>
      </c>
      <c r="AB403" s="26">
        <v>0</v>
      </c>
      <c r="AC403" s="26">
        <v>0.32</v>
      </c>
      <c r="AD403" s="26">
        <f>0.68-AC403</f>
        <v>0.36000000000000004</v>
      </c>
      <c r="AE403" s="26">
        <f>1-AF403-AC403-AD403</f>
        <v>5.9999999999999942E-2</v>
      </c>
      <c r="AF403" s="26">
        <v>0.26</v>
      </c>
      <c r="AG403" s="26" t="s">
        <v>70</v>
      </c>
      <c r="AH403" s="26" t="s">
        <v>70</v>
      </c>
      <c r="AI403" s="26" t="s">
        <v>70</v>
      </c>
      <c r="AJ403" s="26" t="s">
        <v>70</v>
      </c>
      <c r="AK403" s="26" t="s">
        <v>70</v>
      </c>
      <c r="AL403" s="26" t="s">
        <v>70</v>
      </c>
      <c r="AM403" s="35" t="s">
        <v>175</v>
      </c>
      <c r="AN403" s="26" t="s">
        <v>615</v>
      </c>
      <c r="AO403" s="35" t="s">
        <v>548</v>
      </c>
      <c r="AP403" s="35" t="s">
        <v>175</v>
      </c>
      <c r="AQ403" s="35" t="s">
        <v>548</v>
      </c>
      <c r="AR403" s="35" t="s">
        <v>548</v>
      </c>
      <c r="AS403" s="26" t="s">
        <v>175</v>
      </c>
      <c r="AT403" s="26" t="s">
        <v>175</v>
      </c>
      <c r="AU403" s="40" t="s">
        <v>175</v>
      </c>
      <c r="AV403" s="26">
        <v>5</v>
      </c>
    </row>
    <row r="404" spans="1:2089" ht="14" customHeight="1">
      <c r="A404" s="27">
        <v>403</v>
      </c>
      <c r="B404" s="27" t="s">
        <v>457</v>
      </c>
      <c r="C404" s="27">
        <v>2010</v>
      </c>
      <c r="D404" s="26" t="s">
        <v>161</v>
      </c>
      <c r="E404" s="26" t="s">
        <v>566</v>
      </c>
      <c r="F404" s="77" t="s">
        <v>175</v>
      </c>
      <c r="G404" s="2" t="s">
        <v>108</v>
      </c>
      <c r="H404" s="2" t="s">
        <v>275</v>
      </c>
      <c r="I404" s="2" t="s">
        <v>548</v>
      </c>
      <c r="J404" s="2" t="s">
        <v>604</v>
      </c>
      <c r="K404" s="2" t="s">
        <v>548</v>
      </c>
      <c r="L404" s="2" t="s">
        <v>548</v>
      </c>
      <c r="M404" s="2" t="s">
        <v>175</v>
      </c>
      <c r="N404" s="2" t="s">
        <v>139</v>
      </c>
      <c r="O404" s="2" t="s">
        <v>60</v>
      </c>
      <c r="P404" s="2" t="s">
        <v>139</v>
      </c>
      <c r="Q404" s="2" t="s">
        <v>42</v>
      </c>
      <c r="R404" s="102" t="s">
        <v>614</v>
      </c>
      <c r="S404" s="2">
        <f t="shared" si="2"/>
        <v>0.83</v>
      </c>
      <c r="T404" s="26">
        <v>12</v>
      </c>
      <c r="U404" s="77">
        <v>1</v>
      </c>
      <c r="V404" s="26">
        <v>0</v>
      </c>
      <c r="W404" s="26">
        <v>1</v>
      </c>
      <c r="X404" s="26">
        <v>0</v>
      </c>
      <c r="Y404" s="26">
        <v>0</v>
      </c>
      <c r="Z404" s="26">
        <v>0</v>
      </c>
      <c r="AA404" s="26">
        <v>0</v>
      </c>
      <c r="AB404" s="26">
        <v>0</v>
      </c>
      <c r="AC404" s="26">
        <v>0.17</v>
      </c>
      <c r="AD404" s="26">
        <f>0.5-AC404</f>
        <v>0.32999999999999996</v>
      </c>
      <c r="AE404" s="26">
        <f>0.83-AD404-AC404</f>
        <v>0.32999999999999996</v>
      </c>
      <c r="AF404" s="26">
        <f>1-AE404-AD404-AC404</f>
        <v>0.17000000000000007</v>
      </c>
      <c r="AG404" s="26" t="s">
        <v>70</v>
      </c>
      <c r="AH404" s="26" t="s">
        <v>70</v>
      </c>
      <c r="AI404" s="26" t="s">
        <v>70</v>
      </c>
      <c r="AJ404" s="26" t="s">
        <v>70</v>
      </c>
      <c r="AK404" s="26" t="s">
        <v>70</v>
      </c>
      <c r="AL404" s="26" t="s">
        <v>70</v>
      </c>
      <c r="AM404" s="35" t="s">
        <v>175</v>
      </c>
      <c r="AN404" s="26" t="s">
        <v>615</v>
      </c>
      <c r="AO404" s="35" t="s">
        <v>548</v>
      </c>
      <c r="AP404" s="35" t="s">
        <v>175</v>
      </c>
      <c r="AQ404" s="35" t="s">
        <v>548</v>
      </c>
      <c r="AR404" s="35" t="s">
        <v>548</v>
      </c>
      <c r="AS404" s="26" t="s">
        <v>175</v>
      </c>
      <c r="AT404" s="26" t="s">
        <v>175</v>
      </c>
      <c r="AU404" s="40" t="s">
        <v>175</v>
      </c>
      <c r="AV404" s="26">
        <v>5</v>
      </c>
    </row>
    <row r="405" spans="1:2089" ht="14" customHeight="1">
      <c r="A405" s="27">
        <v>404</v>
      </c>
      <c r="B405" s="27" t="s">
        <v>457</v>
      </c>
      <c r="C405" s="27">
        <v>2010</v>
      </c>
      <c r="D405" s="26" t="s">
        <v>161</v>
      </c>
      <c r="E405" s="26" t="s">
        <v>566</v>
      </c>
      <c r="F405" s="77" t="s">
        <v>175</v>
      </c>
      <c r="G405" s="2" t="s">
        <v>108</v>
      </c>
      <c r="H405" s="2" t="s">
        <v>275</v>
      </c>
      <c r="I405" s="2" t="s">
        <v>548</v>
      </c>
      <c r="J405" s="2" t="s">
        <v>604</v>
      </c>
      <c r="K405" s="2" t="s">
        <v>548</v>
      </c>
      <c r="L405" s="2" t="s">
        <v>548</v>
      </c>
      <c r="M405" s="2" t="s">
        <v>175</v>
      </c>
      <c r="N405" s="2" t="s">
        <v>609</v>
      </c>
      <c r="O405" s="2" t="s">
        <v>60</v>
      </c>
      <c r="P405" s="2" t="s">
        <v>609</v>
      </c>
      <c r="Q405" s="2" t="s">
        <v>42</v>
      </c>
      <c r="R405" s="102" t="s">
        <v>614</v>
      </c>
      <c r="S405" s="2">
        <f t="shared" si="2"/>
        <v>0.95</v>
      </c>
      <c r="T405" s="26">
        <v>42</v>
      </c>
      <c r="U405" s="77">
        <v>1</v>
      </c>
      <c r="V405" s="26">
        <v>0</v>
      </c>
      <c r="W405" s="26">
        <v>1</v>
      </c>
      <c r="X405" s="26">
        <v>0</v>
      </c>
      <c r="Y405" s="26">
        <v>0</v>
      </c>
      <c r="Z405" s="26">
        <v>0</v>
      </c>
      <c r="AA405" s="26">
        <v>0</v>
      </c>
      <c r="AB405" s="26">
        <v>0</v>
      </c>
      <c r="AC405" s="26">
        <v>0.05</v>
      </c>
      <c r="AD405" s="26">
        <f>0.22-AC405</f>
        <v>0.16999999999999998</v>
      </c>
      <c r="AE405" s="26">
        <f>0.43-AC405-AD405</f>
        <v>0.21000000000000002</v>
      </c>
      <c r="AF405" s="26">
        <f>1-AE405-AD405-AC405</f>
        <v>0.57000000000000006</v>
      </c>
      <c r="AG405" s="26" t="s">
        <v>70</v>
      </c>
      <c r="AH405" s="26" t="s">
        <v>70</v>
      </c>
      <c r="AI405" s="26" t="s">
        <v>70</v>
      </c>
      <c r="AJ405" s="26" t="s">
        <v>70</v>
      </c>
      <c r="AK405" s="26" t="s">
        <v>70</v>
      </c>
      <c r="AL405" s="26" t="s">
        <v>70</v>
      </c>
      <c r="AM405" s="35" t="s">
        <v>175</v>
      </c>
      <c r="AN405" s="26" t="s">
        <v>615</v>
      </c>
      <c r="AO405" s="35" t="s">
        <v>548</v>
      </c>
      <c r="AP405" s="35" t="s">
        <v>175</v>
      </c>
      <c r="AQ405" s="35" t="s">
        <v>548</v>
      </c>
      <c r="AR405" s="35" t="s">
        <v>548</v>
      </c>
      <c r="AS405" s="26" t="s">
        <v>175</v>
      </c>
      <c r="AT405" s="26" t="s">
        <v>175</v>
      </c>
      <c r="AU405" s="40" t="s">
        <v>175</v>
      </c>
      <c r="AV405" s="26">
        <v>5</v>
      </c>
    </row>
    <row r="406" spans="1:2089" s="65" customFormat="1" ht="14" customHeight="1">
      <c r="A406" s="27">
        <v>405</v>
      </c>
      <c r="B406" s="27" t="s">
        <v>543</v>
      </c>
      <c r="C406" s="27">
        <v>1998</v>
      </c>
      <c r="D406" s="27" t="s">
        <v>37</v>
      </c>
      <c r="E406" s="26" t="s">
        <v>565</v>
      </c>
      <c r="F406" s="77" t="s">
        <v>548</v>
      </c>
      <c r="G406" s="77" t="s">
        <v>108</v>
      </c>
      <c r="H406" s="2" t="s">
        <v>24</v>
      </c>
      <c r="I406" s="77" t="s">
        <v>548</v>
      </c>
      <c r="J406" s="77" t="s">
        <v>604</v>
      </c>
      <c r="K406" s="77" t="s">
        <v>548</v>
      </c>
      <c r="L406" s="2" t="s">
        <v>548</v>
      </c>
      <c r="M406" s="2" t="s">
        <v>548</v>
      </c>
      <c r="N406" s="77" t="s">
        <v>70</v>
      </c>
      <c r="O406" s="2" t="s">
        <v>209</v>
      </c>
      <c r="P406" s="2" t="s">
        <v>612</v>
      </c>
      <c r="Q406" s="2" t="s">
        <v>42</v>
      </c>
      <c r="R406" s="102" t="s">
        <v>614</v>
      </c>
      <c r="S406" s="93">
        <f>11/T406</f>
        <v>0.36666666666666664</v>
      </c>
      <c r="T406" s="27">
        <v>30</v>
      </c>
      <c r="U406" s="77">
        <v>0</v>
      </c>
      <c r="V406" s="27">
        <v>0</v>
      </c>
      <c r="W406" s="27">
        <v>1</v>
      </c>
      <c r="X406" s="27">
        <v>0</v>
      </c>
      <c r="Y406" s="27">
        <v>1</v>
      </c>
      <c r="Z406" s="27">
        <v>1</v>
      </c>
      <c r="AA406" s="27">
        <v>0</v>
      </c>
      <c r="AB406" s="27">
        <v>0</v>
      </c>
      <c r="AC406" s="37" t="s">
        <v>70</v>
      </c>
      <c r="AD406" s="37" t="s">
        <v>70</v>
      </c>
      <c r="AE406" s="37" t="s">
        <v>70</v>
      </c>
      <c r="AF406" s="37" t="s">
        <v>70</v>
      </c>
      <c r="AG406" s="37" t="s">
        <v>70</v>
      </c>
      <c r="AH406" s="37" t="s">
        <v>70</v>
      </c>
      <c r="AI406" s="37" t="s">
        <v>70</v>
      </c>
      <c r="AJ406" s="37" t="s">
        <v>70</v>
      </c>
      <c r="AK406" s="37" t="s">
        <v>70</v>
      </c>
      <c r="AL406" s="37" t="s">
        <v>70</v>
      </c>
      <c r="AM406" s="43" t="s">
        <v>548</v>
      </c>
      <c r="AN406" s="32" t="s">
        <v>274</v>
      </c>
      <c r="AO406" s="43" t="s">
        <v>548</v>
      </c>
      <c r="AP406" s="43" t="s">
        <v>548</v>
      </c>
      <c r="AQ406" s="43" t="s">
        <v>548</v>
      </c>
      <c r="AR406" s="43" t="s">
        <v>175</v>
      </c>
      <c r="AS406" s="26" t="s">
        <v>175</v>
      </c>
      <c r="AT406" s="26" t="s">
        <v>70</v>
      </c>
      <c r="AU406" s="26" t="s">
        <v>70</v>
      </c>
      <c r="AV406" s="26">
        <v>4</v>
      </c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  <c r="GR406" s="26"/>
      <c r="GS406" s="26"/>
      <c r="GT406" s="26"/>
      <c r="GU406" s="26"/>
      <c r="GV406" s="26"/>
      <c r="GW406" s="26"/>
      <c r="GX406" s="26"/>
      <c r="GY406" s="26"/>
      <c r="GZ406" s="26"/>
      <c r="HA406" s="26"/>
      <c r="HB406" s="26"/>
      <c r="HC406" s="26"/>
      <c r="HD406" s="26"/>
      <c r="HE406" s="26"/>
      <c r="HF406" s="26"/>
      <c r="HG406" s="26"/>
      <c r="HH406" s="26"/>
      <c r="HI406" s="26"/>
      <c r="HJ406" s="26"/>
      <c r="HK406" s="26"/>
      <c r="HL406" s="26"/>
      <c r="HM406" s="26"/>
      <c r="HN406" s="26"/>
      <c r="HO406" s="26"/>
      <c r="HP406" s="26"/>
      <c r="HQ406" s="26"/>
      <c r="HR406" s="26"/>
      <c r="HS406" s="26"/>
      <c r="HT406" s="26"/>
      <c r="HU406" s="26"/>
      <c r="HV406" s="26"/>
      <c r="HW406" s="26"/>
      <c r="HX406" s="26"/>
      <c r="HY406" s="26"/>
      <c r="HZ406" s="26"/>
      <c r="IA406" s="26"/>
      <c r="IB406" s="26"/>
      <c r="IC406" s="26"/>
      <c r="ID406" s="26"/>
      <c r="IE406" s="26"/>
      <c r="IF406" s="26"/>
      <c r="IG406" s="26"/>
      <c r="IH406" s="26"/>
      <c r="II406" s="26"/>
      <c r="IJ406" s="26"/>
      <c r="IK406" s="26"/>
      <c r="IL406" s="26"/>
      <c r="IM406" s="26"/>
      <c r="IN406" s="26"/>
      <c r="IO406" s="26"/>
      <c r="IP406" s="26"/>
      <c r="IQ406" s="26"/>
      <c r="IR406" s="26"/>
      <c r="IS406" s="26"/>
      <c r="IT406" s="26"/>
      <c r="IU406" s="26"/>
      <c r="IV406" s="26"/>
      <c r="IW406" s="26"/>
      <c r="IX406" s="26"/>
      <c r="IY406" s="26"/>
      <c r="IZ406" s="26"/>
      <c r="JA406" s="26"/>
      <c r="JB406" s="26"/>
      <c r="JC406" s="26"/>
      <c r="JD406" s="26"/>
      <c r="JE406" s="26"/>
      <c r="JF406" s="26"/>
      <c r="JG406" s="26"/>
      <c r="JH406" s="26"/>
      <c r="JI406" s="26"/>
      <c r="JJ406" s="26"/>
      <c r="JK406" s="26"/>
      <c r="JL406" s="26"/>
      <c r="JM406" s="26"/>
      <c r="JN406" s="26"/>
      <c r="JO406" s="26"/>
      <c r="JP406" s="26"/>
      <c r="JQ406" s="26"/>
      <c r="JR406" s="26"/>
      <c r="JS406" s="26"/>
      <c r="JT406" s="26"/>
      <c r="JU406" s="26"/>
      <c r="JV406" s="26"/>
      <c r="JW406" s="26"/>
      <c r="JX406" s="26"/>
      <c r="JY406" s="26"/>
      <c r="JZ406" s="26"/>
      <c r="KA406" s="26"/>
      <c r="KB406" s="26"/>
      <c r="KC406" s="26"/>
      <c r="KD406" s="26"/>
      <c r="KE406" s="26"/>
      <c r="KF406" s="26"/>
      <c r="KG406" s="26"/>
      <c r="KH406" s="26"/>
      <c r="KI406" s="26"/>
      <c r="KJ406" s="26"/>
      <c r="KK406" s="26"/>
      <c r="KL406" s="26"/>
      <c r="KM406" s="26"/>
      <c r="KN406" s="26"/>
      <c r="KO406" s="26"/>
      <c r="KP406" s="26"/>
      <c r="KQ406" s="26"/>
      <c r="KR406" s="26"/>
      <c r="KS406" s="26"/>
      <c r="KT406" s="26"/>
      <c r="KU406" s="26"/>
      <c r="KV406" s="26"/>
      <c r="KW406" s="26"/>
      <c r="KX406" s="26"/>
      <c r="KY406" s="26"/>
      <c r="KZ406" s="26"/>
      <c r="LA406" s="26"/>
      <c r="LB406" s="26"/>
      <c r="LC406" s="26"/>
      <c r="LD406" s="26"/>
      <c r="LE406" s="26"/>
      <c r="LF406" s="26"/>
      <c r="LG406" s="26"/>
      <c r="LH406" s="26"/>
      <c r="LI406" s="26"/>
      <c r="LJ406" s="26"/>
      <c r="LK406" s="26"/>
      <c r="LL406" s="26"/>
      <c r="LM406" s="26"/>
      <c r="LN406" s="26"/>
      <c r="LO406" s="26"/>
      <c r="LP406" s="26"/>
      <c r="LQ406" s="26"/>
      <c r="LR406" s="26"/>
      <c r="LS406" s="26"/>
      <c r="LT406" s="26"/>
      <c r="LU406" s="26"/>
      <c r="LV406" s="26"/>
      <c r="LW406" s="26"/>
      <c r="LX406" s="26"/>
      <c r="LY406" s="26"/>
      <c r="LZ406" s="26"/>
      <c r="MA406" s="26"/>
      <c r="MB406" s="26"/>
      <c r="MC406" s="26"/>
      <c r="MD406" s="26"/>
      <c r="ME406" s="26"/>
      <c r="MF406" s="26"/>
      <c r="MG406" s="26"/>
      <c r="MH406" s="26"/>
      <c r="MI406" s="26"/>
      <c r="MJ406" s="26"/>
      <c r="MK406" s="26"/>
      <c r="ML406" s="26"/>
      <c r="MM406" s="26"/>
      <c r="MN406" s="26"/>
      <c r="MO406" s="26"/>
      <c r="MP406" s="26"/>
      <c r="MQ406" s="26"/>
      <c r="MR406" s="26"/>
      <c r="MS406" s="26"/>
      <c r="MT406" s="26"/>
      <c r="MU406" s="26"/>
      <c r="MV406" s="26"/>
      <c r="MW406" s="26"/>
      <c r="MX406" s="26"/>
      <c r="MY406" s="26"/>
      <c r="MZ406" s="26"/>
      <c r="NA406" s="26"/>
      <c r="NB406" s="26"/>
      <c r="NC406" s="26"/>
      <c r="ND406" s="26"/>
      <c r="NE406" s="26"/>
      <c r="NF406" s="26"/>
      <c r="NG406" s="26"/>
      <c r="NH406" s="26"/>
      <c r="NI406" s="26"/>
      <c r="NJ406" s="26"/>
      <c r="NK406" s="26"/>
      <c r="NL406" s="26"/>
      <c r="NM406" s="26"/>
      <c r="NN406" s="26"/>
      <c r="NO406" s="26"/>
      <c r="NP406" s="26"/>
      <c r="NQ406" s="26"/>
      <c r="NR406" s="26"/>
      <c r="NS406" s="26"/>
      <c r="NT406" s="26"/>
      <c r="NU406" s="26"/>
      <c r="NV406" s="26"/>
      <c r="NW406" s="26"/>
      <c r="NX406" s="26"/>
      <c r="NY406" s="26"/>
      <c r="NZ406" s="26"/>
      <c r="OA406" s="26"/>
      <c r="OB406" s="26"/>
      <c r="OC406" s="26"/>
      <c r="OD406" s="26"/>
      <c r="OE406" s="26"/>
      <c r="OF406" s="26"/>
      <c r="OG406" s="26"/>
      <c r="OH406" s="26"/>
      <c r="OI406" s="26"/>
      <c r="OJ406" s="26"/>
      <c r="OK406" s="26"/>
      <c r="OL406" s="26"/>
      <c r="OM406" s="26"/>
      <c r="ON406" s="26"/>
      <c r="OO406" s="26"/>
      <c r="OP406" s="26"/>
      <c r="OQ406" s="26"/>
      <c r="OR406" s="26"/>
      <c r="OS406" s="26"/>
      <c r="OT406" s="26"/>
      <c r="OU406" s="26"/>
      <c r="OV406" s="26"/>
      <c r="OW406" s="26"/>
      <c r="OX406" s="26"/>
      <c r="OY406" s="26"/>
      <c r="OZ406" s="26"/>
      <c r="PA406" s="26"/>
      <c r="PB406" s="26"/>
      <c r="PC406" s="26"/>
      <c r="PD406" s="26"/>
      <c r="PE406" s="26"/>
      <c r="PF406" s="26"/>
      <c r="PG406" s="26"/>
      <c r="PH406" s="26"/>
      <c r="PI406" s="26"/>
      <c r="PJ406" s="26"/>
      <c r="PK406" s="26"/>
      <c r="PL406" s="26"/>
      <c r="PM406" s="26"/>
      <c r="PN406" s="26"/>
      <c r="PO406" s="26"/>
      <c r="PP406" s="26"/>
      <c r="PQ406" s="26"/>
      <c r="PR406" s="26"/>
      <c r="PS406" s="26"/>
      <c r="PT406" s="26"/>
      <c r="PU406" s="26"/>
      <c r="PV406" s="26"/>
      <c r="PW406" s="26"/>
      <c r="PX406" s="26"/>
      <c r="PY406" s="26"/>
      <c r="PZ406" s="26"/>
      <c r="QA406" s="26"/>
      <c r="QB406" s="26"/>
      <c r="QC406" s="26"/>
      <c r="QD406" s="26"/>
      <c r="QE406" s="26"/>
      <c r="QF406" s="26"/>
      <c r="QG406" s="26"/>
      <c r="QH406" s="26"/>
      <c r="QI406" s="26"/>
      <c r="QJ406" s="26"/>
      <c r="QK406" s="26"/>
      <c r="QL406" s="26"/>
      <c r="QM406" s="26"/>
      <c r="QN406" s="26"/>
      <c r="QO406" s="26"/>
      <c r="QP406" s="26"/>
      <c r="QQ406" s="26"/>
      <c r="QR406" s="26"/>
      <c r="QS406" s="26"/>
      <c r="QT406" s="26"/>
      <c r="QU406" s="26"/>
      <c r="QV406" s="26"/>
      <c r="QW406" s="26"/>
      <c r="QX406" s="26"/>
      <c r="QY406" s="26"/>
      <c r="QZ406" s="26"/>
      <c r="RA406" s="26"/>
      <c r="RB406" s="26"/>
      <c r="RC406" s="26"/>
      <c r="RD406" s="26"/>
      <c r="RE406" s="26"/>
      <c r="RF406" s="26"/>
      <c r="RG406" s="26"/>
      <c r="RH406" s="26"/>
      <c r="RI406" s="26"/>
      <c r="RJ406" s="26"/>
      <c r="RK406" s="26"/>
      <c r="RL406" s="26"/>
      <c r="RM406" s="26"/>
      <c r="RN406" s="26"/>
      <c r="RO406" s="26"/>
      <c r="RP406" s="26"/>
      <c r="RQ406" s="26"/>
      <c r="RR406" s="26"/>
      <c r="RS406" s="26"/>
      <c r="RT406" s="26"/>
      <c r="RU406" s="26"/>
      <c r="RV406" s="26"/>
      <c r="RW406" s="26"/>
      <c r="RX406" s="26"/>
      <c r="RY406" s="26"/>
      <c r="RZ406" s="26"/>
      <c r="SA406" s="26"/>
      <c r="SB406" s="26"/>
      <c r="SC406" s="26"/>
      <c r="SD406" s="26"/>
      <c r="SE406" s="26"/>
      <c r="SF406" s="26"/>
      <c r="SG406" s="26"/>
      <c r="SH406" s="26"/>
      <c r="SI406" s="26"/>
      <c r="SJ406" s="26"/>
      <c r="SK406" s="26"/>
      <c r="SL406" s="26"/>
      <c r="SM406" s="26"/>
      <c r="SN406" s="26"/>
      <c r="SO406" s="26"/>
      <c r="SP406" s="26"/>
      <c r="SQ406" s="26"/>
      <c r="SR406" s="26"/>
      <c r="SS406" s="26"/>
      <c r="ST406" s="26"/>
      <c r="SU406" s="26"/>
      <c r="SV406" s="26"/>
      <c r="SW406" s="26"/>
      <c r="SX406" s="26"/>
      <c r="SY406" s="26"/>
      <c r="SZ406" s="26"/>
      <c r="TA406" s="26"/>
      <c r="TB406" s="26"/>
      <c r="TC406" s="26"/>
      <c r="TD406" s="26"/>
      <c r="TE406" s="26"/>
      <c r="TF406" s="26"/>
      <c r="TG406" s="26"/>
      <c r="TH406" s="26"/>
      <c r="TI406" s="26"/>
      <c r="TJ406" s="26"/>
      <c r="TK406" s="26"/>
      <c r="TL406" s="26"/>
      <c r="TM406" s="26"/>
      <c r="TN406" s="26"/>
      <c r="TO406" s="26"/>
      <c r="TP406" s="26"/>
      <c r="TQ406" s="26"/>
      <c r="TR406" s="26"/>
      <c r="TS406" s="26"/>
      <c r="TT406" s="26"/>
      <c r="TU406" s="26"/>
      <c r="TV406" s="26"/>
      <c r="TW406" s="26"/>
      <c r="TX406" s="26"/>
      <c r="TY406" s="26"/>
      <c r="TZ406" s="26"/>
      <c r="UA406" s="26"/>
      <c r="UB406" s="26"/>
      <c r="UC406" s="26"/>
      <c r="UD406" s="26"/>
      <c r="UE406" s="26"/>
      <c r="UF406" s="26"/>
      <c r="UG406" s="26"/>
      <c r="UH406" s="26"/>
      <c r="UI406" s="26"/>
      <c r="UJ406" s="26"/>
      <c r="UK406" s="26"/>
      <c r="UL406" s="26"/>
      <c r="UM406" s="26"/>
      <c r="UN406" s="26"/>
      <c r="UO406" s="26"/>
      <c r="UP406" s="26"/>
      <c r="UQ406" s="26"/>
      <c r="UR406" s="26"/>
      <c r="US406" s="26"/>
      <c r="UT406" s="26"/>
      <c r="UU406" s="26"/>
      <c r="UV406" s="26"/>
      <c r="UW406" s="26"/>
      <c r="UX406" s="26"/>
      <c r="UY406" s="26"/>
      <c r="UZ406" s="26"/>
      <c r="VA406" s="26"/>
      <c r="VB406" s="26"/>
      <c r="VC406" s="26"/>
      <c r="VD406" s="26"/>
      <c r="VE406" s="26"/>
      <c r="VF406" s="26"/>
      <c r="VG406" s="26"/>
      <c r="VH406" s="26"/>
      <c r="VI406" s="26"/>
      <c r="VJ406" s="26"/>
      <c r="VK406" s="26"/>
      <c r="VL406" s="26"/>
      <c r="VM406" s="26"/>
      <c r="VN406" s="26"/>
      <c r="VO406" s="26"/>
      <c r="VP406" s="26"/>
      <c r="VQ406" s="26"/>
      <c r="VR406" s="26"/>
      <c r="VS406" s="26"/>
      <c r="VT406" s="26"/>
      <c r="VU406" s="26"/>
      <c r="VV406" s="26"/>
      <c r="VW406" s="26"/>
      <c r="VX406" s="26"/>
      <c r="VY406" s="26"/>
      <c r="VZ406" s="26"/>
      <c r="WA406" s="26"/>
      <c r="WB406" s="26"/>
      <c r="WC406" s="26"/>
      <c r="WD406" s="26"/>
      <c r="WE406" s="26"/>
      <c r="WF406" s="26"/>
      <c r="WG406" s="26"/>
      <c r="WH406" s="26"/>
      <c r="WI406" s="26"/>
      <c r="WJ406" s="26"/>
      <c r="WK406" s="26"/>
      <c r="WL406" s="26"/>
      <c r="WM406" s="26"/>
      <c r="WN406" s="26"/>
      <c r="WO406" s="26"/>
      <c r="WP406" s="26"/>
      <c r="WQ406" s="26"/>
      <c r="WR406" s="26"/>
      <c r="WS406" s="26"/>
      <c r="WT406" s="26"/>
      <c r="WU406" s="26"/>
      <c r="WV406" s="26"/>
      <c r="WW406" s="26"/>
      <c r="WX406" s="26"/>
      <c r="WY406" s="26"/>
      <c r="WZ406" s="26"/>
      <c r="XA406" s="26"/>
      <c r="XB406" s="26"/>
      <c r="XC406" s="26"/>
      <c r="XD406" s="26"/>
      <c r="XE406" s="26"/>
      <c r="XF406" s="26"/>
      <c r="XG406" s="26"/>
      <c r="XH406" s="26"/>
      <c r="XI406" s="26"/>
      <c r="XJ406" s="26"/>
      <c r="XK406" s="26"/>
      <c r="XL406" s="26"/>
      <c r="XM406" s="26"/>
      <c r="XN406" s="26"/>
      <c r="XO406" s="26"/>
      <c r="XP406" s="26"/>
      <c r="XQ406" s="26"/>
      <c r="XR406" s="26"/>
      <c r="XS406" s="26"/>
      <c r="XT406" s="26"/>
      <c r="XU406" s="26"/>
      <c r="XV406" s="26"/>
      <c r="XW406" s="26"/>
      <c r="XX406" s="26"/>
      <c r="XY406" s="26"/>
      <c r="XZ406" s="26"/>
      <c r="YA406" s="26"/>
      <c r="YB406" s="26"/>
      <c r="YC406" s="26"/>
      <c r="YD406" s="26"/>
      <c r="YE406" s="26"/>
      <c r="YF406" s="26"/>
      <c r="YG406" s="26"/>
      <c r="YH406" s="26"/>
      <c r="YI406" s="26"/>
      <c r="YJ406" s="26"/>
      <c r="YK406" s="26"/>
      <c r="YL406" s="26"/>
      <c r="YM406" s="26"/>
      <c r="YN406" s="26"/>
      <c r="YO406" s="26"/>
      <c r="YP406" s="26"/>
      <c r="YQ406" s="26"/>
      <c r="YR406" s="26"/>
      <c r="YS406" s="26"/>
      <c r="YT406" s="26"/>
      <c r="YU406" s="26"/>
      <c r="YV406" s="26"/>
      <c r="YW406" s="26"/>
      <c r="YX406" s="26"/>
      <c r="YY406" s="26"/>
      <c r="YZ406" s="26"/>
      <c r="ZA406" s="26"/>
      <c r="ZB406" s="26"/>
      <c r="ZC406" s="26"/>
      <c r="ZD406" s="26"/>
      <c r="ZE406" s="26"/>
      <c r="ZF406" s="26"/>
      <c r="ZG406" s="26"/>
      <c r="ZH406" s="26"/>
      <c r="ZI406" s="26"/>
      <c r="ZJ406" s="26"/>
      <c r="ZK406" s="26"/>
      <c r="ZL406" s="26"/>
      <c r="ZM406" s="26"/>
      <c r="ZN406" s="26"/>
      <c r="ZO406" s="26"/>
      <c r="ZP406" s="26"/>
      <c r="ZQ406" s="26"/>
      <c r="ZR406" s="26"/>
      <c r="ZS406" s="26"/>
      <c r="ZT406" s="26"/>
      <c r="ZU406" s="26"/>
      <c r="ZV406" s="26"/>
      <c r="ZW406" s="26"/>
      <c r="ZX406" s="26"/>
      <c r="ZY406" s="26"/>
      <c r="ZZ406" s="26"/>
      <c r="AAA406" s="26"/>
      <c r="AAB406" s="26"/>
      <c r="AAC406" s="26"/>
      <c r="AAD406" s="26"/>
      <c r="AAE406" s="26"/>
      <c r="AAF406" s="26"/>
      <c r="AAG406" s="26"/>
      <c r="AAH406" s="26"/>
      <c r="AAI406" s="26"/>
      <c r="AAJ406" s="26"/>
      <c r="AAK406" s="26"/>
      <c r="AAL406" s="26"/>
      <c r="AAM406" s="26"/>
      <c r="AAN406" s="26"/>
      <c r="AAO406" s="26"/>
      <c r="AAP406" s="26"/>
      <c r="AAQ406" s="26"/>
      <c r="AAR406" s="26"/>
      <c r="AAS406" s="26"/>
      <c r="AAT406" s="26"/>
      <c r="AAU406" s="26"/>
      <c r="AAV406" s="26"/>
      <c r="AAW406" s="26"/>
      <c r="AAX406" s="26"/>
      <c r="AAY406" s="26"/>
      <c r="AAZ406" s="26"/>
      <c r="ABA406" s="26"/>
      <c r="ABB406" s="26"/>
      <c r="ABC406" s="26"/>
      <c r="ABD406" s="26"/>
      <c r="ABE406" s="26"/>
      <c r="ABF406" s="26"/>
      <c r="ABG406" s="26"/>
      <c r="ABH406" s="26"/>
      <c r="ABI406" s="26"/>
      <c r="ABJ406" s="26"/>
      <c r="ABK406" s="26"/>
      <c r="ABL406" s="26"/>
      <c r="ABM406" s="26"/>
      <c r="ABN406" s="26"/>
      <c r="ABO406" s="26"/>
      <c r="ABP406" s="26"/>
      <c r="ABQ406" s="26"/>
      <c r="ABR406" s="26"/>
      <c r="ABS406" s="26"/>
      <c r="ABT406" s="26"/>
      <c r="ABU406" s="26"/>
      <c r="ABV406" s="26"/>
      <c r="ABW406" s="26"/>
      <c r="ABX406" s="26"/>
      <c r="ABY406" s="26"/>
      <c r="ABZ406" s="26"/>
      <c r="ACA406" s="26"/>
      <c r="ACB406" s="26"/>
      <c r="ACC406" s="26"/>
      <c r="ACD406" s="26"/>
      <c r="ACE406" s="26"/>
      <c r="ACF406" s="26"/>
      <c r="ACG406" s="26"/>
      <c r="ACH406" s="26"/>
      <c r="ACI406" s="26"/>
      <c r="ACJ406" s="26"/>
      <c r="ACK406" s="26"/>
      <c r="ACL406" s="26"/>
      <c r="ACM406" s="26"/>
      <c r="ACN406" s="26"/>
      <c r="ACO406" s="26"/>
      <c r="ACP406" s="26"/>
      <c r="ACQ406" s="26"/>
      <c r="ACR406" s="26"/>
      <c r="ACS406" s="26"/>
      <c r="ACT406" s="26"/>
      <c r="ACU406" s="26"/>
      <c r="ACV406" s="26"/>
      <c r="ACW406" s="26"/>
      <c r="ACX406" s="26"/>
      <c r="ACY406" s="26"/>
      <c r="ACZ406" s="26"/>
      <c r="ADA406" s="26"/>
      <c r="ADB406" s="26"/>
      <c r="ADC406" s="26"/>
      <c r="ADD406" s="26"/>
      <c r="ADE406" s="26"/>
      <c r="ADF406" s="26"/>
      <c r="ADG406" s="26"/>
      <c r="ADH406" s="26"/>
      <c r="ADI406" s="26"/>
      <c r="ADJ406" s="26"/>
      <c r="ADK406" s="26"/>
      <c r="ADL406" s="26"/>
      <c r="ADM406" s="26"/>
      <c r="ADN406" s="26"/>
      <c r="ADO406" s="26"/>
      <c r="ADP406" s="26"/>
      <c r="ADQ406" s="26"/>
      <c r="ADR406" s="26"/>
      <c r="ADS406" s="26"/>
      <c r="ADT406" s="26"/>
      <c r="ADU406" s="26"/>
      <c r="ADV406" s="26"/>
      <c r="ADW406" s="26"/>
      <c r="ADX406" s="26"/>
      <c r="ADY406" s="26"/>
      <c r="ADZ406" s="26"/>
      <c r="AEA406" s="26"/>
      <c r="AEB406" s="26"/>
      <c r="AEC406" s="26"/>
      <c r="AED406" s="26"/>
      <c r="AEE406" s="26"/>
      <c r="AEF406" s="26"/>
      <c r="AEG406" s="26"/>
      <c r="AEH406" s="26"/>
      <c r="AEI406" s="26"/>
      <c r="AEJ406" s="26"/>
      <c r="AEK406" s="26"/>
      <c r="AEL406" s="26"/>
      <c r="AEM406" s="26"/>
      <c r="AEN406" s="26"/>
      <c r="AEO406" s="26"/>
      <c r="AEP406" s="26"/>
      <c r="AEQ406" s="26"/>
      <c r="AER406" s="26"/>
      <c r="AES406" s="26"/>
      <c r="AET406" s="26"/>
      <c r="AEU406" s="26"/>
      <c r="AEV406" s="26"/>
      <c r="AEW406" s="26"/>
      <c r="AEX406" s="26"/>
      <c r="AEY406" s="26"/>
      <c r="AEZ406" s="26"/>
      <c r="AFA406" s="26"/>
      <c r="AFB406" s="26"/>
      <c r="AFC406" s="26"/>
      <c r="AFD406" s="26"/>
      <c r="AFE406" s="26"/>
      <c r="AFF406" s="26"/>
      <c r="AFG406" s="26"/>
      <c r="AFH406" s="26"/>
      <c r="AFI406" s="26"/>
      <c r="AFJ406" s="26"/>
      <c r="AFK406" s="26"/>
      <c r="AFL406" s="26"/>
      <c r="AFM406" s="26"/>
      <c r="AFN406" s="26"/>
      <c r="AFO406" s="26"/>
      <c r="AFP406" s="26"/>
      <c r="AFQ406" s="26"/>
      <c r="AFR406" s="26"/>
      <c r="AFS406" s="26"/>
      <c r="AFT406" s="26"/>
      <c r="AFU406" s="26"/>
      <c r="AFV406" s="26"/>
      <c r="AFW406" s="26"/>
      <c r="AFX406" s="26"/>
      <c r="AFY406" s="26"/>
      <c r="AFZ406" s="26"/>
      <c r="AGA406" s="26"/>
      <c r="AGB406" s="26"/>
      <c r="AGC406" s="26"/>
      <c r="AGD406" s="26"/>
      <c r="AGE406" s="26"/>
      <c r="AGF406" s="26"/>
      <c r="AGG406" s="26"/>
      <c r="AGH406" s="26"/>
      <c r="AGI406" s="26"/>
      <c r="AGJ406" s="26"/>
      <c r="AGK406" s="26"/>
      <c r="AGL406" s="26"/>
      <c r="AGM406" s="26"/>
      <c r="AGN406" s="26"/>
      <c r="AGO406" s="26"/>
      <c r="AGP406" s="26"/>
      <c r="AGQ406" s="26"/>
      <c r="AGR406" s="26"/>
      <c r="AGS406" s="26"/>
      <c r="AGT406" s="26"/>
      <c r="AGU406" s="26"/>
      <c r="AGV406" s="26"/>
      <c r="AGW406" s="26"/>
      <c r="AGX406" s="26"/>
      <c r="AGY406" s="26"/>
      <c r="AGZ406" s="26"/>
      <c r="AHA406" s="26"/>
      <c r="AHB406" s="26"/>
      <c r="AHC406" s="26"/>
      <c r="AHD406" s="26"/>
      <c r="AHE406" s="26"/>
      <c r="AHF406" s="26"/>
      <c r="AHG406" s="26"/>
      <c r="AHH406" s="26"/>
      <c r="AHI406" s="26"/>
      <c r="AHJ406" s="26"/>
      <c r="AHK406" s="26"/>
      <c r="AHL406" s="26"/>
      <c r="AHM406" s="26"/>
      <c r="AHN406" s="26"/>
      <c r="AHO406" s="26"/>
      <c r="AHP406" s="26"/>
      <c r="AHQ406" s="26"/>
      <c r="AHR406" s="26"/>
      <c r="AHS406" s="26"/>
      <c r="AHT406" s="26"/>
      <c r="AHU406" s="26"/>
      <c r="AHV406" s="26"/>
      <c r="AHW406" s="26"/>
      <c r="AHX406" s="26"/>
      <c r="AHY406" s="26"/>
      <c r="AHZ406" s="26"/>
      <c r="AIA406" s="26"/>
      <c r="AIB406" s="26"/>
      <c r="AIC406" s="26"/>
      <c r="AID406" s="26"/>
      <c r="AIE406" s="26"/>
      <c r="AIF406" s="26"/>
      <c r="AIG406" s="26"/>
      <c r="AIH406" s="26"/>
      <c r="AII406" s="26"/>
      <c r="AIJ406" s="26"/>
      <c r="AIK406" s="26"/>
      <c r="AIL406" s="26"/>
      <c r="AIM406" s="26"/>
      <c r="AIN406" s="26"/>
      <c r="AIO406" s="26"/>
      <c r="AIP406" s="26"/>
      <c r="AIQ406" s="26"/>
      <c r="AIR406" s="26"/>
      <c r="AIS406" s="26"/>
      <c r="AIT406" s="26"/>
      <c r="AIU406" s="26"/>
      <c r="AIV406" s="26"/>
      <c r="AIW406" s="26"/>
      <c r="AIX406" s="26"/>
      <c r="AIY406" s="26"/>
      <c r="AIZ406" s="26"/>
      <c r="AJA406" s="26"/>
      <c r="AJB406" s="26"/>
      <c r="AJC406" s="26"/>
      <c r="AJD406" s="26"/>
      <c r="AJE406" s="26"/>
      <c r="AJF406" s="26"/>
      <c r="AJG406" s="26"/>
      <c r="AJH406" s="26"/>
      <c r="AJI406" s="26"/>
      <c r="AJJ406" s="26"/>
      <c r="AJK406" s="26"/>
      <c r="AJL406" s="26"/>
      <c r="AJM406" s="26"/>
      <c r="AJN406" s="26"/>
      <c r="AJO406" s="26"/>
      <c r="AJP406" s="26"/>
      <c r="AJQ406" s="26"/>
      <c r="AJR406" s="26"/>
      <c r="AJS406" s="26"/>
      <c r="AJT406" s="26"/>
      <c r="AJU406" s="26"/>
      <c r="AJV406" s="26"/>
      <c r="AJW406" s="26"/>
      <c r="AJX406" s="26"/>
      <c r="AJY406" s="26"/>
      <c r="AJZ406" s="26"/>
      <c r="AKA406" s="26"/>
      <c r="AKB406" s="26"/>
      <c r="AKC406" s="26"/>
      <c r="AKD406" s="26"/>
      <c r="AKE406" s="26"/>
      <c r="AKF406" s="26"/>
      <c r="AKG406" s="26"/>
      <c r="AKH406" s="26"/>
      <c r="AKI406" s="26"/>
      <c r="AKJ406" s="26"/>
      <c r="AKK406" s="26"/>
      <c r="AKL406" s="26"/>
      <c r="AKM406" s="26"/>
      <c r="AKN406" s="26"/>
      <c r="AKO406" s="26"/>
      <c r="AKP406" s="26"/>
      <c r="AKQ406" s="26"/>
      <c r="AKR406" s="26"/>
      <c r="AKS406" s="26"/>
      <c r="AKT406" s="26"/>
      <c r="AKU406" s="26"/>
      <c r="AKV406" s="26"/>
      <c r="AKW406" s="26"/>
      <c r="AKX406" s="26"/>
      <c r="AKY406" s="26"/>
      <c r="AKZ406" s="26"/>
      <c r="ALA406" s="26"/>
      <c r="ALB406" s="26"/>
      <c r="ALC406" s="26"/>
      <c r="ALD406" s="26"/>
      <c r="ALE406" s="26"/>
      <c r="ALF406" s="26"/>
      <c r="ALG406" s="26"/>
      <c r="ALH406" s="26"/>
      <c r="ALI406" s="26"/>
      <c r="ALJ406" s="26"/>
      <c r="ALK406" s="26"/>
      <c r="ALL406" s="26"/>
      <c r="ALM406" s="26"/>
      <c r="ALN406" s="26"/>
      <c r="ALO406" s="26"/>
      <c r="ALP406" s="26"/>
      <c r="ALQ406" s="26"/>
      <c r="ALR406" s="26"/>
      <c r="ALS406" s="26"/>
      <c r="ALT406" s="26"/>
      <c r="ALU406" s="26"/>
      <c r="ALV406" s="26"/>
      <c r="ALW406" s="26"/>
      <c r="ALX406" s="26"/>
      <c r="ALY406" s="26"/>
      <c r="ALZ406" s="26"/>
      <c r="AMA406" s="26"/>
      <c r="AMB406" s="26"/>
      <c r="AMC406" s="26"/>
      <c r="AMD406" s="26"/>
      <c r="AME406" s="26"/>
      <c r="AMF406" s="26"/>
      <c r="AMG406" s="26"/>
      <c r="AMH406" s="26"/>
      <c r="AMI406" s="26"/>
      <c r="AMJ406" s="26"/>
      <c r="AMK406" s="26"/>
      <c r="AML406" s="26"/>
      <c r="AMM406" s="26"/>
      <c r="AMN406" s="26"/>
      <c r="AMO406" s="26"/>
      <c r="AMP406" s="26"/>
      <c r="AMQ406" s="26"/>
      <c r="AMR406" s="26"/>
      <c r="AMS406" s="26"/>
      <c r="AMT406" s="26"/>
      <c r="AMU406" s="26"/>
      <c r="AMV406" s="26"/>
      <c r="AMW406" s="26"/>
      <c r="AMX406" s="26"/>
      <c r="AMY406" s="26"/>
      <c r="AMZ406" s="26"/>
      <c r="ANA406" s="26"/>
      <c r="ANB406" s="26"/>
      <c r="ANC406" s="26"/>
      <c r="AND406" s="26"/>
      <c r="ANE406" s="26"/>
      <c r="ANF406" s="26"/>
      <c r="ANG406" s="26"/>
      <c r="ANH406" s="26"/>
      <c r="ANI406" s="26"/>
      <c r="ANJ406" s="26"/>
      <c r="ANK406" s="26"/>
      <c r="ANL406" s="26"/>
      <c r="ANM406" s="26"/>
      <c r="ANN406" s="26"/>
      <c r="ANO406" s="26"/>
      <c r="ANP406" s="26"/>
      <c r="ANQ406" s="26"/>
      <c r="ANR406" s="26"/>
      <c r="ANS406" s="26"/>
      <c r="ANT406" s="26"/>
      <c r="ANU406" s="26"/>
      <c r="ANV406" s="26"/>
      <c r="ANW406" s="26"/>
      <c r="ANX406" s="26"/>
      <c r="ANY406" s="26"/>
      <c r="ANZ406" s="26"/>
      <c r="AOA406" s="26"/>
      <c r="AOB406" s="26"/>
      <c r="AOC406" s="26"/>
      <c r="AOD406" s="26"/>
      <c r="AOE406" s="26"/>
      <c r="AOF406" s="26"/>
      <c r="AOG406" s="26"/>
      <c r="AOH406" s="26"/>
      <c r="AOI406" s="26"/>
      <c r="AOJ406" s="26"/>
      <c r="AOK406" s="26"/>
      <c r="AOL406" s="26"/>
      <c r="AOM406" s="26"/>
      <c r="AON406" s="26"/>
      <c r="AOO406" s="26"/>
      <c r="AOP406" s="26"/>
      <c r="AOQ406" s="26"/>
      <c r="AOR406" s="26"/>
      <c r="AOS406" s="26"/>
      <c r="AOT406" s="26"/>
      <c r="AOU406" s="26"/>
      <c r="AOV406" s="26"/>
      <c r="AOW406" s="26"/>
      <c r="AOX406" s="26"/>
      <c r="AOY406" s="26"/>
      <c r="AOZ406" s="26"/>
      <c r="APA406" s="26"/>
      <c r="APB406" s="26"/>
      <c r="APC406" s="26"/>
      <c r="APD406" s="26"/>
      <c r="APE406" s="26"/>
      <c r="APF406" s="26"/>
      <c r="APG406" s="26"/>
      <c r="APH406" s="26"/>
      <c r="API406" s="26"/>
      <c r="APJ406" s="26"/>
      <c r="APK406" s="26"/>
      <c r="APL406" s="26"/>
      <c r="APM406" s="26"/>
      <c r="APN406" s="26"/>
      <c r="APO406" s="26"/>
      <c r="APP406" s="26"/>
      <c r="APQ406" s="26"/>
      <c r="APR406" s="26"/>
      <c r="APS406" s="26"/>
      <c r="APT406" s="26"/>
      <c r="APU406" s="26"/>
      <c r="APV406" s="26"/>
      <c r="APW406" s="26"/>
      <c r="APX406" s="26"/>
      <c r="APY406" s="26"/>
      <c r="APZ406" s="26"/>
      <c r="AQA406" s="26"/>
      <c r="AQB406" s="26"/>
      <c r="AQC406" s="26"/>
      <c r="AQD406" s="26"/>
      <c r="AQE406" s="26"/>
      <c r="AQF406" s="26"/>
      <c r="AQG406" s="26"/>
      <c r="AQH406" s="26"/>
      <c r="AQI406" s="26"/>
      <c r="AQJ406" s="26"/>
      <c r="AQK406" s="26"/>
      <c r="AQL406" s="26"/>
      <c r="AQM406" s="26"/>
      <c r="AQN406" s="26"/>
      <c r="AQO406" s="26"/>
      <c r="AQP406" s="26"/>
      <c r="AQQ406" s="26"/>
      <c r="AQR406" s="26"/>
      <c r="AQS406" s="26"/>
      <c r="AQT406" s="26"/>
      <c r="AQU406" s="26"/>
      <c r="AQV406" s="26"/>
      <c r="AQW406" s="26"/>
      <c r="AQX406" s="26"/>
      <c r="AQY406" s="26"/>
      <c r="AQZ406" s="26"/>
      <c r="ARA406" s="26"/>
      <c r="ARB406" s="26"/>
      <c r="ARC406" s="26"/>
      <c r="ARD406" s="26"/>
      <c r="ARE406" s="26"/>
      <c r="ARF406" s="26"/>
      <c r="ARG406" s="26"/>
      <c r="ARH406" s="26"/>
      <c r="ARI406" s="26"/>
      <c r="ARJ406" s="26"/>
      <c r="ARK406" s="26"/>
      <c r="ARL406" s="26"/>
      <c r="ARM406" s="26"/>
      <c r="ARN406" s="26"/>
      <c r="ARO406" s="26"/>
      <c r="ARP406" s="26"/>
      <c r="ARQ406" s="26"/>
      <c r="ARR406" s="26"/>
      <c r="ARS406" s="26"/>
      <c r="ART406" s="26"/>
      <c r="ARU406" s="26"/>
      <c r="ARV406" s="26"/>
      <c r="ARW406" s="26"/>
      <c r="ARX406" s="26"/>
      <c r="ARY406" s="26"/>
      <c r="ARZ406" s="26"/>
      <c r="ASA406" s="26"/>
      <c r="ASB406" s="26"/>
      <c r="ASC406" s="26"/>
      <c r="ASD406" s="26"/>
      <c r="ASE406" s="26"/>
      <c r="ASF406" s="26"/>
      <c r="ASG406" s="26"/>
      <c r="ASH406" s="26"/>
      <c r="ASI406" s="26"/>
      <c r="ASJ406" s="26"/>
      <c r="ASK406" s="26"/>
      <c r="ASL406" s="26"/>
      <c r="ASM406" s="26"/>
      <c r="ASN406" s="26"/>
      <c r="ASO406" s="26"/>
      <c r="ASP406" s="26"/>
      <c r="ASQ406" s="26"/>
      <c r="ASR406" s="26"/>
      <c r="ASS406" s="26"/>
      <c r="AST406" s="26"/>
      <c r="ASU406" s="26"/>
      <c r="ASV406" s="26"/>
      <c r="ASW406" s="26"/>
      <c r="ASX406" s="26"/>
      <c r="ASY406" s="26"/>
      <c r="ASZ406" s="26"/>
      <c r="ATA406" s="26"/>
      <c r="ATB406" s="26"/>
      <c r="ATC406" s="26"/>
      <c r="ATD406" s="26"/>
      <c r="ATE406" s="26"/>
      <c r="ATF406" s="26"/>
      <c r="ATG406" s="26"/>
      <c r="ATH406" s="26"/>
      <c r="ATI406" s="26"/>
      <c r="ATJ406" s="26"/>
      <c r="ATK406" s="26"/>
      <c r="ATL406" s="26"/>
      <c r="ATM406" s="26"/>
      <c r="ATN406" s="26"/>
      <c r="ATO406" s="26"/>
      <c r="ATP406" s="26"/>
      <c r="ATQ406" s="26"/>
      <c r="ATR406" s="26"/>
      <c r="ATS406" s="26"/>
      <c r="ATT406" s="26"/>
      <c r="ATU406" s="26"/>
      <c r="ATV406" s="26"/>
      <c r="ATW406" s="26"/>
      <c r="ATX406" s="26"/>
      <c r="ATY406" s="26"/>
      <c r="ATZ406" s="26"/>
      <c r="AUA406" s="26"/>
      <c r="AUB406" s="26"/>
      <c r="AUC406" s="26"/>
      <c r="AUD406" s="26"/>
      <c r="AUE406" s="26"/>
      <c r="AUF406" s="26"/>
      <c r="AUG406" s="26"/>
      <c r="AUH406" s="26"/>
      <c r="AUI406" s="26"/>
      <c r="AUJ406" s="26"/>
      <c r="AUK406" s="26"/>
      <c r="AUL406" s="26"/>
      <c r="AUM406" s="26"/>
      <c r="AUN406" s="26"/>
      <c r="AUO406" s="26"/>
      <c r="AUP406" s="26"/>
      <c r="AUQ406" s="26"/>
      <c r="AUR406" s="26"/>
      <c r="AUS406" s="26"/>
      <c r="AUT406" s="26"/>
      <c r="AUU406" s="26"/>
      <c r="AUV406" s="26"/>
      <c r="AUW406" s="26"/>
      <c r="AUX406" s="26"/>
      <c r="AUY406" s="26"/>
      <c r="AUZ406" s="26"/>
      <c r="AVA406" s="26"/>
      <c r="AVB406" s="26"/>
      <c r="AVC406" s="26"/>
      <c r="AVD406" s="26"/>
      <c r="AVE406" s="26"/>
      <c r="AVF406" s="26"/>
      <c r="AVG406" s="26"/>
      <c r="AVH406" s="26"/>
      <c r="AVI406" s="26"/>
      <c r="AVJ406" s="26"/>
      <c r="AVK406" s="26"/>
      <c r="AVL406" s="26"/>
      <c r="AVM406" s="26"/>
      <c r="AVN406" s="26"/>
      <c r="AVO406" s="26"/>
      <c r="AVP406" s="26"/>
      <c r="AVQ406" s="26"/>
      <c r="AVR406" s="26"/>
      <c r="AVS406" s="26"/>
      <c r="AVT406" s="26"/>
      <c r="AVU406" s="26"/>
      <c r="AVV406" s="26"/>
      <c r="AVW406" s="26"/>
      <c r="AVX406" s="26"/>
      <c r="AVY406" s="26"/>
      <c r="AVZ406" s="26"/>
      <c r="AWA406" s="26"/>
      <c r="AWB406" s="26"/>
      <c r="AWC406" s="26"/>
      <c r="AWD406" s="26"/>
      <c r="AWE406" s="26"/>
      <c r="AWF406" s="26"/>
      <c r="AWG406" s="26"/>
      <c r="AWH406" s="26"/>
      <c r="AWI406" s="26"/>
      <c r="AWJ406" s="26"/>
      <c r="AWK406" s="26"/>
      <c r="AWL406" s="26"/>
      <c r="AWM406" s="26"/>
      <c r="AWN406" s="26"/>
      <c r="AWO406" s="26"/>
      <c r="AWP406" s="26"/>
      <c r="AWQ406" s="26"/>
      <c r="AWR406" s="26"/>
      <c r="AWS406" s="26"/>
      <c r="AWT406" s="26"/>
      <c r="AWU406" s="26"/>
      <c r="AWV406" s="26"/>
      <c r="AWW406" s="26"/>
      <c r="AWX406" s="26"/>
      <c r="AWY406" s="26"/>
      <c r="AWZ406" s="26"/>
      <c r="AXA406" s="26"/>
      <c r="AXB406" s="26"/>
      <c r="AXC406" s="26"/>
      <c r="AXD406" s="26"/>
      <c r="AXE406" s="26"/>
      <c r="AXF406" s="26"/>
      <c r="AXG406" s="26"/>
      <c r="AXH406" s="26"/>
      <c r="AXI406" s="26"/>
      <c r="AXJ406" s="26"/>
      <c r="AXK406" s="26"/>
      <c r="AXL406" s="26"/>
      <c r="AXM406" s="26"/>
      <c r="AXN406" s="26"/>
      <c r="AXO406" s="26"/>
      <c r="AXP406" s="26"/>
      <c r="AXQ406" s="26"/>
      <c r="AXR406" s="26"/>
      <c r="AXS406" s="26"/>
      <c r="AXT406" s="26"/>
      <c r="AXU406" s="26"/>
      <c r="AXV406" s="26"/>
      <c r="AXW406" s="26"/>
      <c r="AXX406" s="26"/>
      <c r="AXY406" s="26"/>
      <c r="AXZ406" s="26"/>
      <c r="AYA406" s="26"/>
      <c r="AYB406" s="26"/>
      <c r="AYC406" s="26"/>
      <c r="AYD406" s="26"/>
      <c r="AYE406" s="26"/>
      <c r="AYF406" s="26"/>
      <c r="AYG406" s="26"/>
      <c r="AYH406" s="26"/>
      <c r="AYI406" s="26"/>
      <c r="AYJ406" s="26"/>
      <c r="AYK406" s="26"/>
      <c r="AYL406" s="26"/>
      <c r="AYM406" s="26"/>
      <c r="AYN406" s="26"/>
      <c r="AYO406" s="26"/>
      <c r="AYP406" s="26"/>
      <c r="AYQ406" s="26"/>
      <c r="AYR406" s="26"/>
      <c r="AYS406" s="26"/>
      <c r="AYT406" s="26"/>
      <c r="AYU406" s="26"/>
      <c r="AYV406" s="26"/>
      <c r="AYW406" s="26"/>
      <c r="AYX406" s="26"/>
      <c r="AYY406" s="26"/>
      <c r="AYZ406" s="26"/>
      <c r="AZA406" s="26"/>
      <c r="AZB406" s="26"/>
      <c r="AZC406" s="26"/>
      <c r="AZD406" s="26"/>
      <c r="AZE406" s="26"/>
      <c r="AZF406" s="26"/>
      <c r="AZG406" s="26"/>
      <c r="AZH406" s="26"/>
      <c r="AZI406" s="26"/>
      <c r="AZJ406" s="26"/>
      <c r="AZK406" s="26"/>
      <c r="AZL406" s="26"/>
      <c r="AZM406" s="26"/>
      <c r="AZN406" s="26"/>
      <c r="AZO406" s="26"/>
      <c r="AZP406" s="26"/>
      <c r="AZQ406" s="26"/>
      <c r="AZR406" s="26"/>
      <c r="AZS406" s="26"/>
      <c r="AZT406" s="26"/>
      <c r="AZU406" s="26"/>
      <c r="AZV406" s="26"/>
      <c r="AZW406" s="26"/>
      <c r="AZX406" s="26"/>
      <c r="AZY406" s="26"/>
      <c r="AZZ406" s="26"/>
      <c r="BAA406" s="26"/>
      <c r="BAB406" s="26"/>
      <c r="BAC406" s="26"/>
      <c r="BAD406" s="26"/>
      <c r="BAE406" s="26"/>
      <c r="BAF406" s="26"/>
      <c r="BAG406" s="26"/>
      <c r="BAH406" s="26"/>
      <c r="BAI406" s="26"/>
      <c r="BAJ406" s="26"/>
      <c r="BAK406" s="26"/>
      <c r="BAL406" s="26"/>
      <c r="BAM406" s="26"/>
      <c r="BAN406" s="26"/>
      <c r="BAO406" s="26"/>
      <c r="BAP406" s="26"/>
      <c r="BAQ406" s="26"/>
      <c r="BAR406" s="26"/>
      <c r="BAS406" s="26"/>
      <c r="BAT406" s="26"/>
      <c r="BAU406" s="26"/>
      <c r="BAV406" s="26"/>
      <c r="BAW406" s="26"/>
      <c r="BAX406" s="26"/>
      <c r="BAY406" s="26"/>
      <c r="BAZ406" s="26"/>
      <c r="BBA406" s="26"/>
      <c r="BBB406" s="26"/>
      <c r="BBC406" s="26"/>
      <c r="BBD406" s="26"/>
      <c r="BBE406" s="26"/>
      <c r="BBF406" s="26"/>
      <c r="BBG406" s="26"/>
      <c r="BBH406" s="26"/>
      <c r="BBI406" s="26"/>
      <c r="BBJ406" s="26"/>
      <c r="BBK406" s="26"/>
      <c r="BBL406" s="26"/>
      <c r="BBM406" s="26"/>
      <c r="BBN406" s="26"/>
      <c r="BBO406" s="26"/>
      <c r="BBP406" s="26"/>
      <c r="BBQ406" s="26"/>
      <c r="BBR406" s="26"/>
      <c r="BBS406" s="26"/>
      <c r="BBT406" s="26"/>
      <c r="BBU406" s="26"/>
      <c r="BBV406" s="26"/>
      <c r="BBW406" s="26"/>
      <c r="BBX406" s="26"/>
      <c r="BBY406" s="26"/>
      <c r="BBZ406" s="26"/>
      <c r="BCA406" s="26"/>
      <c r="BCB406" s="26"/>
      <c r="BCC406" s="26"/>
      <c r="BCD406" s="26"/>
      <c r="BCE406" s="26"/>
      <c r="BCF406" s="26"/>
      <c r="BCG406" s="26"/>
      <c r="BCH406" s="26"/>
      <c r="BCI406" s="26"/>
      <c r="BCJ406" s="26"/>
      <c r="BCK406" s="26"/>
      <c r="BCL406" s="26"/>
      <c r="BCM406" s="26"/>
      <c r="BCN406" s="26"/>
      <c r="BCO406" s="26"/>
      <c r="BCP406" s="26"/>
      <c r="BCQ406" s="26"/>
      <c r="BCR406" s="26"/>
      <c r="BCS406" s="26"/>
      <c r="BCT406" s="26"/>
      <c r="BCU406" s="26"/>
      <c r="BCV406" s="26"/>
      <c r="BCW406" s="26"/>
      <c r="BCX406" s="26"/>
      <c r="BCY406" s="26"/>
      <c r="BCZ406" s="26"/>
      <c r="BDA406" s="26"/>
      <c r="BDB406" s="26"/>
      <c r="BDC406" s="26"/>
      <c r="BDD406" s="26"/>
      <c r="BDE406" s="26"/>
      <c r="BDF406" s="26"/>
      <c r="BDG406" s="26"/>
      <c r="BDH406" s="26"/>
      <c r="BDI406" s="26"/>
      <c r="BDJ406" s="26"/>
      <c r="BDK406" s="26"/>
      <c r="BDL406" s="26"/>
      <c r="BDM406" s="26"/>
      <c r="BDN406" s="26"/>
      <c r="BDO406" s="26"/>
      <c r="BDP406" s="26"/>
      <c r="BDQ406" s="26"/>
      <c r="BDR406" s="26"/>
      <c r="BDS406" s="26"/>
      <c r="BDT406" s="26"/>
      <c r="BDU406" s="26"/>
      <c r="BDV406" s="26"/>
      <c r="BDW406" s="26"/>
      <c r="BDX406" s="26"/>
      <c r="BDY406" s="26"/>
      <c r="BDZ406" s="26"/>
      <c r="BEA406" s="26"/>
      <c r="BEB406" s="26"/>
      <c r="BEC406" s="26"/>
      <c r="BED406" s="26"/>
      <c r="BEE406" s="26"/>
      <c r="BEF406" s="26"/>
      <c r="BEG406" s="26"/>
      <c r="BEH406" s="26"/>
      <c r="BEI406" s="26"/>
      <c r="BEJ406" s="26"/>
      <c r="BEK406" s="26"/>
      <c r="BEL406" s="26"/>
      <c r="BEM406" s="26"/>
      <c r="BEN406" s="26"/>
      <c r="BEO406" s="26"/>
      <c r="BEP406" s="26"/>
      <c r="BEQ406" s="26"/>
      <c r="BER406" s="26"/>
      <c r="BES406" s="26"/>
      <c r="BET406" s="26"/>
      <c r="BEU406" s="26"/>
      <c r="BEV406" s="26"/>
      <c r="BEW406" s="26"/>
      <c r="BEX406" s="26"/>
      <c r="BEY406" s="26"/>
      <c r="BEZ406" s="26"/>
      <c r="BFA406" s="26"/>
      <c r="BFB406" s="26"/>
      <c r="BFC406" s="26"/>
      <c r="BFD406" s="26"/>
      <c r="BFE406" s="26"/>
      <c r="BFF406" s="26"/>
      <c r="BFG406" s="26"/>
      <c r="BFH406" s="26"/>
      <c r="BFI406" s="26"/>
      <c r="BFJ406" s="26"/>
      <c r="BFK406" s="26"/>
      <c r="BFL406" s="26"/>
      <c r="BFM406" s="26"/>
      <c r="BFN406" s="26"/>
      <c r="BFO406" s="26"/>
      <c r="BFP406" s="26"/>
      <c r="BFQ406" s="26"/>
      <c r="BFR406" s="26"/>
      <c r="BFS406" s="26"/>
      <c r="BFT406" s="26"/>
      <c r="BFU406" s="26"/>
      <c r="BFV406" s="26"/>
      <c r="BFW406" s="26"/>
      <c r="BFX406" s="26"/>
      <c r="BFY406" s="26"/>
      <c r="BFZ406" s="26"/>
      <c r="BGA406" s="26"/>
      <c r="BGB406" s="26"/>
      <c r="BGC406" s="26"/>
      <c r="BGD406" s="26"/>
      <c r="BGE406" s="26"/>
      <c r="BGF406" s="26"/>
      <c r="BGG406" s="26"/>
      <c r="BGH406" s="26"/>
      <c r="BGI406" s="26"/>
      <c r="BGJ406" s="26"/>
      <c r="BGK406" s="26"/>
      <c r="BGL406" s="26"/>
      <c r="BGM406" s="26"/>
      <c r="BGN406" s="26"/>
      <c r="BGO406" s="26"/>
      <c r="BGP406" s="26"/>
      <c r="BGQ406" s="26"/>
      <c r="BGR406" s="26"/>
      <c r="BGS406" s="26"/>
      <c r="BGT406" s="26"/>
      <c r="BGU406" s="26"/>
      <c r="BGV406" s="26"/>
      <c r="BGW406" s="26"/>
      <c r="BGX406" s="26"/>
      <c r="BGY406" s="26"/>
      <c r="BGZ406" s="26"/>
      <c r="BHA406" s="26"/>
      <c r="BHB406" s="26"/>
      <c r="BHC406" s="26"/>
      <c r="BHD406" s="26"/>
      <c r="BHE406" s="26"/>
      <c r="BHF406" s="26"/>
      <c r="BHG406" s="26"/>
      <c r="BHH406" s="26"/>
      <c r="BHI406" s="26"/>
      <c r="BHJ406" s="26"/>
      <c r="BHK406" s="26"/>
      <c r="BHL406" s="26"/>
      <c r="BHM406" s="26"/>
      <c r="BHN406" s="26"/>
      <c r="BHO406" s="26"/>
      <c r="BHP406" s="26"/>
      <c r="BHQ406" s="26"/>
      <c r="BHR406" s="26"/>
      <c r="BHS406" s="26"/>
      <c r="BHT406" s="26"/>
      <c r="BHU406" s="26"/>
      <c r="BHV406" s="26"/>
      <c r="BHW406" s="26"/>
      <c r="BHX406" s="26"/>
      <c r="BHY406" s="26"/>
      <c r="BHZ406" s="26"/>
      <c r="BIA406" s="26"/>
      <c r="BIB406" s="26"/>
      <c r="BIC406" s="26"/>
      <c r="BID406" s="26"/>
      <c r="BIE406" s="26"/>
      <c r="BIF406" s="26"/>
      <c r="BIG406" s="26"/>
      <c r="BIH406" s="26"/>
      <c r="BII406" s="26"/>
      <c r="BIJ406" s="26"/>
      <c r="BIK406" s="26"/>
      <c r="BIL406" s="26"/>
      <c r="BIM406" s="26"/>
      <c r="BIN406" s="26"/>
      <c r="BIO406" s="26"/>
      <c r="BIP406" s="26"/>
      <c r="BIQ406" s="26"/>
      <c r="BIR406" s="26"/>
      <c r="BIS406" s="26"/>
      <c r="BIT406" s="26"/>
      <c r="BIU406" s="26"/>
      <c r="BIV406" s="26"/>
      <c r="BIW406" s="26"/>
      <c r="BIX406" s="26"/>
      <c r="BIY406" s="26"/>
      <c r="BIZ406" s="26"/>
      <c r="BJA406" s="26"/>
      <c r="BJB406" s="26"/>
      <c r="BJC406" s="26"/>
      <c r="BJD406" s="26"/>
      <c r="BJE406" s="26"/>
      <c r="BJF406" s="26"/>
      <c r="BJG406" s="26"/>
      <c r="BJH406" s="26"/>
      <c r="BJI406" s="26"/>
      <c r="BJJ406" s="26"/>
      <c r="BJK406" s="26"/>
      <c r="BJL406" s="26"/>
      <c r="BJM406" s="26"/>
      <c r="BJN406" s="26"/>
      <c r="BJO406" s="26"/>
      <c r="BJP406" s="26"/>
      <c r="BJQ406" s="26"/>
      <c r="BJR406" s="26"/>
      <c r="BJS406" s="26"/>
      <c r="BJT406" s="26"/>
      <c r="BJU406" s="26"/>
      <c r="BJV406" s="26"/>
      <c r="BJW406" s="26"/>
      <c r="BJX406" s="26"/>
      <c r="BJY406" s="26"/>
      <c r="BJZ406" s="26"/>
      <c r="BKA406" s="26"/>
      <c r="BKB406" s="26"/>
      <c r="BKC406" s="26"/>
      <c r="BKD406" s="26"/>
      <c r="BKE406" s="26"/>
      <c r="BKF406" s="26"/>
      <c r="BKG406" s="26"/>
      <c r="BKH406" s="26"/>
      <c r="BKI406" s="26"/>
      <c r="BKJ406" s="26"/>
      <c r="BKK406" s="26"/>
      <c r="BKL406" s="26"/>
      <c r="BKM406" s="26"/>
      <c r="BKN406" s="26"/>
      <c r="BKO406" s="26"/>
      <c r="BKP406" s="26"/>
      <c r="BKQ406" s="26"/>
      <c r="BKR406" s="26"/>
      <c r="BKS406" s="26"/>
      <c r="BKT406" s="26"/>
      <c r="BKU406" s="26"/>
      <c r="BKV406" s="26"/>
      <c r="BKW406" s="26"/>
      <c r="BKX406" s="26"/>
      <c r="BKY406" s="26"/>
      <c r="BKZ406" s="26"/>
      <c r="BLA406" s="26"/>
      <c r="BLB406" s="26"/>
      <c r="BLC406" s="26"/>
      <c r="BLD406" s="26"/>
      <c r="BLE406" s="26"/>
      <c r="BLF406" s="26"/>
      <c r="BLG406" s="26"/>
      <c r="BLH406" s="26"/>
      <c r="BLI406" s="26"/>
      <c r="BLJ406" s="26"/>
      <c r="BLK406" s="26"/>
      <c r="BLL406" s="26"/>
      <c r="BLM406" s="26"/>
      <c r="BLN406" s="26"/>
      <c r="BLO406" s="26"/>
      <c r="BLP406" s="26"/>
      <c r="BLQ406" s="26"/>
      <c r="BLR406" s="26"/>
      <c r="BLS406" s="26"/>
      <c r="BLT406" s="26"/>
      <c r="BLU406" s="26"/>
      <c r="BLV406" s="26"/>
      <c r="BLW406" s="26"/>
      <c r="BLX406" s="26"/>
      <c r="BLY406" s="26"/>
      <c r="BLZ406" s="26"/>
      <c r="BMA406" s="26"/>
      <c r="BMB406" s="26"/>
      <c r="BMC406" s="26"/>
      <c r="BMD406" s="26"/>
      <c r="BME406" s="26"/>
      <c r="BMF406" s="26"/>
      <c r="BMG406" s="26"/>
      <c r="BMH406" s="26"/>
      <c r="BMI406" s="26"/>
      <c r="BMJ406" s="26"/>
      <c r="BMK406" s="26"/>
      <c r="BML406" s="26"/>
      <c r="BMM406" s="26"/>
      <c r="BMN406" s="26"/>
      <c r="BMO406" s="26"/>
      <c r="BMP406" s="26"/>
      <c r="BMQ406" s="26"/>
      <c r="BMR406" s="26"/>
      <c r="BMS406" s="26"/>
      <c r="BMT406" s="26"/>
      <c r="BMU406" s="26"/>
      <c r="BMV406" s="26"/>
      <c r="BMW406" s="26"/>
      <c r="BMX406" s="26"/>
      <c r="BMY406" s="26"/>
      <c r="BMZ406" s="26"/>
      <c r="BNA406" s="26"/>
      <c r="BNB406" s="26"/>
      <c r="BNC406" s="26"/>
      <c r="BND406" s="26"/>
      <c r="BNE406" s="26"/>
      <c r="BNF406" s="26"/>
      <c r="BNG406" s="26"/>
      <c r="BNH406" s="26"/>
      <c r="BNI406" s="26"/>
      <c r="BNJ406" s="26"/>
      <c r="BNK406" s="26"/>
      <c r="BNL406" s="26"/>
      <c r="BNM406" s="26"/>
      <c r="BNN406" s="26"/>
      <c r="BNO406" s="26"/>
      <c r="BNP406" s="26"/>
      <c r="BNQ406" s="26"/>
      <c r="BNR406" s="26"/>
      <c r="BNS406" s="26"/>
      <c r="BNT406" s="26"/>
      <c r="BNU406" s="26"/>
      <c r="BNV406" s="26"/>
      <c r="BNW406" s="26"/>
      <c r="BNX406" s="26"/>
      <c r="BNY406" s="26"/>
      <c r="BNZ406" s="26"/>
      <c r="BOA406" s="26"/>
      <c r="BOB406" s="26"/>
      <c r="BOC406" s="26"/>
      <c r="BOD406" s="26"/>
      <c r="BOE406" s="26"/>
      <c r="BOF406" s="26"/>
      <c r="BOG406" s="26"/>
      <c r="BOH406" s="26"/>
      <c r="BOI406" s="26"/>
      <c r="BOJ406" s="26"/>
      <c r="BOK406" s="26"/>
      <c r="BOL406" s="26"/>
      <c r="BOM406" s="26"/>
      <c r="BON406" s="26"/>
      <c r="BOO406" s="26"/>
      <c r="BOP406" s="26"/>
      <c r="BOQ406" s="26"/>
      <c r="BOR406" s="26"/>
      <c r="BOS406" s="26"/>
      <c r="BOT406" s="26"/>
      <c r="BOU406" s="26"/>
      <c r="BOV406" s="26"/>
      <c r="BOW406" s="26"/>
      <c r="BOX406" s="26"/>
      <c r="BOY406" s="26"/>
      <c r="BOZ406" s="26"/>
      <c r="BPA406" s="26"/>
      <c r="BPB406" s="26"/>
      <c r="BPC406" s="26"/>
      <c r="BPD406" s="26"/>
      <c r="BPE406" s="26"/>
      <c r="BPF406" s="26"/>
      <c r="BPG406" s="26"/>
      <c r="BPH406" s="26"/>
      <c r="BPI406" s="26"/>
      <c r="BPJ406" s="26"/>
      <c r="BPK406" s="26"/>
      <c r="BPL406" s="26"/>
      <c r="BPM406" s="26"/>
      <c r="BPN406" s="26"/>
      <c r="BPO406" s="26"/>
      <c r="BPP406" s="26"/>
      <c r="BPQ406" s="26"/>
      <c r="BPR406" s="26"/>
      <c r="BPS406" s="26"/>
      <c r="BPT406" s="26"/>
      <c r="BPU406" s="26"/>
      <c r="BPV406" s="26"/>
      <c r="BPW406" s="26"/>
      <c r="BPX406" s="26"/>
      <c r="BPY406" s="26"/>
      <c r="BPZ406" s="26"/>
      <c r="BQA406" s="26"/>
      <c r="BQB406" s="26"/>
      <c r="BQC406" s="26"/>
      <c r="BQD406" s="26"/>
      <c r="BQE406" s="26"/>
      <c r="BQF406" s="26"/>
      <c r="BQG406" s="26"/>
      <c r="BQH406" s="26"/>
      <c r="BQI406" s="26"/>
      <c r="BQJ406" s="26"/>
      <c r="BQK406" s="26"/>
      <c r="BQL406" s="26"/>
      <c r="BQM406" s="26"/>
      <c r="BQN406" s="26"/>
      <c r="BQO406" s="26"/>
      <c r="BQP406" s="26"/>
      <c r="BQQ406" s="26"/>
      <c r="BQR406" s="26"/>
      <c r="BQS406" s="26"/>
      <c r="BQT406" s="26"/>
      <c r="BQU406" s="26"/>
      <c r="BQV406" s="26"/>
      <c r="BQW406" s="26"/>
      <c r="BQX406" s="26"/>
      <c r="BQY406" s="26"/>
      <c r="BQZ406" s="26"/>
      <c r="BRA406" s="26"/>
      <c r="BRB406" s="26"/>
      <c r="BRC406" s="26"/>
      <c r="BRD406" s="26"/>
      <c r="BRE406" s="26"/>
      <c r="BRF406" s="26"/>
      <c r="BRG406" s="26"/>
      <c r="BRH406" s="26"/>
      <c r="BRI406" s="26"/>
      <c r="BRJ406" s="26"/>
      <c r="BRK406" s="26"/>
      <c r="BRL406" s="26"/>
      <c r="BRM406" s="26"/>
      <c r="BRN406" s="26"/>
      <c r="BRO406" s="26"/>
      <c r="BRP406" s="26"/>
      <c r="BRQ406" s="26"/>
      <c r="BRR406" s="26"/>
      <c r="BRS406" s="26"/>
      <c r="BRT406" s="26"/>
      <c r="BRU406" s="26"/>
      <c r="BRV406" s="26"/>
      <c r="BRW406" s="26"/>
      <c r="BRX406" s="26"/>
      <c r="BRY406" s="26"/>
      <c r="BRZ406" s="26"/>
      <c r="BSA406" s="26"/>
      <c r="BSB406" s="26"/>
      <c r="BSC406" s="26"/>
      <c r="BSD406" s="26"/>
      <c r="BSE406" s="26"/>
      <c r="BSF406" s="26"/>
      <c r="BSG406" s="26"/>
      <c r="BSH406" s="26"/>
      <c r="BSI406" s="26"/>
      <c r="BSJ406" s="26"/>
      <c r="BSK406" s="26"/>
      <c r="BSL406" s="26"/>
      <c r="BSM406" s="26"/>
      <c r="BSN406" s="26"/>
      <c r="BSO406" s="26"/>
      <c r="BSP406" s="26"/>
      <c r="BSQ406" s="26"/>
      <c r="BSR406" s="26"/>
      <c r="BSS406" s="26"/>
      <c r="BST406" s="26"/>
      <c r="BSU406" s="26"/>
      <c r="BSV406" s="26"/>
      <c r="BSW406" s="26"/>
      <c r="BSX406" s="26"/>
      <c r="BSY406" s="26"/>
      <c r="BSZ406" s="26"/>
      <c r="BTA406" s="26"/>
      <c r="BTB406" s="26"/>
      <c r="BTC406" s="26"/>
      <c r="BTD406" s="26"/>
      <c r="BTE406" s="26"/>
      <c r="BTF406" s="26"/>
      <c r="BTG406" s="26"/>
      <c r="BTH406" s="26"/>
      <c r="BTI406" s="26"/>
      <c r="BTJ406" s="26"/>
      <c r="BTK406" s="26"/>
      <c r="BTL406" s="26"/>
      <c r="BTM406" s="26"/>
      <c r="BTN406" s="26"/>
      <c r="BTO406" s="26"/>
      <c r="BTP406" s="26"/>
      <c r="BTQ406" s="26"/>
      <c r="BTR406" s="26"/>
      <c r="BTS406" s="26"/>
      <c r="BTT406" s="26"/>
      <c r="BTU406" s="26"/>
      <c r="BTV406" s="26"/>
      <c r="BTW406" s="26"/>
      <c r="BTX406" s="26"/>
      <c r="BTY406" s="26"/>
      <c r="BTZ406" s="26"/>
      <c r="BUA406" s="26"/>
      <c r="BUB406" s="26"/>
      <c r="BUC406" s="26"/>
      <c r="BUD406" s="26"/>
      <c r="BUE406" s="26"/>
      <c r="BUF406" s="26"/>
      <c r="BUG406" s="26"/>
      <c r="BUH406" s="26"/>
      <c r="BUI406" s="26"/>
      <c r="BUJ406" s="26"/>
      <c r="BUK406" s="26"/>
      <c r="BUL406" s="26"/>
      <c r="BUM406" s="26"/>
      <c r="BUN406" s="26"/>
      <c r="BUO406" s="26"/>
      <c r="BUP406" s="26"/>
      <c r="BUQ406" s="26"/>
      <c r="BUR406" s="26"/>
      <c r="BUS406" s="26"/>
      <c r="BUT406" s="26"/>
      <c r="BUU406" s="26"/>
      <c r="BUV406" s="26"/>
      <c r="BUW406" s="26"/>
      <c r="BUX406" s="26"/>
      <c r="BUY406" s="26"/>
      <c r="BUZ406" s="26"/>
      <c r="BVA406" s="26"/>
      <c r="BVB406" s="26"/>
      <c r="BVC406" s="26"/>
      <c r="BVD406" s="26"/>
      <c r="BVE406" s="26"/>
      <c r="BVF406" s="26"/>
      <c r="BVG406" s="26"/>
      <c r="BVH406" s="26"/>
      <c r="BVI406" s="26"/>
      <c r="BVJ406" s="26"/>
      <c r="BVK406" s="26"/>
      <c r="BVL406" s="26"/>
      <c r="BVM406" s="26"/>
      <c r="BVN406" s="26"/>
      <c r="BVO406" s="26"/>
      <c r="BVP406" s="26"/>
      <c r="BVQ406" s="26"/>
      <c r="BVR406" s="26"/>
      <c r="BVS406" s="26"/>
      <c r="BVT406" s="26"/>
      <c r="BVU406" s="26"/>
      <c r="BVV406" s="26"/>
      <c r="BVW406" s="26"/>
      <c r="BVX406" s="26"/>
      <c r="BVY406" s="26"/>
      <c r="BVZ406" s="26"/>
      <c r="BWA406" s="26"/>
      <c r="BWB406" s="26"/>
      <c r="BWC406" s="26"/>
      <c r="BWD406" s="26"/>
      <c r="BWE406" s="26"/>
      <c r="BWF406" s="26"/>
      <c r="BWG406" s="26"/>
      <c r="BWH406" s="26"/>
      <c r="BWI406" s="26"/>
      <c r="BWJ406" s="26"/>
      <c r="BWK406" s="26"/>
      <c r="BWL406" s="26"/>
      <c r="BWM406" s="26"/>
      <c r="BWN406" s="26"/>
      <c r="BWO406" s="26"/>
      <c r="BWP406" s="26"/>
      <c r="BWQ406" s="26"/>
      <c r="BWR406" s="26"/>
      <c r="BWS406" s="26"/>
      <c r="BWT406" s="26"/>
      <c r="BWU406" s="26"/>
      <c r="BWV406" s="26"/>
      <c r="BWW406" s="26"/>
      <c r="BWX406" s="26"/>
      <c r="BWY406" s="26"/>
      <c r="BWZ406" s="26"/>
      <c r="BXA406" s="26"/>
      <c r="BXB406" s="26"/>
      <c r="BXC406" s="26"/>
      <c r="BXD406" s="26"/>
      <c r="BXE406" s="26"/>
      <c r="BXF406" s="26"/>
      <c r="BXG406" s="26"/>
      <c r="BXH406" s="26"/>
      <c r="BXI406" s="26"/>
      <c r="BXJ406" s="26"/>
      <c r="BXK406" s="26"/>
      <c r="BXL406" s="26"/>
      <c r="BXM406" s="26"/>
      <c r="BXN406" s="26"/>
      <c r="BXO406" s="26"/>
      <c r="BXP406" s="26"/>
      <c r="BXQ406" s="26"/>
      <c r="BXR406" s="26"/>
      <c r="BXS406" s="26"/>
      <c r="BXT406" s="26"/>
      <c r="BXU406" s="26"/>
      <c r="BXV406" s="26"/>
      <c r="BXW406" s="26"/>
      <c r="BXX406" s="26"/>
      <c r="BXY406" s="26"/>
      <c r="BXZ406" s="26"/>
      <c r="BYA406" s="26"/>
      <c r="BYB406" s="26"/>
      <c r="BYC406" s="26"/>
      <c r="BYD406" s="26"/>
      <c r="BYE406" s="26"/>
      <c r="BYF406" s="26"/>
      <c r="BYG406" s="26"/>
      <c r="BYH406" s="26"/>
      <c r="BYI406" s="26"/>
      <c r="BYJ406" s="26"/>
      <c r="BYK406" s="26"/>
      <c r="BYL406" s="26"/>
      <c r="BYM406" s="26"/>
      <c r="BYN406" s="26"/>
      <c r="BYO406" s="26"/>
      <c r="BYP406" s="26"/>
      <c r="BYQ406" s="26"/>
      <c r="BYR406" s="26"/>
      <c r="BYS406" s="26"/>
      <c r="BYT406" s="26"/>
      <c r="BYU406" s="26"/>
      <c r="BYV406" s="26"/>
      <c r="BYW406" s="26"/>
      <c r="BYX406" s="26"/>
      <c r="BYY406" s="26"/>
      <c r="BYZ406" s="26"/>
      <c r="BZA406" s="26"/>
      <c r="BZB406" s="26"/>
      <c r="BZC406" s="26"/>
      <c r="BZD406" s="26"/>
      <c r="BZE406" s="26"/>
      <c r="BZF406" s="26"/>
      <c r="BZG406" s="26"/>
      <c r="BZH406" s="26"/>
      <c r="BZI406" s="26"/>
      <c r="BZJ406" s="26"/>
      <c r="BZK406" s="26"/>
      <c r="BZL406" s="26"/>
      <c r="BZM406" s="26"/>
      <c r="BZN406" s="26"/>
      <c r="BZO406" s="26"/>
      <c r="BZP406" s="26"/>
      <c r="BZQ406" s="26"/>
      <c r="BZR406" s="26"/>
      <c r="BZS406" s="26"/>
      <c r="BZT406" s="26"/>
      <c r="BZU406" s="26"/>
      <c r="BZV406" s="26"/>
      <c r="BZW406" s="26"/>
      <c r="BZX406" s="26"/>
      <c r="BZY406" s="26"/>
      <c r="BZZ406" s="26"/>
      <c r="CAA406" s="26"/>
      <c r="CAB406" s="26"/>
      <c r="CAC406" s="26"/>
      <c r="CAD406" s="26"/>
      <c r="CAE406" s="26"/>
      <c r="CAF406" s="26"/>
      <c r="CAG406" s="26"/>
      <c r="CAH406" s="26"/>
      <c r="CAI406" s="26"/>
      <c r="CAJ406" s="26"/>
      <c r="CAK406" s="26"/>
      <c r="CAL406" s="26"/>
      <c r="CAM406" s="26"/>
      <c r="CAN406" s="26"/>
      <c r="CAO406" s="26"/>
      <c r="CAP406" s="26"/>
      <c r="CAQ406" s="26"/>
      <c r="CAR406" s="26"/>
      <c r="CAS406" s="26"/>
      <c r="CAT406" s="26"/>
      <c r="CAU406" s="26"/>
      <c r="CAV406" s="26"/>
      <c r="CAW406" s="26"/>
      <c r="CAX406" s="26"/>
      <c r="CAY406" s="26"/>
      <c r="CAZ406" s="26"/>
      <c r="CBA406" s="26"/>
      <c r="CBB406" s="26"/>
      <c r="CBC406" s="26"/>
      <c r="CBD406" s="26"/>
      <c r="CBE406" s="26"/>
      <c r="CBF406" s="26"/>
      <c r="CBG406" s="26"/>
      <c r="CBH406" s="26"/>
      <c r="CBI406" s="26"/>
    </row>
    <row r="407" spans="1:2089" ht="14" customHeight="1">
      <c r="A407" s="27">
        <v>406</v>
      </c>
      <c r="B407" s="27" t="s">
        <v>543</v>
      </c>
      <c r="C407" s="27">
        <v>1998</v>
      </c>
      <c r="D407" s="27" t="s">
        <v>37</v>
      </c>
      <c r="E407" s="26" t="s">
        <v>565</v>
      </c>
      <c r="F407" s="77" t="s">
        <v>548</v>
      </c>
      <c r="G407" s="77" t="s">
        <v>108</v>
      </c>
      <c r="H407" s="2" t="s">
        <v>24</v>
      </c>
      <c r="I407" s="77" t="s">
        <v>548</v>
      </c>
      <c r="J407" s="77" t="s">
        <v>604</v>
      </c>
      <c r="K407" s="77" t="s">
        <v>548</v>
      </c>
      <c r="L407" s="2" t="s">
        <v>548</v>
      </c>
      <c r="M407" s="2" t="s">
        <v>548</v>
      </c>
      <c r="N407" s="2" t="s">
        <v>608</v>
      </c>
      <c r="O407" s="2" t="s">
        <v>43</v>
      </c>
      <c r="P407" s="2" t="s">
        <v>608</v>
      </c>
      <c r="Q407" s="2" t="s">
        <v>42</v>
      </c>
      <c r="R407" s="104" t="s">
        <v>614</v>
      </c>
      <c r="S407" s="93">
        <f>8/T407</f>
        <v>0.2</v>
      </c>
      <c r="T407" s="27">
        <v>40</v>
      </c>
      <c r="U407" s="77">
        <v>0</v>
      </c>
      <c r="V407" s="27">
        <v>0</v>
      </c>
      <c r="W407" s="27">
        <v>1</v>
      </c>
      <c r="X407" s="27">
        <v>0</v>
      </c>
      <c r="Y407" s="27">
        <v>1</v>
      </c>
      <c r="Z407" s="27">
        <v>1</v>
      </c>
      <c r="AA407" s="27">
        <v>0</v>
      </c>
      <c r="AB407" s="27">
        <v>0</v>
      </c>
      <c r="AC407" s="37" t="s">
        <v>70</v>
      </c>
      <c r="AD407" s="37" t="s">
        <v>70</v>
      </c>
      <c r="AE407" s="37" t="s">
        <v>70</v>
      </c>
      <c r="AF407" s="37" t="s">
        <v>70</v>
      </c>
      <c r="AG407" s="37" t="s">
        <v>70</v>
      </c>
      <c r="AH407" s="37" t="s">
        <v>70</v>
      </c>
      <c r="AI407" s="37" t="s">
        <v>70</v>
      </c>
      <c r="AJ407" s="37" t="s">
        <v>70</v>
      </c>
      <c r="AK407" s="37" t="s">
        <v>70</v>
      </c>
      <c r="AL407" s="37" t="s">
        <v>70</v>
      </c>
      <c r="AM407" s="43" t="s">
        <v>548</v>
      </c>
      <c r="AN407" s="26" t="s">
        <v>274</v>
      </c>
      <c r="AO407" s="43" t="s">
        <v>548</v>
      </c>
      <c r="AP407" s="43" t="s">
        <v>548</v>
      </c>
      <c r="AQ407" s="43" t="s">
        <v>548</v>
      </c>
      <c r="AR407" s="43" t="s">
        <v>175</v>
      </c>
      <c r="AS407" s="26" t="s">
        <v>175</v>
      </c>
      <c r="AT407" s="26" t="s">
        <v>70</v>
      </c>
      <c r="AU407" s="26" t="s">
        <v>70</v>
      </c>
      <c r="AV407" s="26">
        <v>4</v>
      </c>
    </row>
    <row r="408" spans="1:2089" ht="14" customHeight="1">
      <c r="A408" s="27">
        <v>407</v>
      </c>
      <c r="B408" s="27" t="s">
        <v>458</v>
      </c>
      <c r="C408" s="27">
        <v>2010</v>
      </c>
      <c r="D408" s="26" t="s">
        <v>68</v>
      </c>
      <c r="E408" s="26" t="s">
        <v>563</v>
      </c>
      <c r="F408" s="77" t="s">
        <v>175</v>
      </c>
      <c r="G408" s="2" t="s">
        <v>105</v>
      </c>
      <c r="H408" s="2" t="s">
        <v>30</v>
      </c>
      <c r="I408" s="2" t="s">
        <v>548</v>
      </c>
      <c r="J408" s="2" t="s">
        <v>604</v>
      </c>
      <c r="K408" s="2" t="s">
        <v>175</v>
      </c>
      <c r="L408" s="2" t="s">
        <v>175</v>
      </c>
      <c r="M408" s="2" t="s">
        <v>175</v>
      </c>
      <c r="N408" s="2" t="s">
        <v>210</v>
      </c>
      <c r="O408" s="2" t="s">
        <v>43</v>
      </c>
      <c r="P408" s="2" t="s">
        <v>210</v>
      </c>
      <c r="Q408" s="2" t="s">
        <v>42</v>
      </c>
      <c r="R408" s="102" t="s">
        <v>614</v>
      </c>
      <c r="S408" s="88">
        <f>205/T408</f>
        <v>0.59248554913294793</v>
      </c>
      <c r="T408" s="26">
        <v>346</v>
      </c>
      <c r="U408" s="77">
        <v>1</v>
      </c>
      <c r="V408" s="26">
        <v>1</v>
      </c>
      <c r="W408" s="26">
        <v>1</v>
      </c>
      <c r="X408" s="26">
        <v>1</v>
      </c>
      <c r="Y408" s="26">
        <v>1</v>
      </c>
      <c r="Z408" s="26">
        <v>1</v>
      </c>
      <c r="AA408" s="26">
        <v>0</v>
      </c>
      <c r="AB408" s="26">
        <v>0</v>
      </c>
      <c r="AC408" s="26" t="s">
        <v>70</v>
      </c>
      <c r="AD408" s="26" t="s">
        <v>70</v>
      </c>
      <c r="AE408" s="26" t="s">
        <v>70</v>
      </c>
      <c r="AF408" s="26" t="s">
        <v>70</v>
      </c>
      <c r="AG408" s="33">
        <f>10^0.2</f>
        <v>1.5848931924611136</v>
      </c>
      <c r="AH408" s="26" t="s">
        <v>70</v>
      </c>
      <c r="AI408" s="26" t="s">
        <v>70</v>
      </c>
      <c r="AJ408" s="26" t="s">
        <v>70</v>
      </c>
      <c r="AK408" s="26" t="s">
        <v>70</v>
      </c>
      <c r="AL408" s="38" t="s">
        <v>70</v>
      </c>
      <c r="AM408" s="35" t="s">
        <v>175</v>
      </c>
      <c r="AN408" s="26" t="s">
        <v>274</v>
      </c>
      <c r="AO408" s="35" t="s">
        <v>548</v>
      </c>
      <c r="AP408" s="35" t="s">
        <v>548</v>
      </c>
      <c r="AQ408" s="35" t="s">
        <v>548</v>
      </c>
      <c r="AR408" s="35" t="s">
        <v>548</v>
      </c>
      <c r="AS408" s="26" t="s">
        <v>175</v>
      </c>
      <c r="AT408" s="26" t="s">
        <v>70</v>
      </c>
      <c r="AU408" s="26" t="s">
        <v>70</v>
      </c>
      <c r="AV408" s="26">
        <v>11</v>
      </c>
    </row>
    <row r="409" spans="1:2089" ht="14" customHeight="1">
      <c r="A409" s="27">
        <v>408</v>
      </c>
      <c r="B409" s="27" t="s">
        <v>458</v>
      </c>
      <c r="C409" s="27">
        <v>2010</v>
      </c>
      <c r="D409" s="26" t="s">
        <v>68</v>
      </c>
      <c r="E409" s="26" t="s">
        <v>563</v>
      </c>
      <c r="F409" s="77" t="s">
        <v>175</v>
      </c>
      <c r="G409" s="2" t="s">
        <v>105</v>
      </c>
      <c r="H409" s="2" t="s">
        <v>30</v>
      </c>
      <c r="I409" s="2" t="s">
        <v>548</v>
      </c>
      <c r="J409" s="2" t="s">
        <v>604</v>
      </c>
      <c r="K409" s="2" t="s">
        <v>175</v>
      </c>
      <c r="L409" s="2" t="s">
        <v>175</v>
      </c>
      <c r="M409" s="2" t="s">
        <v>175</v>
      </c>
      <c r="N409" s="2" t="s">
        <v>62</v>
      </c>
      <c r="O409" s="2" t="s">
        <v>43</v>
      </c>
      <c r="P409" s="2" t="s">
        <v>62</v>
      </c>
      <c r="Q409" s="26" t="s">
        <v>606</v>
      </c>
      <c r="R409" s="102" t="s">
        <v>614</v>
      </c>
      <c r="S409" s="88">
        <v>0.05</v>
      </c>
      <c r="T409" s="26">
        <v>16</v>
      </c>
      <c r="U409" s="77">
        <v>1</v>
      </c>
      <c r="V409" s="26">
        <v>1</v>
      </c>
      <c r="W409" s="26">
        <v>1</v>
      </c>
      <c r="X409" s="26">
        <v>1</v>
      </c>
      <c r="Y409" s="26">
        <v>1</v>
      </c>
      <c r="Z409" s="26">
        <v>1</v>
      </c>
      <c r="AA409" s="26">
        <v>0</v>
      </c>
      <c r="AB409" s="26">
        <v>0</v>
      </c>
      <c r="AC409" s="26" t="s">
        <v>70</v>
      </c>
      <c r="AD409" s="26" t="s">
        <v>70</v>
      </c>
      <c r="AE409" s="26" t="s">
        <v>70</v>
      </c>
      <c r="AF409" s="26" t="s">
        <v>70</v>
      </c>
      <c r="AG409" s="33">
        <f>10^0.9</f>
        <v>7.9432823472428176</v>
      </c>
      <c r="AH409" s="26" t="s">
        <v>70</v>
      </c>
      <c r="AI409" s="26" t="s">
        <v>70</v>
      </c>
      <c r="AJ409" s="26" t="s">
        <v>70</v>
      </c>
      <c r="AK409" s="26" t="s">
        <v>70</v>
      </c>
      <c r="AL409" s="38" t="s">
        <v>70</v>
      </c>
      <c r="AM409" s="35" t="s">
        <v>175</v>
      </c>
      <c r="AN409" s="26" t="s">
        <v>274</v>
      </c>
      <c r="AO409" s="35" t="s">
        <v>548</v>
      </c>
      <c r="AP409" s="35" t="s">
        <v>548</v>
      </c>
      <c r="AQ409" s="35" t="s">
        <v>548</v>
      </c>
      <c r="AR409" s="35" t="s">
        <v>548</v>
      </c>
      <c r="AS409" s="26" t="s">
        <v>175</v>
      </c>
      <c r="AT409" s="26" t="s">
        <v>70</v>
      </c>
      <c r="AU409" s="26" t="s">
        <v>70</v>
      </c>
      <c r="AV409" s="26">
        <v>11</v>
      </c>
    </row>
    <row r="410" spans="1:2089" ht="14" customHeight="1">
      <c r="A410" s="27">
        <v>409</v>
      </c>
      <c r="B410" s="27" t="s">
        <v>458</v>
      </c>
      <c r="C410" s="27">
        <v>2010</v>
      </c>
      <c r="D410" s="26" t="s">
        <v>68</v>
      </c>
      <c r="E410" s="26" t="s">
        <v>563</v>
      </c>
      <c r="F410" s="77" t="s">
        <v>175</v>
      </c>
      <c r="G410" s="2" t="s">
        <v>105</v>
      </c>
      <c r="H410" s="2" t="s">
        <v>30</v>
      </c>
      <c r="I410" s="2" t="s">
        <v>548</v>
      </c>
      <c r="J410" s="2" t="s">
        <v>604</v>
      </c>
      <c r="K410" s="2" t="s">
        <v>175</v>
      </c>
      <c r="L410" s="2" t="s">
        <v>175</v>
      </c>
      <c r="M410" s="2" t="s">
        <v>175</v>
      </c>
      <c r="N410" s="2" t="s">
        <v>210</v>
      </c>
      <c r="O410" s="2" t="s">
        <v>43</v>
      </c>
      <c r="P410" s="2" t="s">
        <v>618</v>
      </c>
      <c r="Q410" s="2" t="s">
        <v>42</v>
      </c>
      <c r="R410" s="102" t="s">
        <v>614</v>
      </c>
      <c r="S410" s="88">
        <f>81/734</f>
        <v>0.11035422343324251</v>
      </c>
      <c r="T410" s="26">
        <v>734</v>
      </c>
      <c r="U410" s="77">
        <v>1</v>
      </c>
      <c r="V410" s="26">
        <v>1</v>
      </c>
      <c r="W410" s="26">
        <v>1</v>
      </c>
      <c r="X410" s="26">
        <v>1</v>
      </c>
      <c r="Y410" s="26">
        <v>1</v>
      </c>
      <c r="Z410" s="26">
        <v>1</v>
      </c>
      <c r="AA410" s="26">
        <v>0</v>
      </c>
      <c r="AB410" s="26">
        <v>0</v>
      </c>
      <c r="AC410" s="26" t="s">
        <v>70</v>
      </c>
      <c r="AD410" s="26" t="s">
        <v>70</v>
      </c>
      <c r="AE410" s="26" t="s">
        <v>70</v>
      </c>
      <c r="AF410" s="26" t="s">
        <v>70</v>
      </c>
      <c r="AG410" s="26" t="s">
        <v>70</v>
      </c>
      <c r="AH410" s="33">
        <v>31.6</v>
      </c>
      <c r="AI410" s="26" t="s">
        <v>70</v>
      </c>
      <c r="AJ410" s="26" t="s">
        <v>70</v>
      </c>
      <c r="AK410" s="26" t="s">
        <v>70</v>
      </c>
      <c r="AL410" s="38" t="s">
        <v>70</v>
      </c>
      <c r="AM410" s="35" t="s">
        <v>175</v>
      </c>
      <c r="AN410" s="26" t="s">
        <v>274</v>
      </c>
      <c r="AO410" s="35" t="s">
        <v>548</v>
      </c>
      <c r="AP410" s="35" t="s">
        <v>548</v>
      </c>
      <c r="AQ410" s="35" t="s">
        <v>548</v>
      </c>
      <c r="AR410" s="35" t="s">
        <v>548</v>
      </c>
      <c r="AS410" s="26" t="s">
        <v>175</v>
      </c>
      <c r="AT410" s="26" t="s">
        <v>70</v>
      </c>
      <c r="AU410" s="26" t="s">
        <v>70</v>
      </c>
      <c r="AV410" s="26">
        <v>11</v>
      </c>
    </row>
    <row r="411" spans="1:2089" s="52" customFormat="1" ht="14" customHeight="1">
      <c r="A411" s="27">
        <v>410</v>
      </c>
      <c r="B411" s="27" t="s">
        <v>458</v>
      </c>
      <c r="C411" s="27">
        <v>2010</v>
      </c>
      <c r="D411" s="26" t="s">
        <v>68</v>
      </c>
      <c r="E411" s="26" t="s">
        <v>563</v>
      </c>
      <c r="F411" s="77" t="s">
        <v>175</v>
      </c>
      <c r="G411" s="2" t="s">
        <v>105</v>
      </c>
      <c r="H411" s="2" t="s">
        <v>30</v>
      </c>
      <c r="I411" s="2" t="s">
        <v>548</v>
      </c>
      <c r="J411" s="2" t="s">
        <v>604</v>
      </c>
      <c r="K411" s="2" t="s">
        <v>175</v>
      </c>
      <c r="L411" s="2" t="s">
        <v>175</v>
      </c>
      <c r="M411" s="2" t="s">
        <v>175</v>
      </c>
      <c r="N411" s="2" t="s">
        <v>62</v>
      </c>
      <c r="O411" s="2" t="s">
        <v>43</v>
      </c>
      <c r="P411" s="2" t="s">
        <v>621</v>
      </c>
      <c r="Q411" s="2" t="s">
        <v>42</v>
      </c>
      <c r="R411" s="102" t="s">
        <v>614</v>
      </c>
      <c r="S411" s="88">
        <f>18/234</f>
        <v>7.6923076923076927E-2</v>
      </c>
      <c r="T411" s="26">
        <v>234</v>
      </c>
      <c r="U411" s="77">
        <v>1</v>
      </c>
      <c r="V411" s="26">
        <v>1</v>
      </c>
      <c r="W411" s="26">
        <v>1</v>
      </c>
      <c r="X411" s="26">
        <v>1</v>
      </c>
      <c r="Y411" s="26">
        <v>1</v>
      </c>
      <c r="Z411" s="26">
        <v>1</v>
      </c>
      <c r="AA411" s="26">
        <v>0</v>
      </c>
      <c r="AB411" s="26">
        <v>0</v>
      </c>
      <c r="AC411" s="26" t="s">
        <v>70</v>
      </c>
      <c r="AD411" s="26" t="s">
        <v>70</v>
      </c>
      <c r="AE411" s="26" t="s">
        <v>70</v>
      </c>
      <c r="AF411" s="26" t="s">
        <v>70</v>
      </c>
      <c r="AG411" s="26" t="s">
        <v>70</v>
      </c>
      <c r="AH411" s="33">
        <v>31.6</v>
      </c>
      <c r="AI411" s="26" t="s">
        <v>70</v>
      </c>
      <c r="AJ411" s="26" t="s">
        <v>70</v>
      </c>
      <c r="AK411" s="26" t="s">
        <v>70</v>
      </c>
      <c r="AL411" s="26" t="s">
        <v>70</v>
      </c>
      <c r="AM411" s="35" t="s">
        <v>175</v>
      </c>
      <c r="AN411" s="26" t="s">
        <v>274</v>
      </c>
      <c r="AO411" s="35" t="s">
        <v>548</v>
      </c>
      <c r="AP411" s="35" t="s">
        <v>548</v>
      </c>
      <c r="AQ411" s="35" t="s">
        <v>548</v>
      </c>
      <c r="AR411" s="35" t="s">
        <v>548</v>
      </c>
      <c r="AS411" s="26" t="s">
        <v>175</v>
      </c>
      <c r="AT411" s="26" t="s">
        <v>70</v>
      </c>
      <c r="AU411" s="26" t="s">
        <v>70</v>
      </c>
      <c r="AV411" s="26">
        <v>11</v>
      </c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  <c r="GR411" s="26"/>
      <c r="GS411" s="26"/>
      <c r="GT411" s="26"/>
      <c r="GU411" s="26"/>
      <c r="GV411" s="26"/>
      <c r="GW411" s="26"/>
      <c r="GX411" s="26"/>
      <c r="GY411" s="26"/>
      <c r="GZ411" s="26"/>
      <c r="HA411" s="26"/>
      <c r="HB411" s="26"/>
      <c r="HC411" s="26"/>
      <c r="HD411" s="26"/>
      <c r="HE411" s="26"/>
      <c r="HF411" s="26"/>
      <c r="HG411" s="26"/>
      <c r="HH411" s="26"/>
      <c r="HI411" s="26"/>
      <c r="HJ411" s="26"/>
      <c r="HK411" s="26"/>
      <c r="HL411" s="26"/>
      <c r="HM411" s="26"/>
      <c r="HN411" s="26"/>
      <c r="HO411" s="26"/>
      <c r="HP411" s="26"/>
      <c r="HQ411" s="26"/>
      <c r="HR411" s="26"/>
      <c r="HS411" s="26"/>
      <c r="HT411" s="26"/>
      <c r="HU411" s="26"/>
      <c r="HV411" s="26"/>
      <c r="HW411" s="26"/>
      <c r="HX411" s="26"/>
      <c r="HY411" s="26"/>
      <c r="HZ411" s="26"/>
      <c r="IA411" s="26"/>
      <c r="IB411" s="26"/>
      <c r="IC411" s="26"/>
      <c r="ID411" s="26"/>
      <c r="IE411" s="26"/>
      <c r="IF411" s="26"/>
      <c r="IG411" s="26"/>
      <c r="IH411" s="26"/>
      <c r="II411" s="26"/>
      <c r="IJ411" s="26"/>
      <c r="IK411" s="26"/>
      <c r="IL411" s="26"/>
      <c r="IM411" s="26"/>
      <c r="IN411" s="26"/>
      <c r="IO411" s="26"/>
      <c r="IP411" s="26"/>
      <c r="IQ411" s="26"/>
      <c r="IR411" s="26"/>
      <c r="IS411" s="26"/>
      <c r="IT411" s="26"/>
      <c r="IU411" s="26"/>
      <c r="IV411" s="26"/>
      <c r="IW411" s="26"/>
      <c r="IX411" s="26"/>
      <c r="IY411" s="26"/>
      <c r="IZ411" s="26"/>
      <c r="JA411" s="26"/>
      <c r="JB411" s="26"/>
      <c r="JC411" s="26"/>
      <c r="JD411" s="26"/>
      <c r="JE411" s="26"/>
      <c r="JF411" s="26"/>
      <c r="JG411" s="26"/>
      <c r="JH411" s="26"/>
      <c r="JI411" s="26"/>
      <c r="JJ411" s="26"/>
      <c r="JK411" s="26"/>
      <c r="JL411" s="26"/>
      <c r="JM411" s="26"/>
      <c r="JN411" s="26"/>
      <c r="JO411" s="26"/>
      <c r="JP411" s="26"/>
      <c r="JQ411" s="26"/>
      <c r="JR411" s="26"/>
      <c r="JS411" s="26"/>
      <c r="JT411" s="26"/>
      <c r="JU411" s="26"/>
      <c r="JV411" s="26"/>
      <c r="JW411" s="26"/>
      <c r="JX411" s="26"/>
      <c r="JY411" s="26"/>
      <c r="JZ411" s="26"/>
      <c r="KA411" s="26"/>
      <c r="KB411" s="26"/>
      <c r="KC411" s="26"/>
      <c r="KD411" s="26"/>
      <c r="KE411" s="26"/>
      <c r="KF411" s="26"/>
      <c r="KG411" s="26"/>
      <c r="KH411" s="26"/>
      <c r="KI411" s="26"/>
      <c r="KJ411" s="26"/>
      <c r="KK411" s="26"/>
      <c r="KL411" s="26"/>
      <c r="KM411" s="26"/>
      <c r="KN411" s="26"/>
      <c r="KO411" s="26"/>
      <c r="KP411" s="26"/>
      <c r="KQ411" s="26"/>
      <c r="KR411" s="26"/>
      <c r="KS411" s="26"/>
      <c r="KT411" s="26"/>
      <c r="KU411" s="26"/>
      <c r="KV411" s="26"/>
      <c r="KW411" s="26"/>
      <c r="KX411" s="26"/>
      <c r="KY411" s="26"/>
      <c r="KZ411" s="26"/>
      <c r="LA411" s="26"/>
      <c r="LB411" s="26"/>
      <c r="LC411" s="26"/>
      <c r="LD411" s="26"/>
      <c r="LE411" s="26"/>
      <c r="LF411" s="26"/>
      <c r="LG411" s="26"/>
      <c r="LH411" s="26"/>
      <c r="LI411" s="26"/>
      <c r="LJ411" s="26"/>
      <c r="LK411" s="26"/>
      <c r="LL411" s="26"/>
      <c r="LM411" s="26"/>
      <c r="LN411" s="26"/>
      <c r="LO411" s="26"/>
      <c r="LP411" s="26"/>
      <c r="LQ411" s="26"/>
      <c r="LR411" s="26"/>
      <c r="LS411" s="26"/>
      <c r="LT411" s="26"/>
      <c r="LU411" s="26"/>
      <c r="LV411" s="26"/>
      <c r="LW411" s="26"/>
      <c r="LX411" s="26"/>
      <c r="LY411" s="26"/>
      <c r="LZ411" s="26"/>
      <c r="MA411" s="26"/>
      <c r="MB411" s="26"/>
      <c r="MC411" s="26"/>
      <c r="MD411" s="26"/>
      <c r="ME411" s="26"/>
      <c r="MF411" s="26"/>
      <c r="MG411" s="26"/>
      <c r="MH411" s="26"/>
      <c r="MI411" s="26"/>
      <c r="MJ411" s="26"/>
      <c r="MK411" s="26"/>
      <c r="ML411" s="26"/>
      <c r="MM411" s="26"/>
      <c r="MN411" s="26"/>
      <c r="MO411" s="26"/>
      <c r="MP411" s="26"/>
      <c r="MQ411" s="26"/>
      <c r="MR411" s="26"/>
      <c r="MS411" s="26"/>
      <c r="MT411" s="26"/>
      <c r="MU411" s="26"/>
      <c r="MV411" s="26"/>
      <c r="MW411" s="26"/>
      <c r="MX411" s="26"/>
      <c r="MY411" s="26"/>
      <c r="MZ411" s="26"/>
      <c r="NA411" s="26"/>
      <c r="NB411" s="26"/>
      <c r="NC411" s="26"/>
      <c r="ND411" s="26"/>
      <c r="NE411" s="26"/>
      <c r="NF411" s="26"/>
      <c r="NG411" s="26"/>
      <c r="NH411" s="26"/>
      <c r="NI411" s="26"/>
      <c r="NJ411" s="26"/>
      <c r="NK411" s="26"/>
      <c r="NL411" s="26"/>
      <c r="NM411" s="26"/>
      <c r="NN411" s="26"/>
      <c r="NO411" s="26"/>
      <c r="NP411" s="26"/>
      <c r="NQ411" s="26"/>
      <c r="NR411" s="26"/>
      <c r="NS411" s="26"/>
      <c r="NT411" s="26"/>
      <c r="NU411" s="26"/>
      <c r="NV411" s="26"/>
      <c r="NW411" s="26"/>
      <c r="NX411" s="26"/>
      <c r="NY411" s="26"/>
      <c r="NZ411" s="26"/>
      <c r="OA411" s="26"/>
      <c r="OB411" s="26"/>
      <c r="OC411" s="26"/>
      <c r="OD411" s="26"/>
      <c r="OE411" s="26"/>
      <c r="OF411" s="26"/>
      <c r="OG411" s="26"/>
      <c r="OH411" s="26"/>
      <c r="OI411" s="26"/>
      <c r="OJ411" s="26"/>
      <c r="OK411" s="26"/>
      <c r="OL411" s="26"/>
      <c r="OM411" s="26"/>
      <c r="ON411" s="26"/>
      <c r="OO411" s="26"/>
      <c r="OP411" s="26"/>
      <c r="OQ411" s="26"/>
      <c r="OR411" s="26"/>
      <c r="OS411" s="26"/>
      <c r="OT411" s="26"/>
      <c r="OU411" s="26"/>
      <c r="OV411" s="26"/>
      <c r="OW411" s="26"/>
      <c r="OX411" s="26"/>
      <c r="OY411" s="26"/>
      <c r="OZ411" s="26"/>
      <c r="PA411" s="26"/>
      <c r="PB411" s="26"/>
      <c r="PC411" s="26"/>
      <c r="PD411" s="26"/>
      <c r="PE411" s="26"/>
      <c r="PF411" s="26"/>
      <c r="PG411" s="26"/>
      <c r="PH411" s="26"/>
      <c r="PI411" s="26"/>
      <c r="PJ411" s="26"/>
      <c r="PK411" s="26"/>
      <c r="PL411" s="26"/>
      <c r="PM411" s="26"/>
      <c r="PN411" s="26"/>
      <c r="PO411" s="26"/>
      <c r="PP411" s="26"/>
      <c r="PQ411" s="26"/>
      <c r="PR411" s="26"/>
      <c r="PS411" s="26"/>
      <c r="PT411" s="26"/>
      <c r="PU411" s="26"/>
      <c r="PV411" s="26"/>
      <c r="PW411" s="26"/>
      <c r="PX411" s="26"/>
      <c r="PY411" s="26"/>
      <c r="PZ411" s="26"/>
      <c r="QA411" s="26"/>
      <c r="QB411" s="26"/>
      <c r="QC411" s="26"/>
      <c r="QD411" s="26"/>
      <c r="QE411" s="26"/>
      <c r="QF411" s="26"/>
      <c r="QG411" s="26"/>
      <c r="QH411" s="26"/>
      <c r="QI411" s="26"/>
      <c r="QJ411" s="26"/>
      <c r="QK411" s="26"/>
      <c r="QL411" s="26"/>
      <c r="QM411" s="26"/>
      <c r="QN411" s="26"/>
      <c r="QO411" s="26"/>
      <c r="QP411" s="26"/>
      <c r="QQ411" s="26"/>
      <c r="QR411" s="26"/>
      <c r="QS411" s="26"/>
      <c r="QT411" s="26"/>
      <c r="QU411" s="26"/>
      <c r="QV411" s="26"/>
      <c r="QW411" s="26"/>
      <c r="QX411" s="26"/>
      <c r="QY411" s="26"/>
      <c r="QZ411" s="26"/>
      <c r="RA411" s="26"/>
      <c r="RB411" s="26"/>
      <c r="RC411" s="26"/>
      <c r="RD411" s="26"/>
      <c r="RE411" s="26"/>
      <c r="RF411" s="26"/>
      <c r="RG411" s="26"/>
      <c r="RH411" s="26"/>
      <c r="RI411" s="26"/>
      <c r="RJ411" s="26"/>
      <c r="RK411" s="26"/>
      <c r="RL411" s="26"/>
      <c r="RM411" s="26"/>
      <c r="RN411" s="26"/>
      <c r="RO411" s="26"/>
      <c r="RP411" s="26"/>
      <c r="RQ411" s="26"/>
      <c r="RR411" s="26"/>
      <c r="RS411" s="26"/>
      <c r="RT411" s="26"/>
      <c r="RU411" s="26"/>
      <c r="RV411" s="26"/>
      <c r="RW411" s="26"/>
      <c r="RX411" s="26"/>
      <c r="RY411" s="26"/>
      <c r="RZ411" s="26"/>
      <c r="SA411" s="26"/>
      <c r="SB411" s="26"/>
      <c r="SC411" s="26"/>
      <c r="SD411" s="26"/>
      <c r="SE411" s="26"/>
      <c r="SF411" s="26"/>
      <c r="SG411" s="26"/>
      <c r="SH411" s="26"/>
      <c r="SI411" s="26"/>
      <c r="SJ411" s="26"/>
      <c r="SK411" s="26"/>
      <c r="SL411" s="26"/>
      <c r="SM411" s="26"/>
      <c r="SN411" s="26"/>
      <c r="SO411" s="26"/>
      <c r="SP411" s="26"/>
      <c r="SQ411" s="26"/>
      <c r="SR411" s="26"/>
      <c r="SS411" s="26"/>
      <c r="ST411" s="26"/>
      <c r="SU411" s="26"/>
      <c r="SV411" s="26"/>
      <c r="SW411" s="26"/>
      <c r="SX411" s="26"/>
      <c r="SY411" s="26"/>
      <c r="SZ411" s="26"/>
      <c r="TA411" s="26"/>
      <c r="TB411" s="26"/>
      <c r="TC411" s="26"/>
      <c r="TD411" s="26"/>
      <c r="TE411" s="26"/>
      <c r="TF411" s="26"/>
      <c r="TG411" s="26"/>
      <c r="TH411" s="26"/>
      <c r="TI411" s="26"/>
      <c r="TJ411" s="26"/>
      <c r="TK411" s="26"/>
      <c r="TL411" s="26"/>
      <c r="TM411" s="26"/>
      <c r="TN411" s="26"/>
      <c r="TO411" s="26"/>
      <c r="TP411" s="26"/>
      <c r="TQ411" s="26"/>
      <c r="TR411" s="26"/>
      <c r="TS411" s="26"/>
      <c r="TT411" s="26"/>
      <c r="TU411" s="26"/>
      <c r="TV411" s="26"/>
      <c r="TW411" s="26"/>
      <c r="TX411" s="26"/>
      <c r="TY411" s="26"/>
      <c r="TZ411" s="26"/>
      <c r="UA411" s="26"/>
      <c r="UB411" s="26"/>
      <c r="UC411" s="26"/>
      <c r="UD411" s="26"/>
      <c r="UE411" s="26"/>
      <c r="UF411" s="26"/>
      <c r="UG411" s="26"/>
      <c r="UH411" s="26"/>
      <c r="UI411" s="26"/>
      <c r="UJ411" s="26"/>
      <c r="UK411" s="26"/>
      <c r="UL411" s="26"/>
      <c r="UM411" s="26"/>
      <c r="UN411" s="26"/>
      <c r="UO411" s="26"/>
      <c r="UP411" s="26"/>
      <c r="UQ411" s="26"/>
      <c r="UR411" s="26"/>
      <c r="US411" s="26"/>
      <c r="UT411" s="26"/>
      <c r="UU411" s="26"/>
      <c r="UV411" s="26"/>
      <c r="UW411" s="26"/>
      <c r="UX411" s="26"/>
      <c r="UY411" s="26"/>
      <c r="UZ411" s="26"/>
      <c r="VA411" s="26"/>
      <c r="VB411" s="26"/>
      <c r="VC411" s="26"/>
      <c r="VD411" s="26"/>
      <c r="VE411" s="26"/>
      <c r="VF411" s="26"/>
      <c r="VG411" s="26"/>
      <c r="VH411" s="26"/>
      <c r="VI411" s="26"/>
      <c r="VJ411" s="26"/>
      <c r="VK411" s="26"/>
      <c r="VL411" s="26"/>
      <c r="VM411" s="26"/>
      <c r="VN411" s="26"/>
      <c r="VO411" s="26"/>
      <c r="VP411" s="26"/>
      <c r="VQ411" s="26"/>
      <c r="VR411" s="26"/>
      <c r="VS411" s="26"/>
      <c r="VT411" s="26"/>
      <c r="VU411" s="26"/>
      <c r="VV411" s="26"/>
      <c r="VW411" s="26"/>
      <c r="VX411" s="26"/>
      <c r="VY411" s="26"/>
      <c r="VZ411" s="26"/>
      <c r="WA411" s="26"/>
      <c r="WB411" s="26"/>
      <c r="WC411" s="26"/>
      <c r="WD411" s="26"/>
      <c r="WE411" s="26"/>
      <c r="WF411" s="26"/>
      <c r="WG411" s="26"/>
      <c r="WH411" s="26"/>
      <c r="WI411" s="26"/>
      <c r="WJ411" s="26"/>
      <c r="WK411" s="26"/>
      <c r="WL411" s="26"/>
      <c r="WM411" s="26"/>
      <c r="WN411" s="26"/>
      <c r="WO411" s="26"/>
      <c r="WP411" s="26"/>
      <c r="WQ411" s="26"/>
      <c r="WR411" s="26"/>
      <c r="WS411" s="26"/>
      <c r="WT411" s="26"/>
      <c r="WU411" s="26"/>
      <c r="WV411" s="26"/>
      <c r="WW411" s="26"/>
      <c r="WX411" s="26"/>
      <c r="WY411" s="26"/>
      <c r="WZ411" s="26"/>
      <c r="XA411" s="26"/>
      <c r="XB411" s="26"/>
      <c r="XC411" s="26"/>
      <c r="XD411" s="26"/>
      <c r="XE411" s="26"/>
      <c r="XF411" s="26"/>
      <c r="XG411" s="26"/>
      <c r="XH411" s="26"/>
      <c r="XI411" s="26"/>
      <c r="XJ411" s="26"/>
      <c r="XK411" s="26"/>
      <c r="XL411" s="26"/>
      <c r="XM411" s="26"/>
      <c r="XN411" s="26"/>
      <c r="XO411" s="26"/>
      <c r="XP411" s="26"/>
      <c r="XQ411" s="26"/>
      <c r="XR411" s="26"/>
      <c r="XS411" s="26"/>
      <c r="XT411" s="26"/>
      <c r="XU411" s="26"/>
      <c r="XV411" s="26"/>
      <c r="XW411" s="26"/>
      <c r="XX411" s="26"/>
      <c r="XY411" s="26"/>
      <c r="XZ411" s="26"/>
      <c r="YA411" s="26"/>
      <c r="YB411" s="26"/>
      <c r="YC411" s="26"/>
      <c r="YD411" s="26"/>
      <c r="YE411" s="26"/>
      <c r="YF411" s="26"/>
      <c r="YG411" s="26"/>
      <c r="YH411" s="26"/>
      <c r="YI411" s="26"/>
      <c r="YJ411" s="26"/>
      <c r="YK411" s="26"/>
      <c r="YL411" s="26"/>
      <c r="YM411" s="26"/>
      <c r="YN411" s="26"/>
      <c r="YO411" s="26"/>
      <c r="YP411" s="26"/>
      <c r="YQ411" s="26"/>
      <c r="YR411" s="26"/>
      <c r="YS411" s="26"/>
      <c r="YT411" s="26"/>
      <c r="YU411" s="26"/>
      <c r="YV411" s="26"/>
      <c r="YW411" s="26"/>
      <c r="YX411" s="26"/>
      <c r="YY411" s="26"/>
      <c r="YZ411" s="26"/>
      <c r="ZA411" s="26"/>
      <c r="ZB411" s="26"/>
      <c r="ZC411" s="26"/>
      <c r="ZD411" s="26"/>
      <c r="ZE411" s="26"/>
      <c r="ZF411" s="26"/>
      <c r="ZG411" s="26"/>
      <c r="ZH411" s="26"/>
      <c r="ZI411" s="26"/>
      <c r="ZJ411" s="26"/>
      <c r="ZK411" s="26"/>
      <c r="ZL411" s="26"/>
      <c r="ZM411" s="26"/>
      <c r="ZN411" s="26"/>
      <c r="ZO411" s="26"/>
      <c r="ZP411" s="26"/>
      <c r="ZQ411" s="26"/>
      <c r="ZR411" s="26"/>
      <c r="ZS411" s="26"/>
      <c r="ZT411" s="26"/>
      <c r="ZU411" s="26"/>
      <c r="ZV411" s="26"/>
      <c r="ZW411" s="26"/>
      <c r="ZX411" s="26"/>
      <c r="ZY411" s="26"/>
      <c r="ZZ411" s="26"/>
      <c r="AAA411" s="26"/>
      <c r="AAB411" s="26"/>
      <c r="AAC411" s="26"/>
      <c r="AAD411" s="26"/>
      <c r="AAE411" s="26"/>
      <c r="AAF411" s="26"/>
      <c r="AAG411" s="26"/>
      <c r="AAH411" s="26"/>
      <c r="AAI411" s="26"/>
      <c r="AAJ411" s="26"/>
      <c r="AAK411" s="26"/>
      <c r="AAL411" s="26"/>
      <c r="AAM411" s="26"/>
      <c r="AAN411" s="26"/>
      <c r="AAO411" s="26"/>
      <c r="AAP411" s="26"/>
      <c r="AAQ411" s="26"/>
      <c r="AAR411" s="26"/>
      <c r="AAS411" s="26"/>
      <c r="AAT411" s="26"/>
      <c r="AAU411" s="26"/>
      <c r="AAV411" s="26"/>
      <c r="AAW411" s="26"/>
      <c r="AAX411" s="26"/>
      <c r="AAY411" s="26"/>
      <c r="AAZ411" s="26"/>
      <c r="ABA411" s="26"/>
      <c r="ABB411" s="26"/>
      <c r="ABC411" s="26"/>
      <c r="ABD411" s="26"/>
      <c r="ABE411" s="26"/>
      <c r="ABF411" s="26"/>
      <c r="ABG411" s="26"/>
      <c r="ABH411" s="26"/>
      <c r="ABI411" s="26"/>
      <c r="ABJ411" s="26"/>
      <c r="ABK411" s="26"/>
      <c r="ABL411" s="26"/>
      <c r="ABM411" s="26"/>
      <c r="ABN411" s="26"/>
      <c r="ABO411" s="26"/>
      <c r="ABP411" s="26"/>
      <c r="ABQ411" s="26"/>
      <c r="ABR411" s="26"/>
      <c r="ABS411" s="26"/>
      <c r="ABT411" s="26"/>
      <c r="ABU411" s="26"/>
      <c r="ABV411" s="26"/>
      <c r="ABW411" s="26"/>
      <c r="ABX411" s="26"/>
      <c r="ABY411" s="26"/>
      <c r="ABZ411" s="26"/>
      <c r="ACA411" s="26"/>
      <c r="ACB411" s="26"/>
      <c r="ACC411" s="26"/>
      <c r="ACD411" s="26"/>
      <c r="ACE411" s="26"/>
      <c r="ACF411" s="26"/>
      <c r="ACG411" s="26"/>
      <c r="ACH411" s="26"/>
      <c r="ACI411" s="26"/>
      <c r="ACJ411" s="26"/>
      <c r="ACK411" s="26"/>
      <c r="ACL411" s="26"/>
      <c r="ACM411" s="26"/>
      <c r="ACN411" s="26"/>
      <c r="ACO411" s="26"/>
      <c r="ACP411" s="26"/>
      <c r="ACQ411" s="26"/>
      <c r="ACR411" s="26"/>
      <c r="ACS411" s="26"/>
      <c r="ACT411" s="26"/>
      <c r="ACU411" s="26"/>
      <c r="ACV411" s="26"/>
      <c r="ACW411" s="26"/>
      <c r="ACX411" s="26"/>
      <c r="ACY411" s="26"/>
      <c r="ACZ411" s="26"/>
      <c r="ADA411" s="26"/>
      <c r="ADB411" s="26"/>
      <c r="ADC411" s="26"/>
      <c r="ADD411" s="26"/>
      <c r="ADE411" s="26"/>
      <c r="ADF411" s="26"/>
      <c r="ADG411" s="26"/>
      <c r="ADH411" s="26"/>
      <c r="ADI411" s="26"/>
      <c r="ADJ411" s="26"/>
      <c r="ADK411" s="26"/>
      <c r="ADL411" s="26"/>
      <c r="ADM411" s="26"/>
      <c r="ADN411" s="26"/>
      <c r="ADO411" s="26"/>
      <c r="ADP411" s="26"/>
      <c r="ADQ411" s="26"/>
      <c r="ADR411" s="26"/>
      <c r="ADS411" s="26"/>
      <c r="ADT411" s="26"/>
      <c r="ADU411" s="26"/>
      <c r="ADV411" s="26"/>
      <c r="ADW411" s="26"/>
      <c r="ADX411" s="26"/>
      <c r="ADY411" s="26"/>
      <c r="ADZ411" s="26"/>
      <c r="AEA411" s="26"/>
      <c r="AEB411" s="26"/>
      <c r="AEC411" s="26"/>
      <c r="AED411" s="26"/>
      <c r="AEE411" s="26"/>
      <c r="AEF411" s="26"/>
      <c r="AEG411" s="26"/>
      <c r="AEH411" s="26"/>
      <c r="AEI411" s="26"/>
      <c r="AEJ411" s="26"/>
      <c r="AEK411" s="26"/>
      <c r="AEL411" s="26"/>
      <c r="AEM411" s="26"/>
      <c r="AEN411" s="26"/>
      <c r="AEO411" s="26"/>
      <c r="AEP411" s="26"/>
      <c r="AEQ411" s="26"/>
      <c r="AER411" s="26"/>
      <c r="AES411" s="26"/>
      <c r="AET411" s="26"/>
      <c r="AEU411" s="26"/>
      <c r="AEV411" s="26"/>
      <c r="AEW411" s="26"/>
      <c r="AEX411" s="26"/>
      <c r="AEY411" s="26"/>
      <c r="AEZ411" s="26"/>
      <c r="AFA411" s="26"/>
      <c r="AFB411" s="26"/>
      <c r="AFC411" s="26"/>
      <c r="AFD411" s="26"/>
      <c r="AFE411" s="26"/>
      <c r="AFF411" s="26"/>
      <c r="AFG411" s="26"/>
      <c r="AFH411" s="26"/>
      <c r="AFI411" s="26"/>
      <c r="AFJ411" s="26"/>
      <c r="AFK411" s="26"/>
      <c r="AFL411" s="26"/>
      <c r="AFM411" s="26"/>
      <c r="AFN411" s="26"/>
      <c r="AFO411" s="26"/>
      <c r="AFP411" s="26"/>
      <c r="AFQ411" s="26"/>
      <c r="AFR411" s="26"/>
      <c r="AFS411" s="26"/>
      <c r="AFT411" s="26"/>
      <c r="AFU411" s="26"/>
      <c r="AFV411" s="26"/>
      <c r="AFW411" s="26"/>
      <c r="AFX411" s="26"/>
      <c r="AFY411" s="26"/>
      <c r="AFZ411" s="26"/>
      <c r="AGA411" s="26"/>
      <c r="AGB411" s="26"/>
      <c r="AGC411" s="26"/>
      <c r="AGD411" s="26"/>
      <c r="AGE411" s="26"/>
      <c r="AGF411" s="26"/>
      <c r="AGG411" s="26"/>
      <c r="AGH411" s="26"/>
      <c r="AGI411" s="26"/>
      <c r="AGJ411" s="26"/>
      <c r="AGK411" s="26"/>
      <c r="AGL411" s="26"/>
      <c r="AGM411" s="26"/>
      <c r="AGN411" s="26"/>
      <c r="AGO411" s="26"/>
      <c r="AGP411" s="26"/>
      <c r="AGQ411" s="26"/>
      <c r="AGR411" s="26"/>
      <c r="AGS411" s="26"/>
      <c r="AGT411" s="26"/>
      <c r="AGU411" s="26"/>
      <c r="AGV411" s="26"/>
      <c r="AGW411" s="26"/>
      <c r="AGX411" s="26"/>
      <c r="AGY411" s="26"/>
      <c r="AGZ411" s="26"/>
      <c r="AHA411" s="26"/>
      <c r="AHB411" s="26"/>
      <c r="AHC411" s="26"/>
      <c r="AHD411" s="26"/>
      <c r="AHE411" s="26"/>
      <c r="AHF411" s="26"/>
      <c r="AHG411" s="26"/>
      <c r="AHH411" s="26"/>
      <c r="AHI411" s="26"/>
      <c r="AHJ411" s="26"/>
      <c r="AHK411" s="26"/>
      <c r="AHL411" s="26"/>
      <c r="AHM411" s="26"/>
      <c r="AHN411" s="26"/>
      <c r="AHO411" s="26"/>
      <c r="AHP411" s="26"/>
      <c r="AHQ411" s="26"/>
      <c r="AHR411" s="26"/>
      <c r="AHS411" s="26"/>
      <c r="AHT411" s="26"/>
      <c r="AHU411" s="26"/>
      <c r="AHV411" s="26"/>
      <c r="AHW411" s="26"/>
      <c r="AHX411" s="26"/>
      <c r="AHY411" s="26"/>
      <c r="AHZ411" s="26"/>
      <c r="AIA411" s="26"/>
      <c r="AIB411" s="26"/>
      <c r="AIC411" s="26"/>
      <c r="AID411" s="26"/>
      <c r="AIE411" s="26"/>
      <c r="AIF411" s="26"/>
      <c r="AIG411" s="26"/>
      <c r="AIH411" s="26"/>
      <c r="AII411" s="26"/>
      <c r="AIJ411" s="26"/>
      <c r="AIK411" s="26"/>
      <c r="AIL411" s="26"/>
      <c r="AIM411" s="26"/>
      <c r="AIN411" s="26"/>
      <c r="AIO411" s="26"/>
      <c r="AIP411" s="26"/>
      <c r="AIQ411" s="26"/>
      <c r="AIR411" s="26"/>
      <c r="AIS411" s="26"/>
      <c r="AIT411" s="26"/>
      <c r="AIU411" s="26"/>
      <c r="AIV411" s="26"/>
      <c r="AIW411" s="26"/>
      <c r="AIX411" s="26"/>
      <c r="AIY411" s="26"/>
      <c r="AIZ411" s="26"/>
      <c r="AJA411" s="26"/>
      <c r="AJB411" s="26"/>
      <c r="AJC411" s="26"/>
      <c r="AJD411" s="26"/>
      <c r="AJE411" s="26"/>
      <c r="AJF411" s="26"/>
      <c r="AJG411" s="26"/>
      <c r="AJH411" s="26"/>
      <c r="AJI411" s="26"/>
      <c r="AJJ411" s="26"/>
      <c r="AJK411" s="26"/>
      <c r="AJL411" s="26"/>
      <c r="AJM411" s="26"/>
      <c r="AJN411" s="26"/>
      <c r="AJO411" s="26"/>
      <c r="AJP411" s="26"/>
      <c r="AJQ411" s="26"/>
      <c r="AJR411" s="26"/>
      <c r="AJS411" s="26"/>
      <c r="AJT411" s="26"/>
      <c r="AJU411" s="26"/>
      <c r="AJV411" s="26"/>
      <c r="AJW411" s="26"/>
      <c r="AJX411" s="26"/>
      <c r="AJY411" s="26"/>
      <c r="AJZ411" s="26"/>
      <c r="AKA411" s="26"/>
      <c r="AKB411" s="26"/>
      <c r="AKC411" s="26"/>
      <c r="AKD411" s="26"/>
      <c r="AKE411" s="26"/>
      <c r="AKF411" s="26"/>
      <c r="AKG411" s="26"/>
      <c r="AKH411" s="26"/>
      <c r="AKI411" s="26"/>
      <c r="AKJ411" s="26"/>
      <c r="AKK411" s="26"/>
      <c r="AKL411" s="26"/>
      <c r="AKM411" s="26"/>
      <c r="AKN411" s="26"/>
      <c r="AKO411" s="26"/>
      <c r="AKP411" s="26"/>
      <c r="AKQ411" s="26"/>
      <c r="AKR411" s="26"/>
      <c r="AKS411" s="26"/>
      <c r="AKT411" s="26"/>
      <c r="AKU411" s="26"/>
      <c r="AKV411" s="26"/>
      <c r="AKW411" s="26"/>
      <c r="AKX411" s="26"/>
      <c r="AKY411" s="26"/>
      <c r="AKZ411" s="26"/>
      <c r="ALA411" s="26"/>
      <c r="ALB411" s="26"/>
      <c r="ALC411" s="26"/>
      <c r="ALD411" s="26"/>
      <c r="ALE411" s="26"/>
      <c r="ALF411" s="26"/>
      <c r="ALG411" s="26"/>
      <c r="ALH411" s="26"/>
      <c r="ALI411" s="26"/>
      <c r="ALJ411" s="26"/>
      <c r="ALK411" s="26"/>
      <c r="ALL411" s="26"/>
      <c r="ALM411" s="26"/>
      <c r="ALN411" s="26"/>
      <c r="ALO411" s="26"/>
      <c r="ALP411" s="26"/>
      <c r="ALQ411" s="26"/>
      <c r="ALR411" s="26"/>
      <c r="ALS411" s="26"/>
      <c r="ALT411" s="26"/>
      <c r="ALU411" s="26"/>
      <c r="ALV411" s="26"/>
      <c r="ALW411" s="26"/>
      <c r="ALX411" s="26"/>
      <c r="ALY411" s="26"/>
      <c r="ALZ411" s="26"/>
      <c r="AMA411" s="26"/>
      <c r="AMB411" s="26"/>
      <c r="AMC411" s="26"/>
      <c r="AMD411" s="26"/>
      <c r="AME411" s="26"/>
      <c r="AMF411" s="26"/>
      <c r="AMG411" s="26"/>
      <c r="AMH411" s="26"/>
      <c r="AMI411" s="26"/>
      <c r="AMJ411" s="26"/>
      <c r="AMK411" s="26"/>
      <c r="AML411" s="26"/>
      <c r="AMM411" s="26"/>
      <c r="AMN411" s="26"/>
      <c r="AMO411" s="26"/>
      <c r="AMP411" s="26"/>
      <c r="AMQ411" s="26"/>
      <c r="AMR411" s="26"/>
      <c r="AMS411" s="26"/>
      <c r="AMT411" s="26"/>
      <c r="AMU411" s="26"/>
      <c r="AMV411" s="26"/>
      <c r="AMW411" s="26"/>
      <c r="AMX411" s="26"/>
      <c r="AMY411" s="26"/>
      <c r="AMZ411" s="26"/>
      <c r="ANA411" s="26"/>
      <c r="ANB411" s="26"/>
      <c r="ANC411" s="26"/>
      <c r="AND411" s="26"/>
      <c r="ANE411" s="26"/>
      <c r="ANF411" s="26"/>
      <c r="ANG411" s="26"/>
      <c r="ANH411" s="26"/>
      <c r="ANI411" s="26"/>
      <c r="ANJ411" s="26"/>
      <c r="ANK411" s="26"/>
      <c r="ANL411" s="26"/>
      <c r="ANM411" s="26"/>
      <c r="ANN411" s="26"/>
      <c r="ANO411" s="26"/>
      <c r="ANP411" s="26"/>
      <c r="ANQ411" s="26"/>
      <c r="ANR411" s="26"/>
      <c r="ANS411" s="26"/>
      <c r="ANT411" s="26"/>
      <c r="ANU411" s="26"/>
      <c r="ANV411" s="26"/>
      <c r="ANW411" s="26"/>
      <c r="ANX411" s="26"/>
      <c r="ANY411" s="26"/>
      <c r="ANZ411" s="26"/>
      <c r="AOA411" s="26"/>
      <c r="AOB411" s="26"/>
      <c r="AOC411" s="26"/>
      <c r="AOD411" s="26"/>
      <c r="AOE411" s="26"/>
      <c r="AOF411" s="26"/>
      <c r="AOG411" s="26"/>
      <c r="AOH411" s="26"/>
      <c r="AOI411" s="26"/>
      <c r="AOJ411" s="26"/>
      <c r="AOK411" s="26"/>
      <c r="AOL411" s="26"/>
      <c r="AOM411" s="26"/>
      <c r="AON411" s="26"/>
      <c r="AOO411" s="26"/>
      <c r="AOP411" s="26"/>
      <c r="AOQ411" s="26"/>
      <c r="AOR411" s="26"/>
      <c r="AOS411" s="26"/>
      <c r="AOT411" s="26"/>
      <c r="AOU411" s="26"/>
      <c r="AOV411" s="26"/>
      <c r="AOW411" s="26"/>
      <c r="AOX411" s="26"/>
      <c r="AOY411" s="26"/>
      <c r="AOZ411" s="26"/>
      <c r="APA411" s="26"/>
      <c r="APB411" s="26"/>
      <c r="APC411" s="26"/>
      <c r="APD411" s="26"/>
      <c r="APE411" s="26"/>
      <c r="APF411" s="26"/>
      <c r="APG411" s="26"/>
      <c r="APH411" s="26"/>
      <c r="API411" s="26"/>
      <c r="APJ411" s="26"/>
      <c r="APK411" s="26"/>
      <c r="APL411" s="26"/>
      <c r="APM411" s="26"/>
      <c r="APN411" s="26"/>
      <c r="APO411" s="26"/>
      <c r="APP411" s="26"/>
      <c r="APQ411" s="26"/>
      <c r="APR411" s="26"/>
      <c r="APS411" s="26"/>
      <c r="APT411" s="26"/>
      <c r="APU411" s="26"/>
      <c r="APV411" s="26"/>
      <c r="APW411" s="26"/>
      <c r="APX411" s="26"/>
      <c r="APY411" s="26"/>
      <c r="APZ411" s="26"/>
      <c r="AQA411" s="26"/>
      <c r="AQB411" s="26"/>
      <c r="AQC411" s="26"/>
      <c r="AQD411" s="26"/>
      <c r="AQE411" s="26"/>
      <c r="AQF411" s="26"/>
      <c r="AQG411" s="26"/>
      <c r="AQH411" s="26"/>
      <c r="AQI411" s="26"/>
      <c r="AQJ411" s="26"/>
      <c r="AQK411" s="26"/>
      <c r="AQL411" s="26"/>
      <c r="AQM411" s="26"/>
      <c r="AQN411" s="26"/>
      <c r="AQO411" s="26"/>
      <c r="AQP411" s="26"/>
      <c r="AQQ411" s="26"/>
      <c r="AQR411" s="26"/>
      <c r="AQS411" s="26"/>
      <c r="AQT411" s="26"/>
      <c r="AQU411" s="26"/>
      <c r="AQV411" s="26"/>
      <c r="AQW411" s="26"/>
      <c r="AQX411" s="26"/>
      <c r="AQY411" s="26"/>
      <c r="AQZ411" s="26"/>
      <c r="ARA411" s="26"/>
      <c r="ARB411" s="26"/>
      <c r="ARC411" s="26"/>
      <c r="ARD411" s="26"/>
      <c r="ARE411" s="26"/>
      <c r="ARF411" s="26"/>
      <c r="ARG411" s="26"/>
      <c r="ARH411" s="26"/>
      <c r="ARI411" s="26"/>
      <c r="ARJ411" s="26"/>
      <c r="ARK411" s="26"/>
      <c r="ARL411" s="26"/>
      <c r="ARM411" s="26"/>
      <c r="ARN411" s="26"/>
      <c r="ARO411" s="26"/>
      <c r="ARP411" s="26"/>
      <c r="ARQ411" s="26"/>
      <c r="ARR411" s="26"/>
      <c r="ARS411" s="26"/>
      <c r="ART411" s="26"/>
      <c r="ARU411" s="26"/>
      <c r="ARV411" s="26"/>
      <c r="ARW411" s="26"/>
      <c r="ARX411" s="26"/>
      <c r="ARY411" s="26"/>
      <c r="ARZ411" s="26"/>
      <c r="ASA411" s="26"/>
      <c r="ASB411" s="26"/>
      <c r="ASC411" s="26"/>
      <c r="ASD411" s="26"/>
      <c r="ASE411" s="26"/>
      <c r="ASF411" s="26"/>
      <c r="ASG411" s="26"/>
      <c r="ASH411" s="26"/>
      <c r="ASI411" s="26"/>
      <c r="ASJ411" s="26"/>
      <c r="ASK411" s="26"/>
      <c r="ASL411" s="26"/>
      <c r="ASM411" s="26"/>
      <c r="ASN411" s="26"/>
      <c r="ASO411" s="26"/>
      <c r="ASP411" s="26"/>
      <c r="ASQ411" s="26"/>
      <c r="ASR411" s="26"/>
      <c r="ASS411" s="26"/>
      <c r="AST411" s="26"/>
      <c r="ASU411" s="26"/>
      <c r="ASV411" s="26"/>
      <c r="ASW411" s="26"/>
      <c r="ASX411" s="26"/>
      <c r="ASY411" s="26"/>
      <c r="ASZ411" s="26"/>
      <c r="ATA411" s="26"/>
      <c r="ATB411" s="26"/>
      <c r="ATC411" s="26"/>
      <c r="ATD411" s="26"/>
      <c r="ATE411" s="26"/>
      <c r="ATF411" s="26"/>
      <c r="ATG411" s="26"/>
      <c r="ATH411" s="26"/>
      <c r="ATI411" s="26"/>
      <c r="ATJ411" s="26"/>
      <c r="ATK411" s="26"/>
      <c r="ATL411" s="26"/>
      <c r="ATM411" s="26"/>
      <c r="ATN411" s="26"/>
      <c r="ATO411" s="26"/>
      <c r="ATP411" s="26"/>
      <c r="ATQ411" s="26"/>
      <c r="ATR411" s="26"/>
      <c r="ATS411" s="26"/>
      <c r="ATT411" s="26"/>
      <c r="ATU411" s="26"/>
      <c r="ATV411" s="26"/>
      <c r="ATW411" s="26"/>
      <c r="ATX411" s="26"/>
      <c r="ATY411" s="26"/>
      <c r="ATZ411" s="26"/>
      <c r="AUA411" s="26"/>
      <c r="AUB411" s="26"/>
      <c r="AUC411" s="26"/>
      <c r="AUD411" s="26"/>
      <c r="AUE411" s="26"/>
      <c r="AUF411" s="26"/>
      <c r="AUG411" s="26"/>
      <c r="AUH411" s="26"/>
      <c r="AUI411" s="26"/>
      <c r="AUJ411" s="26"/>
      <c r="AUK411" s="26"/>
      <c r="AUL411" s="26"/>
      <c r="AUM411" s="26"/>
      <c r="AUN411" s="26"/>
      <c r="AUO411" s="26"/>
      <c r="AUP411" s="26"/>
      <c r="AUQ411" s="26"/>
      <c r="AUR411" s="26"/>
      <c r="AUS411" s="26"/>
      <c r="AUT411" s="26"/>
      <c r="AUU411" s="26"/>
      <c r="AUV411" s="26"/>
      <c r="AUW411" s="26"/>
      <c r="AUX411" s="26"/>
      <c r="AUY411" s="26"/>
      <c r="AUZ411" s="26"/>
      <c r="AVA411" s="26"/>
      <c r="AVB411" s="26"/>
      <c r="AVC411" s="26"/>
      <c r="AVD411" s="26"/>
      <c r="AVE411" s="26"/>
      <c r="AVF411" s="26"/>
      <c r="AVG411" s="26"/>
      <c r="AVH411" s="26"/>
      <c r="AVI411" s="26"/>
      <c r="AVJ411" s="26"/>
      <c r="AVK411" s="26"/>
      <c r="AVL411" s="26"/>
      <c r="AVM411" s="26"/>
      <c r="AVN411" s="26"/>
      <c r="AVO411" s="26"/>
      <c r="AVP411" s="26"/>
      <c r="AVQ411" s="26"/>
      <c r="AVR411" s="26"/>
      <c r="AVS411" s="26"/>
      <c r="AVT411" s="26"/>
      <c r="AVU411" s="26"/>
      <c r="AVV411" s="26"/>
      <c r="AVW411" s="26"/>
      <c r="AVX411" s="26"/>
      <c r="AVY411" s="26"/>
      <c r="AVZ411" s="26"/>
      <c r="AWA411" s="26"/>
      <c r="AWB411" s="26"/>
      <c r="AWC411" s="26"/>
      <c r="AWD411" s="26"/>
      <c r="AWE411" s="26"/>
      <c r="AWF411" s="26"/>
      <c r="AWG411" s="26"/>
      <c r="AWH411" s="26"/>
      <c r="AWI411" s="26"/>
      <c r="AWJ411" s="26"/>
      <c r="AWK411" s="26"/>
      <c r="AWL411" s="26"/>
      <c r="AWM411" s="26"/>
      <c r="AWN411" s="26"/>
      <c r="AWO411" s="26"/>
      <c r="AWP411" s="26"/>
      <c r="AWQ411" s="26"/>
      <c r="AWR411" s="26"/>
      <c r="AWS411" s="26"/>
      <c r="AWT411" s="26"/>
      <c r="AWU411" s="26"/>
      <c r="AWV411" s="26"/>
      <c r="AWW411" s="26"/>
      <c r="AWX411" s="26"/>
      <c r="AWY411" s="26"/>
      <c r="AWZ411" s="26"/>
      <c r="AXA411" s="26"/>
      <c r="AXB411" s="26"/>
      <c r="AXC411" s="26"/>
      <c r="AXD411" s="26"/>
      <c r="AXE411" s="26"/>
      <c r="AXF411" s="26"/>
      <c r="AXG411" s="26"/>
      <c r="AXH411" s="26"/>
      <c r="AXI411" s="26"/>
      <c r="AXJ411" s="26"/>
      <c r="AXK411" s="26"/>
      <c r="AXL411" s="26"/>
      <c r="AXM411" s="26"/>
      <c r="AXN411" s="26"/>
      <c r="AXO411" s="26"/>
      <c r="AXP411" s="26"/>
      <c r="AXQ411" s="26"/>
      <c r="AXR411" s="26"/>
      <c r="AXS411" s="26"/>
      <c r="AXT411" s="26"/>
      <c r="AXU411" s="26"/>
      <c r="AXV411" s="26"/>
      <c r="AXW411" s="26"/>
      <c r="AXX411" s="26"/>
      <c r="AXY411" s="26"/>
      <c r="AXZ411" s="26"/>
      <c r="AYA411" s="26"/>
      <c r="AYB411" s="26"/>
      <c r="AYC411" s="26"/>
      <c r="AYD411" s="26"/>
      <c r="AYE411" s="26"/>
      <c r="AYF411" s="26"/>
      <c r="AYG411" s="26"/>
      <c r="AYH411" s="26"/>
      <c r="AYI411" s="26"/>
      <c r="AYJ411" s="26"/>
      <c r="AYK411" s="26"/>
      <c r="AYL411" s="26"/>
      <c r="AYM411" s="26"/>
      <c r="AYN411" s="26"/>
      <c r="AYO411" s="26"/>
      <c r="AYP411" s="26"/>
      <c r="AYQ411" s="26"/>
      <c r="AYR411" s="26"/>
      <c r="AYS411" s="26"/>
      <c r="AYT411" s="26"/>
      <c r="AYU411" s="26"/>
      <c r="AYV411" s="26"/>
      <c r="AYW411" s="26"/>
      <c r="AYX411" s="26"/>
      <c r="AYY411" s="26"/>
      <c r="AYZ411" s="26"/>
      <c r="AZA411" s="26"/>
      <c r="AZB411" s="26"/>
      <c r="AZC411" s="26"/>
      <c r="AZD411" s="26"/>
      <c r="AZE411" s="26"/>
      <c r="AZF411" s="26"/>
      <c r="AZG411" s="26"/>
      <c r="AZH411" s="26"/>
      <c r="AZI411" s="26"/>
      <c r="AZJ411" s="26"/>
      <c r="AZK411" s="26"/>
      <c r="AZL411" s="26"/>
      <c r="AZM411" s="26"/>
      <c r="AZN411" s="26"/>
      <c r="AZO411" s="26"/>
      <c r="AZP411" s="26"/>
      <c r="AZQ411" s="26"/>
      <c r="AZR411" s="26"/>
      <c r="AZS411" s="26"/>
      <c r="AZT411" s="26"/>
      <c r="AZU411" s="26"/>
      <c r="AZV411" s="26"/>
      <c r="AZW411" s="26"/>
      <c r="AZX411" s="26"/>
      <c r="AZY411" s="26"/>
      <c r="AZZ411" s="26"/>
      <c r="BAA411" s="26"/>
      <c r="BAB411" s="26"/>
      <c r="BAC411" s="26"/>
      <c r="BAD411" s="26"/>
      <c r="BAE411" s="26"/>
      <c r="BAF411" s="26"/>
      <c r="BAG411" s="26"/>
      <c r="BAH411" s="26"/>
      <c r="BAI411" s="26"/>
      <c r="BAJ411" s="26"/>
      <c r="BAK411" s="26"/>
      <c r="BAL411" s="26"/>
      <c r="BAM411" s="26"/>
      <c r="BAN411" s="26"/>
      <c r="BAO411" s="26"/>
      <c r="BAP411" s="26"/>
      <c r="BAQ411" s="26"/>
      <c r="BAR411" s="26"/>
      <c r="BAS411" s="26"/>
      <c r="BAT411" s="26"/>
      <c r="BAU411" s="26"/>
      <c r="BAV411" s="26"/>
      <c r="BAW411" s="26"/>
      <c r="BAX411" s="26"/>
      <c r="BAY411" s="26"/>
      <c r="BAZ411" s="26"/>
      <c r="BBA411" s="26"/>
      <c r="BBB411" s="26"/>
      <c r="BBC411" s="26"/>
      <c r="BBD411" s="26"/>
      <c r="BBE411" s="26"/>
      <c r="BBF411" s="26"/>
      <c r="BBG411" s="26"/>
      <c r="BBH411" s="26"/>
      <c r="BBI411" s="26"/>
      <c r="BBJ411" s="26"/>
      <c r="BBK411" s="26"/>
      <c r="BBL411" s="26"/>
      <c r="BBM411" s="26"/>
      <c r="BBN411" s="26"/>
      <c r="BBO411" s="26"/>
      <c r="BBP411" s="26"/>
      <c r="BBQ411" s="26"/>
      <c r="BBR411" s="26"/>
      <c r="BBS411" s="26"/>
      <c r="BBT411" s="26"/>
      <c r="BBU411" s="26"/>
      <c r="BBV411" s="26"/>
      <c r="BBW411" s="26"/>
      <c r="BBX411" s="26"/>
      <c r="BBY411" s="26"/>
      <c r="BBZ411" s="26"/>
      <c r="BCA411" s="26"/>
      <c r="BCB411" s="26"/>
      <c r="BCC411" s="26"/>
      <c r="BCD411" s="26"/>
      <c r="BCE411" s="26"/>
      <c r="BCF411" s="26"/>
      <c r="BCG411" s="26"/>
      <c r="BCH411" s="26"/>
      <c r="BCI411" s="26"/>
      <c r="BCJ411" s="26"/>
      <c r="BCK411" s="26"/>
      <c r="BCL411" s="26"/>
      <c r="BCM411" s="26"/>
      <c r="BCN411" s="26"/>
      <c r="BCO411" s="26"/>
      <c r="BCP411" s="26"/>
      <c r="BCQ411" s="26"/>
      <c r="BCR411" s="26"/>
      <c r="BCS411" s="26"/>
      <c r="BCT411" s="26"/>
      <c r="BCU411" s="26"/>
      <c r="BCV411" s="26"/>
      <c r="BCW411" s="26"/>
      <c r="BCX411" s="26"/>
      <c r="BCY411" s="26"/>
      <c r="BCZ411" s="26"/>
      <c r="BDA411" s="26"/>
      <c r="BDB411" s="26"/>
      <c r="BDC411" s="26"/>
      <c r="BDD411" s="26"/>
      <c r="BDE411" s="26"/>
      <c r="BDF411" s="26"/>
      <c r="BDG411" s="26"/>
      <c r="BDH411" s="26"/>
      <c r="BDI411" s="26"/>
      <c r="BDJ411" s="26"/>
      <c r="BDK411" s="26"/>
      <c r="BDL411" s="26"/>
      <c r="BDM411" s="26"/>
      <c r="BDN411" s="26"/>
      <c r="BDO411" s="26"/>
      <c r="BDP411" s="26"/>
      <c r="BDQ411" s="26"/>
      <c r="BDR411" s="26"/>
      <c r="BDS411" s="26"/>
      <c r="BDT411" s="26"/>
      <c r="BDU411" s="26"/>
      <c r="BDV411" s="26"/>
      <c r="BDW411" s="26"/>
      <c r="BDX411" s="26"/>
      <c r="BDY411" s="26"/>
      <c r="BDZ411" s="26"/>
      <c r="BEA411" s="26"/>
      <c r="BEB411" s="26"/>
      <c r="BEC411" s="26"/>
      <c r="BED411" s="26"/>
      <c r="BEE411" s="26"/>
      <c r="BEF411" s="26"/>
      <c r="BEG411" s="26"/>
      <c r="BEH411" s="26"/>
      <c r="BEI411" s="26"/>
      <c r="BEJ411" s="26"/>
      <c r="BEK411" s="26"/>
      <c r="BEL411" s="26"/>
      <c r="BEM411" s="26"/>
      <c r="BEN411" s="26"/>
      <c r="BEO411" s="26"/>
      <c r="BEP411" s="26"/>
      <c r="BEQ411" s="26"/>
      <c r="BER411" s="26"/>
      <c r="BES411" s="26"/>
      <c r="BET411" s="26"/>
      <c r="BEU411" s="26"/>
      <c r="BEV411" s="26"/>
      <c r="BEW411" s="26"/>
      <c r="BEX411" s="26"/>
      <c r="BEY411" s="26"/>
      <c r="BEZ411" s="26"/>
      <c r="BFA411" s="26"/>
      <c r="BFB411" s="26"/>
      <c r="BFC411" s="26"/>
      <c r="BFD411" s="26"/>
      <c r="BFE411" s="26"/>
      <c r="BFF411" s="26"/>
      <c r="BFG411" s="26"/>
      <c r="BFH411" s="26"/>
      <c r="BFI411" s="26"/>
      <c r="BFJ411" s="26"/>
      <c r="BFK411" s="26"/>
      <c r="BFL411" s="26"/>
      <c r="BFM411" s="26"/>
      <c r="BFN411" s="26"/>
      <c r="BFO411" s="26"/>
      <c r="BFP411" s="26"/>
      <c r="BFQ411" s="26"/>
      <c r="BFR411" s="26"/>
      <c r="BFS411" s="26"/>
      <c r="BFT411" s="26"/>
      <c r="BFU411" s="26"/>
      <c r="BFV411" s="26"/>
      <c r="BFW411" s="26"/>
      <c r="BFX411" s="26"/>
      <c r="BFY411" s="26"/>
      <c r="BFZ411" s="26"/>
      <c r="BGA411" s="26"/>
      <c r="BGB411" s="26"/>
      <c r="BGC411" s="26"/>
      <c r="BGD411" s="26"/>
      <c r="BGE411" s="26"/>
      <c r="BGF411" s="26"/>
      <c r="BGG411" s="26"/>
      <c r="BGH411" s="26"/>
      <c r="BGI411" s="26"/>
      <c r="BGJ411" s="26"/>
      <c r="BGK411" s="26"/>
      <c r="BGL411" s="26"/>
      <c r="BGM411" s="26"/>
      <c r="BGN411" s="26"/>
      <c r="BGO411" s="26"/>
      <c r="BGP411" s="26"/>
      <c r="BGQ411" s="26"/>
      <c r="BGR411" s="26"/>
      <c r="BGS411" s="26"/>
      <c r="BGT411" s="26"/>
      <c r="BGU411" s="26"/>
      <c r="BGV411" s="26"/>
      <c r="BGW411" s="26"/>
      <c r="BGX411" s="26"/>
      <c r="BGY411" s="26"/>
      <c r="BGZ411" s="26"/>
      <c r="BHA411" s="26"/>
      <c r="BHB411" s="26"/>
      <c r="BHC411" s="26"/>
      <c r="BHD411" s="26"/>
      <c r="BHE411" s="26"/>
      <c r="BHF411" s="26"/>
      <c r="BHG411" s="26"/>
      <c r="BHH411" s="26"/>
      <c r="BHI411" s="26"/>
      <c r="BHJ411" s="26"/>
      <c r="BHK411" s="26"/>
      <c r="BHL411" s="26"/>
      <c r="BHM411" s="26"/>
      <c r="BHN411" s="26"/>
      <c r="BHO411" s="26"/>
      <c r="BHP411" s="26"/>
      <c r="BHQ411" s="26"/>
      <c r="BHR411" s="26"/>
      <c r="BHS411" s="26"/>
      <c r="BHT411" s="26"/>
      <c r="BHU411" s="26"/>
      <c r="BHV411" s="26"/>
      <c r="BHW411" s="26"/>
      <c r="BHX411" s="26"/>
      <c r="BHY411" s="26"/>
      <c r="BHZ411" s="26"/>
      <c r="BIA411" s="26"/>
      <c r="BIB411" s="26"/>
      <c r="BIC411" s="26"/>
      <c r="BID411" s="26"/>
      <c r="BIE411" s="26"/>
      <c r="BIF411" s="26"/>
      <c r="BIG411" s="26"/>
      <c r="BIH411" s="26"/>
      <c r="BII411" s="26"/>
      <c r="BIJ411" s="26"/>
      <c r="BIK411" s="26"/>
      <c r="BIL411" s="26"/>
      <c r="BIM411" s="26"/>
      <c r="BIN411" s="26"/>
      <c r="BIO411" s="26"/>
      <c r="BIP411" s="26"/>
      <c r="BIQ411" s="26"/>
      <c r="BIR411" s="26"/>
      <c r="BIS411" s="26"/>
      <c r="BIT411" s="26"/>
      <c r="BIU411" s="26"/>
      <c r="BIV411" s="26"/>
      <c r="BIW411" s="26"/>
      <c r="BIX411" s="26"/>
      <c r="BIY411" s="26"/>
      <c r="BIZ411" s="26"/>
      <c r="BJA411" s="26"/>
      <c r="BJB411" s="26"/>
      <c r="BJC411" s="26"/>
      <c r="BJD411" s="26"/>
      <c r="BJE411" s="26"/>
      <c r="BJF411" s="26"/>
      <c r="BJG411" s="26"/>
      <c r="BJH411" s="26"/>
      <c r="BJI411" s="26"/>
      <c r="BJJ411" s="26"/>
      <c r="BJK411" s="26"/>
      <c r="BJL411" s="26"/>
      <c r="BJM411" s="26"/>
      <c r="BJN411" s="26"/>
      <c r="BJO411" s="26"/>
      <c r="BJP411" s="26"/>
      <c r="BJQ411" s="26"/>
      <c r="BJR411" s="26"/>
      <c r="BJS411" s="26"/>
      <c r="BJT411" s="26"/>
      <c r="BJU411" s="26"/>
      <c r="BJV411" s="26"/>
      <c r="BJW411" s="26"/>
      <c r="BJX411" s="26"/>
      <c r="BJY411" s="26"/>
      <c r="BJZ411" s="26"/>
      <c r="BKA411" s="26"/>
      <c r="BKB411" s="26"/>
      <c r="BKC411" s="26"/>
      <c r="BKD411" s="26"/>
      <c r="BKE411" s="26"/>
      <c r="BKF411" s="26"/>
      <c r="BKG411" s="26"/>
      <c r="BKH411" s="26"/>
      <c r="BKI411" s="26"/>
      <c r="BKJ411" s="26"/>
      <c r="BKK411" s="26"/>
      <c r="BKL411" s="26"/>
      <c r="BKM411" s="26"/>
      <c r="BKN411" s="26"/>
      <c r="BKO411" s="26"/>
      <c r="BKP411" s="26"/>
      <c r="BKQ411" s="26"/>
      <c r="BKR411" s="26"/>
      <c r="BKS411" s="26"/>
      <c r="BKT411" s="26"/>
      <c r="BKU411" s="26"/>
      <c r="BKV411" s="26"/>
      <c r="BKW411" s="26"/>
      <c r="BKX411" s="26"/>
      <c r="BKY411" s="26"/>
      <c r="BKZ411" s="26"/>
      <c r="BLA411" s="26"/>
      <c r="BLB411" s="26"/>
      <c r="BLC411" s="26"/>
      <c r="BLD411" s="26"/>
      <c r="BLE411" s="26"/>
      <c r="BLF411" s="26"/>
      <c r="BLG411" s="26"/>
      <c r="BLH411" s="26"/>
      <c r="BLI411" s="26"/>
      <c r="BLJ411" s="26"/>
      <c r="BLK411" s="26"/>
      <c r="BLL411" s="26"/>
      <c r="BLM411" s="26"/>
      <c r="BLN411" s="26"/>
      <c r="BLO411" s="26"/>
      <c r="BLP411" s="26"/>
      <c r="BLQ411" s="26"/>
      <c r="BLR411" s="26"/>
      <c r="BLS411" s="26"/>
      <c r="BLT411" s="26"/>
      <c r="BLU411" s="26"/>
      <c r="BLV411" s="26"/>
      <c r="BLW411" s="26"/>
      <c r="BLX411" s="26"/>
      <c r="BLY411" s="26"/>
      <c r="BLZ411" s="26"/>
      <c r="BMA411" s="26"/>
      <c r="BMB411" s="26"/>
      <c r="BMC411" s="26"/>
      <c r="BMD411" s="26"/>
      <c r="BME411" s="26"/>
      <c r="BMF411" s="26"/>
      <c r="BMG411" s="26"/>
      <c r="BMH411" s="26"/>
      <c r="BMI411" s="26"/>
      <c r="BMJ411" s="26"/>
      <c r="BMK411" s="26"/>
      <c r="BML411" s="26"/>
      <c r="BMM411" s="26"/>
      <c r="BMN411" s="26"/>
      <c r="BMO411" s="26"/>
      <c r="BMP411" s="26"/>
      <c r="BMQ411" s="26"/>
      <c r="BMR411" s="26"/>
      <c r="BMS411" s="26"/>
      <c r="BMT411" s="26"/>
      <c r="BMU411" s="26"/>
      <c r="BMV411" s="26"/>
      <c r="BMW411" s="26"/>
      <c r="BMX411" s="26"/>
      <c r="BMY411" s="26"/>
      <c r="BMZ411" s="26"/>
      <c r="BNA411" s="26"/>
      <c r="BNB411" s="26"/>
      <c r="BNC411" s="26"/>
      <c r="BND411" s="26"/>
      <c r="BNE411" s="26"/>
      <c r="BNF411" s="26"/>
      <c r="BNG411" s="26"/>
      <c r="BNH411" s="26"/>
      <c r="BNI411" s="26"/>
      <c r="BNJ411" s="26"/>
      <c r="BNK411" s="26"/>
      <c r="BNL411" s="26"/>
      <c r="BNM411" s="26"/>
      <c r="BNN411" s="26"/>
      <c r="BNO411" s="26"/>
      <c r="BNP411" s="26"/>
      <c r="BNQ411" s="26"/>
      <c r="BNR411" s="26"/>
      <c r="BNS411" s="26"/>
      <c r="BNT411" s="26"/>
      <c r="BNU411" s="26"/>
      <c r="BNV411" s="26"/>
      <c r="BNW411" s="26"/>
      <c r="BNX411" s="26"/>
      <c r="BNY411" s="26"/>
      <c r="BNZ411" s="26"/>
      <c r="BOA411" s="26"/>
      <c r="BOB411" s="26"/>
      <c r="BOC411" s="26"/>
      <c r="BOD411" s="26"/>
      <c r="BOE411" s="26"/>
      <c r="BOF411" s="26"/>
      <c r="BOG411" s="26"/>
      <c r="BOH411" s="26"/>
      <c r="BOI411" s="26"/>
      <c r="BOJ411" s="26"/>
      <c r="BOK411" s="26"/>
      <c r="BOL411" s="26"/>
      <c r="BOM411" s="26"/>
      <c r="BON411" s="26"/>
      <c r="BOO411" s="26"/>
      <c r="BOP411" s="26"/>
      <c r="BOQ411" s="26"/>
      <c r="BOR411" s="26"/>
      <c r="BOS411" s="26"/>
      <c r="BOT411" s="26"/>
      <c r="BOU411" s="26"/>
      <c r="BOV411" s="26"/>
      <c r="BOW411" s="26"/>
      <c r="BOX411" s="26"/>
      <c r="BOY411" s="26"/>
      <c r="BOZ411" s="26"/>
      <c r="BPA411" s="26"/>
      <c r="BPB411" s="26"/>
      <c r="BPC411" s="26"/>
      <c r="BPD411" s="26"/>
      <c r="BPE411" s="26"/>
      <c r="BPF411" s="26"/>
      <c r="BPG411" s="26"/>
      <c r="BPH411" s="26"/>
      <c r="BPI411" s="26"/>
      <c r="BPJ411" s="26"/>
      <c r="BPK411" s="26"/>
      <c r="BPL411" s="26"/>
      <c r="BPM411" s="26"/>
      <c r="BPN411" s="26"/>
      <c r="BPO411" s="26"/>
      <c r="BPP411" s="26"/>
      <c r="BPQ411" s="26"/>
      <c r="BPR411" s="26"/>
      <c r="BPS411" s="26"/>
      <c r="BPT411" s="26"/>
      <c r="BPU411" s="26"/>
      <c r="BPV411" s="26"/>
      <c r="BPW411" s="26"/>
      <c r="BPX411" s="26"/>
      <c r="BPY411" s="26"/>
      <c r="BPZ411" s="26"/>
      <c r="BQA411" s="26"/>
      <c r="BQB411" s="26"/>
      <c r="BQC411" s="26"/>
      <c r="BQD411" s="26"/>
      <c r="BQE411" s="26"/>
      <c r="BQF411" s="26"/>
      <c r="BQG411" s="26"/>
      <c r="BQH411" s="26"/>
      <c r="BQI411" s="26"/>
      <c r="BQJ411" s="26"/>
      <c r="BQK411" s="26"/>
      <c r="BQL411" s="26"/>
      <c r="BQM411" s="26"/>
      <c r="BQN411" s="26"/>
      <c r="BQO411" s="26"/>
      <c r="BQP411" s="26"/>
      <c r="BQQ411" s="26"/>
      <c r="BQR411" s="26"/>
      <c r="BQS411" s="26"/>
      <c r="BQT411" s="26"/>
      <c r="BQU411" s="26"/>
      <c r="BQV411" s="26"/>
      <c r="BQW411" s="26"/>
      <c r="BQX411" s="26"/>
      <c r="BQY411" s="26"/>
      <c r="BQZ411" s="26"/>
      <c r="BRA411" s="26"/>
      <c r="BRB411" s="26"/>
      <c r="BRC411" s="26"/>
      <c r="BRD411" s="26"/>
      <c r="BRE411" s="26"/>
      <c r="BRF411" s="26"/>
      <c r="BRG411" s="26"/>
      <c r="BRH411" s="26"/>
      <c r="BRI411" s="26"/>
      <c r="BRJ411" s="26"/>
      <c r="BRK411" s="26"/>
      <c r="BRL411" s="26"/>
      <c r="BRM411" s="26"/>
      <c r="BRN411" s="26"/>
      <c r="BRO411" s="26"/>
      <c r="BRP411" s="26"/>
      <c r="BRQ411" s="26"/>
      <c r="BRR411" s="26"/>
      <c r="BRS411" s="26"/>
      <c r="BRT411" s="26"/>
      <c r="BRU411" s="26"/>
      <c r="BRV411" s="26"/>
      <c r="BRW411" s="26"/>
      <c r="BRX411" s="26"/>
      <c r="BRY411" s="26"/>
      <c r="BRZ411" s="26"/>
      <c r="BSA411" s="26"/>
      <c r="BSB411" s="26"/>
      <c r="BSC411" s="26"/>
      <c r="BSD411" s="26"/>
      <c r="BSE411" s="26"/>
      <c r="BSF411" s="26"/>
      <c r="BSG411" s="26"/>
      <c r="BSH411" s="26"/>
      <c r="BSI411" s="26"/>
      <c r="BSJ411" s="26"/>
      <c r="BSK411" s="26"/>
      <c r="BSL411" s="26"/>
      <c r="BSM411" s="26"/>
      <c r="BSN411" s="26"/>
      <c r="BSO411" s="26"/>
      <c r="BSP411" s="26"/>
      <c r="BSQ411" s="26"/>
      <c r="BSR411" s="26"/>
      <c r="BSS411" s="26"/>
      <c r="BST411" s="26"/>
      <c r="BSU411" s="26"/>
      <c r="BSV411" s="26"/>
      <c r="BSW411" s="26"/>
      <c r="BSX411" s="26"/>
      <c r="BSY411" s="26"/>
      <c r="BSZ411" s="26"/>
      <c r="BTA411" s="26"/>
      <c r="BTB411" s="26"/>
      <c r="BTC411" s="26"/>
      <c r="BTD411" s="26"/>
      <c r="BTE411" s="26"/>
      <c r="BTF411" s="26"/>
      <c r="BTG411" s="26"/>
      <c r="BTH411" s="26"/>
      <c r="BTI411" s="26"/>
      <c r="BTJ411" s="26"/>
      <c r="BTK411" s="26"/>
      <c r="BTL411" s="26"/>
      <c r="BTM411" s="26"/>
      <c r="BTN411" s="26"/>
      <c r="BTO411" s="26"/>
      <c r="BTP411" s="26"/>
      <c r="BTQ411" s="26"/>
      <c r="BTR411" s="26"/>
      <c r="BTS411" s="26"/>
      <c r="BTT411" s="26"/>
      <c r="BTU411" s="26"/>
      <c r="BTV411" s="26"/>
      <c r="BTW411" s="26"/>
      <c r="BTX411" s="26"/>
      <c r="BTY411" s="26"/>
      <c r="BTZ411" s="26"/>
      <c r="BUA411" s="26"/>
      <c r="BUB411" s="26"/>
      <c r="BUC411" s="26"/>
      <c r="BUD411" s="26"/>
      <c r="BUE411" s="26"/>
      <c r="BUF411" s="26"/>
      <c r="BUG411" s="26"/>
      <c r="BUH411" s="26"/>
      <c r="BUI411" s="26"/>
      <c r="BUJ411" s="26"/>
      <c r="BUK411" s="26"/>
      <c r="BUL411" s="26"/>
      <c r="BUM411" s="26"/>
      <c r="BUN411" s="26"/>
      <c r="BUO411" s="26"/>
      <c r="BUP411" s="26"/>
      <c r="BUQ411" s="26"/>
      <c r="BUR411" s="26"/>
      <c r="BUS411" s="26"/>
      <c r="BUT411" s="26"/>
      <c r="BUU411" s="26"/>
      <c r="BUV411" s="26"/>
      <c r="BUW411" s="26"/>
      <c r="BUX411" s="26"/>
      <c r="BUY411" s="26"/>
      <c r="BUZ411" s="26"/>
      <c r="BVA411" s="26"/>
      <c r="BVB411" s="26"/>
      <c r="BVC411" s="26"/>
      <c r="BVD411" s="26"/>
      <c r="BVE411" s="26"/>
      <c r="BVF411" s="26"/>
      <c r="BVG411" s="26"/>
      <c r="BVH411" s="26"/>
      <c r="BVI411" s="26"/>
      <c r="BVJ411" s="26"/>
      <c r="BVK411" s="26"/>
      <c r="BVL411" s="26"/>
      <c r="BVM411" s="26"/>
      <c r="BVN411" s="26"/>
      <c r="BVO411" s="26"/>
      <c r="BVP411" s="26"/>
      <c r="BVQ411" s="26"/>
      <c r="BVR411" s="26"/>
      <c r="BVS411" s="26"/>
      <c r="BVT411" s="26"/>
      <c r="BVU411" s="26"/>
      <c r="BVV411" s="26"/>
      <c r="BVW411" s="26"/>
      <c r="BVX411" s="26"/>
      <c r="BVY411" s="26"/>
      <c r="BVZ411" s="26"/>
      <c r="BWA411" s="26"/>
      <c r="BWB411" s="26"/>
      <c r="BWC411" s="26"/>
      <c r="BWD411" s="26"/>
      <c r="BWE411" s="26"/>
      <c r="BWF411" s="26"/>
      <c r="BWG411" s="26"/>
      <c r="BWH411" s="26"/>
      <c r="BWI411" s="26"/>
      <c r="BWJ411" s="26"/>
      <c r="BWK411" s="26"/>
      <c r="BWL411" s="26"/>
      <c r="BWM411" s="26"/>
      <c r="BWN411" s="26"/>
      <c r="BWO411" s="26"/>
      <c r="BWP411" s="26"/>
      <c r="BWQ411" s="26"/>
      <c r="BWR411" s="26"/>
      <c r="BWS411" s="26"/>
      <c r="BWT411" s="26"/>
      <c r="BWU411" s="26"/>
      <c r="BWV411" s="26"/>
      <c r="BWW411" s="26"/>
      <c r="BWX411" s="26"/>
      <c r="BWY411" s="26"/>
      <c r="BWZ411" s="26"/>
      <c r="BXA411" s="26"/>
      <c r="BXB411" s="26"/>
      <c r="BXC411" s="26"/>
      <c r="BXD411" s="26"/>
      <c r="BXE411" s="26"/>
      <c r="BXF411" s="26"/>
      <c r="BXG411" s="26"/>
      <c r="BXH411" s="26"/>
      <c r="BXI411" s="26"/>
      <c r="BXJ411" s="26"/>
      <c r="BXK411" s="26"/>
      <c r="BXL411" s="26"/>
      <c r="BXM411" s="26"/>
      <c r="BXN411" s="26"/>
      <c r="BXO411" s="26"/>
      <c r="BXP411" s="26"/>
      <c r="BXQ411" s="26"/>
      <c r="BXR411" s="26"/>
      <c r="BXS411" s="26"/>
      <c r="BXT411" s="26"/>
      <c r="BXU411" s="26"/>
      <c r="BXV411" s="26"/>
      <c r="BXW411" s="26"/>
      <c r="BXX411" s="26"/>
      <c r="BXY411" s="26"/>
      <c r="BXZ411" s="26"/>
      <c r="BYA411" s="26"/>
      <c r="BYB411" s="26"/>
      <c r="BYC411" s="26"/>
      <c r="BYD411" s="26"/>
      <c r="BYE411" s="26"/>
      <c r="BYF411" s="26"/>
      <c r="BYG411" s="26"/>
      <c r="BYH411" s="26"/>
      <c r="BYI411" s="26"/>
      <c r="BYJ411" s="26"/>
      <c r="BYK411" s="26"/>
      <c r="BYL411" s="26"/>
      <c r="BYM411" s="26"/>
      <c r="BYN411" s="26"/>
      <c r="BYO411" s="26"/>
      <c r="BYP411" s="26"/>
      <c r="BYQ411" s="26"/>
      <c r="BYR411" s="26"/>
      <c r="BYS411" s="26"/>
      <c r="BYT411" s="26"/>
      <c r="BYU411" s="26"/>
      <c r="BYV411" s="26"/>
      <c r="BYW411" s="26"/>
      <c r="BYX411" s="26"/>
      <c r="BYY411" s="26"/>
      <c r="BYZ411" s="26"/>
      <c r="BZA411" s="26"/>
      <c r="BZB411" s="26"/>
      <c r="BZC411" s="26"/>
      <c r="BZD411" s="26"/>
      <c r="BZE411" s="26"/>
      <c r="BZF411" s="26"/>
      <c r="BZG411" s="26"/>
      <c r="BZH411" s="26"/>
      <c r="BZI411" s="26"/>
      <c r="BZJ411" s="26"/>
      <c r="BZK411" s="26"/>
      <c r="BZL411" s="26"/>
      <c r="BZM411" s="26"/>
      <c r="BZN411" s="26"/>
      <c r="BZO411" s="26"/>
      <c r="BZP411" s="26"/>
      <c r="BZQ411" s="26"/>
      <c r="BZR411" s="26"/>
      <c r="BZS411" s="26"/>
      <c r="BZT411" s="26"/>
      <c r="BZU411" s="26"/>
      <c r="BZV411" s="26"/>
      <c r="BZW411" s="26"/>
      <c r="BZX411" s="26"/>
      <c r="BZY411" s="26"/>
      <c r="BZZ411" s="26"/>
      <c r="CAA411" s="26"/>
      <c r="CAB411" s="26"/>
      <c r="CAC411" s="26"/>
      <c r="CAD411" s="26"/>
      <c r="CAE411" s="26"/>
      <c r="CAF411" s="26"/>
      <c r="CAG411" s="26"/>
      <c r="CAH411" s="26"/>
      <c r="CAI411" s="26"/>
      <c r="CAJ411" s="26"/>
      <c r="CAK411" s="26"/>
      <c r="CAL411" s="26"/>
      <c r="CAM411" s="26"/>
      <c r="CAN411" s="26"/>
      <c r="CAO411" s="26"/>
      <c r="CAP411" s="26"/>
      <c r="CAQ411" s="26"/>
      <c r="CAR411" s="26"/>
      <c r="CAS411" s="26"/>
      <c r="CAT411" s="26"/>
      <c r="CAU411" s="26"/>
      <c r="CAV411" s="26"/>
      <c r="CAW411" s="26"/>
      <c r="CAX411" s="26"/>
      <c r="CAY411" s="26"/>
      <c r="CAZ411" s="26"/>
      <c r="CBA411" s="26"/>
      <c r="CBB411" s="26"/>
      <c r="CBC411" s="26"/>
      <c r="CBD411" s="26"/>
      <c r="CBE411" s="26"/>
      <c r="CBF411" s="26"/>
      <c r="CBG411" s="26"/>
      <c r="CBH411" s="26"/>
      <c r="CBI411" s="26"/>
    </row>
    <row r="412" spans="1:2089" s="57" customFormat="1" ht="14" customHeight="1">
      <c r="A412" s="27">
        <v>411</v>
      </c>
      <c r="B412" s="27" t="s">
        <v>459</v>
      </c>
      <c r="C412" s="27">
        <v>1993</v>
      </c>
      <c r="D412" s="26" t="s">
        <v>37</v>
      </c>
      <c r="E412" s="26" t="s">
        <v>565</v>
      </c>
      <c r="F412" s="82" t="s">
        <v>175</v>
      </c>
      <c r="G412" s="2" t="s">
        <v>108</v>
      </c>
      <c r="H412" s="2" t="s">
        <v>24</v>
      </c>
      <c r="I412" s="2" t="s">
        <v>548</v>
      </c>
      <c r="J412" s="2" t="s">
        <v>604</v>
      </c>
      <c r="K412" s="2" t="s">
        <v>548</v>
      </c>
      <c r="L412" s="2" t="s">
        <v>548</v>
      </c>
      <c r="M412" s="2" t="s">
        <v>175</v>
      </c>
      <c r="N412" s="2" t="s">
        <v>608</v>
      </c>
      <c r="O412" s="2" t="s">
        <v>43</v>
      </c>
      <c r="P412" s="2" t="s">
        <v>608</v>
      </c>
      <c r="Q412" s="2" t="s">
        <v>42</v>
      </c>
      <c r="R412" s="79" t="s">
        <v>613</v>
      </c>
      <c r="S412" s="88">
        <v>0.40588000000000002</v>
      </c>
      <c r="T412" s="26">
        <v>136</v>
      </c>
      <c r="U412" s="82">
        <v>1</v>
      </c>
      <c r="V412" s="26">
        <v>1</v>
      </c>
      <c r="W412" s="26">
        <v>1</v>
      </c>
      <c r="X412" s="26">
        <v>1</v>
      </c>
      <c r="Y412" s="26">
        <v>1</v>
      </c>
      <c r="Z412" s="26">
        <v>0</v>
      </c>
      <c r="AA412" s="26">
        <v>0</v>
      </c>
      <c r="AB412" s="26">
        <v>0</v>
      </c>
      <c r="AC412" s="33">
        <f>1-S412</f>
        <v>0.59411999999999998</v>
      </c>
      <c r="AD412" s="33">
        <v>0.20499999999999999</v>
      </c>
      <c r="AE412" s="33">
        <v>0.16500000000000001</v>
      </c>
      <c r="AF412" s="33">
        <v>3.5000000000000003E-2</v>
      </c>
      <c r="AG412" s="33">
        <v>15.1</v>
      </c>
      <c r="AH412" s="33" t="s">
        <v>70</v>
      </c>
      <c r="AI412" s="33" t="s">
        <v>70</v>
      </c>
      <c r="AJ412" s="26" t="s">
        <v>70</v>
      </c>
      <c r="AK412" s="33" t="s">
        <v>70</v>
      </c>
      <c r="AL412" s="33" t="s">
        <v>70</v>
      </c>
      <c r="AM412" s="35" t="s">
        <v>175</v>
      </c>
      <c r="AN412" s="32" t="s">
        <v>9</v>
      </c>
      <c r="AO412" s="35" t="s">
        <v>175</v>
      </c>
      <c r="AP412" s="35" t="s">
        <v>548</v>
      </c>
      <c r="AQ412" s="35" t="s">
        <v>548</v>
      </c>
      <c r="AR412" s="35" t="s">
        <v>548</v>
      </c>
      <c r="AS412" s="26" t="s">
        <v>175</v>
      </c>
      <c r="AT412" s="26" t="s">
        <v>70</v>
      </c>
      <c r="AU412" s="26" t="s">
        <v>70</v>
      </c>
      <c r="AV412" s="26">
        <v>8</v>
      </c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  <c r="GR412" s="26"/>
      <c r="GS412" s="26"/>
      <c r="GT412" s="26"/>
      <c r="GU412" s="26"/>
      <c r="GV412" s="26"/>
      <c r="GW412" s="26"/>
      <c r="GX412" s="26"/>
      <c r="GY412" s="26"/>
      <c r="GZ412" s="26"/>
      <c r="HA412" s="26"/>
      <c r="HB412" s="26"/>
      <c r="HC412" s="26"/>
      <c r="HD412" s="26"/>
      <c r="HE412" s="26"/>
      <c r="HF412" s="26"/>
      <c r="HG412" s="26"/>
      <c r="HH412" s="26"/>
      <c r="HI412" s="26"/>
      <c r="HJ412" s="26"/>
      <c r="HK412" s="26"/>
      <c r="HL412" s="26"/>
      <c r="HM412" s="26"/>
      <c r="HN412" s="26"/>
      <c r="HO412" s="26"/>
      <c r="HP412" s="26"/>
      <c r="HQ412" s="26"/>
      <c r="HR412" s="26"/>
      <c r="HS412" s="26"/>
      <c r="HT412" s="26"/>
      <c r="HU412" s="26"/>
      <c r="HV412" s="26"/>
      <c r="HW412" s="26"/>
      <c r="HX412" s="26"/>
      <c r="HY412" s="26"/>
      <c r="HZ412" s="26"/>
      <c r="IA412" s="26"/>
      <c r="IB412" s="26"/>
      <c r="IC412" s="26"/>
      <c r="ID412" s="26"/>
      <c r="IE412" s="26"/>
      <c r="IF412" s="26"/>
      <c r="IG412" s="26"/>
      <c r="IH412" s="26"/>
      <c r="II412" s="26"/>
      <c r="IJ412" s="26"/>
      <c r="IK412" s="26"/>
      <c r="IL412" s="26"/>
      <c r="IM412" s="26"/>
      <c r="IN412" s="26"/>
      <c r="IO412" s="26"/>
      <c r="IP412" s="26"/>
      <c r="IQ412" s="26"/>
      <c r="IR412" s="26"/>
      <c r="IS412" s="26"/>
      <c r="IT412" s="26"/>
      <c r="IU412" s="26"/>
      <c r="IV412" s="26"/>
      <c r="IW412" s="26"/>
      <c r="IX412" s="26"/>
      <c r="IY412" s="26"/>
      <c r="IZ412" s="26"/>
      <c r="JA412" s="26"/>
      <c r="JB412" s="26"/>
      <c r="JC412" s="26"/>
      <c r="JD412" s="26"/>
      <c r="JE412" s="26"/>
      <c r="JF412" s="26"/>
      <c r="JG412" s="26"/>
      <c r="JH412" s="26"/>
      <c r="JI412" s="26"/>
      <c r="JJ412" s="26"/>
      <c r="JK412" s="26"/>
      <c r="JL412" s="26"/>
      <c r="JM412" s="26"/>
      <c r="JN412" s="26"/>
      <c r="JO412" s="26"/>
      <c r="JP412" s="26"/>
      <c r="JQ412" s="26"/>
      <c r="JR412" s="26"/>
      <c r="JS412" s="26"/>
      <c r="JT412" s="26"/>
      <c r="JU412" s="26"/>
      <c r="JV412" s="26"/>
      <c r="JW412" s="26"/>
      <c r="JX412" s="26"/>
      <c r="JY412" s="26"/>
      <c r="JZ412" s="26"/>
      <c r="KA412" s="26"/>
      <c r="KB412" s="26"/>
      <c r="KC412" s="26"/>
      <c r="KD412" s="26"/>
      <c r="KE412" s="26"/>
      <c r="KF412" s="26"/>
      <c r="KG412" s="26"/>
      <c r="KH412" s="26"/>
      <c r="KI412" s="26"/>
      <c r="KJ412" s="26"/>
      <c r="KK412" s="26"/>
      <c r="KL412" s="26"/>
      <c r="KM412" s="26"/>
      <c r="KN412" s="26"/>
      <c r="KO412" s="26"/>
      <c r="KP412" s="26"/>
      <c r="KQ412" s="26"/>
      <c r="KR412" s="26"/>
      <c r="KS412" s="26"/>
      <c r="KT412" s="26"/>
      <c r="KU412" s="26"/>
      <c r="KV412" s="26"/>
      <c r="KW412" s="26"/>
      <c r="KX412" s="26"/>
      <c r="KY412" s="26"/>
      <c r="KZ412" s="26"/>
      <c r="LA412" s="26"/>
      <c r="LB412" s="26"/>
      <c r="LC412" s="26"/>
      <c r="LD412" s="26"/>
      <c r="LE412" s="26"/>
      <c r="LF412" s="26"/>
      <c r="LG412" s="26"/>
      <c r="LH412" s="26"/>
      <c r="LI412" s="26"/>
      <c r="LJ412" s="26"/>
      <c r="LK412" s="26"/>
      <c r="LL412" s="26"/>
      <c r="LM412" s="26"/>
      <c r="LN412" s="26"/>
      <c r="LO412" s="26"/>
      <c r="LP412" s="26"/>
      <c r="LQ412" s="26"/>
      <c r="LR412" s="26"/>
      <c r="LS412" s="26"/>
      <c r="LT412" s="26"/>
      <c r="LU412" s="26"/>
      <c r="LV412" s="26"/>
      <c r="LW412" s="26"/>
      <c r="LX412" s="26"/>
      <c r="LY412" s="26"/>
      <c r="LZ412" s="26"/>
      <c r="MA412" s="26"/>
      <c r="MB412" s="26"/>
      <c r="MC412" s="26"/>
      <c r="MD412" s="26"/>
      <c r="ME412" s="26"/>
      <c r="MF412" s="26"/>
      <c r="MG412" s="26"/>
      <c r="MH412" s="26"/>
      <c r="MI412" s="26"/>
      <c r="MJ412" s="26"/>
      <c r="MK412" s="26"/>
      <c r="ML412" s="26"/>
      <c r="MM412" s="26"/>
      <c r="MN412" s="26"/>
      <c r="MO412" s="26"/>
      <c r="MP412" s="26"/>
      <c r="MQ412" s="26"/>
      <c r="MR412" s="26"/>
      <c r="MS412" s="26"/>
      <c r="MT412" s="26"/>
      <c r="MU412" s="26"/>
      <c r="MV412" s="26"/>
      <c r="MW412" s="26"/>
      <c r="MX412" s="26"/>
      <c r="MY412" s="26"/>
      <c r="MZ412" s="26"/>
      <c r="NA412" s="26"/>
      <c r="NB412" s="26"/>
      <c r="NC412" s="26"/>
      <c r="ND412" s="26"/>
      <c r="NE412" s="26"/>
      <c r="NF412" s="26"/>
      <c r="NG412" s="26"/>
      <c r="NH412" s="26"/>
      <c r="NI412" s="26"/>
      <c r="NJ412" s="26"/>
      <c r="NK412" s="26"/>
      <c r="NL412" s="26"/>
      <c r="NM412" s="26"/>
      <c r="NN412" s="26"/>
      <c r="NO412" s="26"/>
      <c r="NP412" s="26"/>
      <c r="NQ412" s="26"/>
      <c r="NR412" s="26"/>
      <c r="NS412" s="26"/>
      <c r="NT412" s="26"/>
      <c r="NU412" s="26"/>
      <c r="NV412" s="26"/>
      <c r="NW412" s="26"/>
      <c r="NX412" s="26"/>
      <c r="NY412" s="26"/>
      <c r="NZ412" s="26"/>
      <c r="OA412" s="26"/>
      <c r="OB412" s="26"/>
      <c r="OC412" s="26"/>
      <c r="OD412" s="26"/>
      <c r="OE412" s="26"/>
      <c r="OF412" s="26"/>
      <c r="OG412" s="26"/>
      <c r="OH412" s="26"/>
      <c r="OI412" s="26"/>
      <c r="OJ412" s="26"/>
      <c r="OK412" s="26"/>
      <c r="OL412" s="26"/>
      <c r="OM412" s="26"/>
      <c r="ON412" s="26"/>
      <c r="OO412" s="26"/>
      <c r="OP412" s="26"/>
      <c r="OQ412" s="26"/>
      <c r="OR412" s="26"/>
      <c r="OS412" s="26"/>
      <c r="OT412" s="26"/>
      <c r="OU412" s="26"/>
      <c r="OV412" s="26"/>
      <c r="OW412" s="26"/>
      <c r="OX412" s="26"/>
      <c r="OY412" s="26"/>
      <c r="OZ412" s="26"/>
      <c r="PA412" s="26"/>
      <c r="PB412" s="26"/>
      <c r="PC412" s="26"/>
      <c r="PD412" s="26"/>
      <c r="PE412" s="26"/>
      <c r="PF412" s="26"/>
      <c r="PG412" s="26"/>
      <c r="PH412" s="26"/>
      <c r="PI412" s="26"/>
      <c r="PJ412" s="26"/>
      <c r="PK412" s="26"/>
      <c r="PL412" s="26"/>
      <c r="PM412" s="26"/>
      <c r="PN412" s="26"/>
      <c r="PO412" s="26"/>
      <c r="PP412" s="26"/>
      <c r="PQ412" s="26"/>
      <c r="PR412" s="26"/>
      <c r="PS412" s="26"/>
      <c r="PT412" s="26"/>
      <c r="PU412" s="26"/>
      <c r="PV412" s="26"/>
      <c r="PW412" s="26"/>
      <c r="PX412" s="26"/>
      <c r="PY412" s="26"/>
      <c r="PZ412" s="26"/>
      <c r="QA412" s="26"/>
      <c r="QB412" s="26"/>
      <c r="QC412" s="26"/>
      <c r="QD412" s="26"/>
      <c r="QE412" s="26"/>
      <c r="QF412" s="26"/>
      <c r="QG412" s="26"/>
      <c r="QH412" s="26"/>
      <c r="QI412" s="26"/>
      <c r="QJ412" s="26"/>
      <c r="QK412" s="26"/>
      <c r="QL412" s="26"/>
      <c r="QM412" s="26"/>
      <c r="QN412" s="26"/>
      <c r="QO412" s="26"/>
      <c r="QP412" s="26"/>
      <c r="QQ412" s="26"/>
      <c r="QR412" s="26"/>
      <c r="QS412" s="26"/>
      <c r="QT412" s="26"/>
      <c r="QU412" s="26"/>
      <c r="QV412" s="26"/>
      <c r="QW412" s="26"/>
      <c r="QX412" s="26"/>
      <c r="QY412" s="26"/>
      <c r="QZ412" s="26"/>
      <c r="RA412" s="26"/>
      <c r="RB412" s="26"/>
      <c r="RC412" s="26"/>
      <c r="RD412" s="26"/>
      <c r="RE412" s="26"/>
      <c r="RF412" s="26"/>
      <c r="RG412" s="26"/>
      <c r="RH412" s="26"/>
      <c r="RI412" s="26"/>
      <c r="RJ412" s="26"/>
      <c r="RK412" s="26"/>
      <c r="RL412" s="26"/>
      <c r="RM412" s="26"/>
      <c r="RN412" s="26"/>
      <c r="RO412" s="26"/>
      <c r="RP412" s="26"/>
      <c r="RQ412" s="26"/>
      <c r="RR412" s="26"/>
      <c r="RS412" s="26"/>
      <c r="RT412" s="26"/>
      <c r="RU412" s="26"/>
      <c r="RV412" s="26"/>
      <c r="RW412" s="26"/>
      <c r="RX412" s="26"/>
      <c r="RY412" s="26"/>
      <c r="RZ412" s="26"/>
      <c r="SA412" s="26"/>
      <c r="SB412" s="26"/>
      <c r="SC412" s="26"/>
      <c r="SD412" s="26"/>
      <c r="SE412" s="26"/>
      <c r="SF412" s="26"/>
      <c r="SG412" s="26"/>
      <c r="SH412" s="26"/>
      <c r="SI412" s="26"/>
      <c r="SJ412" s="26"/>
      <c r="SK412" s="26"/>
      <c r="SL412" s="26"/>
      <c r="SM412" s="26"/>
      <c r="SN412" s="26"/>
      <c r="SO412" s="26"/>
      <c r="SP412" s="26"/>
      <c r="SQ412" s="26"/>
      <c r="SR412" s="26"/>
      <c r="SS412" s="26"/>
      <c r="ST412" s="26"/>
      <c r="SU412" s="26"/>
      <c r="SV412" s="26"/>
      <c r="SW412" s="26"/>
      <c r="SX412" s="26"/>
      <c r="SY412" s="26"/>
      <c r="SZ412" s="26"/>
      <c r="TA412" s="26"/>
      <c r="TB412" s="26"/>
      <c r="TC412" s="26"/>
      <c r="TD412" s="26"/>
      <c r="TE412" s="26"/>
      <c r="TF412" s="26"/>
      <c r="TG412" s="26"/>
      <c r="TH412" s="26"/>
      <c r="TI412" s="26"/>
      <c r="TJ412" s="26"/>
      <c r="TK412" s="26"/>
      <c r="TL412" s="26"/>
      <c r="TM412" s="26"/>
      <c r="TN412" s="26"/>
      <c r="TO412" s="26"/>
      <c r="TP412" s="26"/>
      <c r="TQ412" s="26"/>
      <c r="TR412" s="26"/>
      <c r="TS412" s="26"/>
      <c r="TT412" s="26"/>
      <c r="TU412" s="26"/>
      <c r="TV412" s="26"/>
      <c r="TW412" s="26"/>
      <c r="TX412" s="26"/>
      <c r="TY412" s="26"/>
      <c r="TZ412" s="26"/>
      <c r="UA412" s="26"/>
      <c r="UB412" s="26"/>
      <c r="UC412" s="26"/>
      <c r="UD412" s="26"/>
      <c r="UE412" s="26"/>
      <c r="UF412" s="26"/>
      <c r="UG412" s="26"/>
      <c r="UH412" s="26"/>
      <c r="UI412" s="26"/>
      <c r="UJ412" s="26"/>
      <c r="UK412" s="26"/>
      <c r="UL412" s="26"/>
      <c r="UM412" s="26"/>
      <c r="UN412" s="26"/>
      <c r="UO412" s="26"/>
      <c r="UP412" s="26"/>
      <c r="UQ412" s="26"/>
      <c r="UR412" s="26"/>
      <c r="US412" s="26"/>
      <c r="UT412" s="26"/>
      <c r="UU412" s="26"/>
      <c r="UV412" s="26"/>
      <c r="UW412" s="26"/>
      <c r="UX412" s="26"/>
      <c r="UY412" s="26"/>
      <c r="UZ412" s="26"/>
      <c r="VA412" s="26"/>
      <c r="VB412" s="26"/>
      <c r="VC412" s="26"/>
      <c r="VD412" s="26"/>
      <c r="VE412" s="26"/>
      <c r="VF412" s="26"/>
      <c r="VG412" s="26"/>
      <c r="VH412" s="26"/>
      <c r="VI412" s="26"/>
      <c r="VJ412" s="26"/>
      <c r="VK412" s="26"/>
      <c r="VL412" s="26"/>
      <c r="VM412" s="26"/>
      <c r="VN412" s="26"/>
      <c r="VO412" s="26"/>
      <c r="VP412" s="26"/>
      <c r="VQ412" s="26"/>
      <c r="VR412" s="26"/>
      <c r="VS412" s="26"/>
      <c r="VT412" s="26"/>
      <c r="VU412" s="26"/>
      <c r="VV412" s="26"/>
      <c r="VW412" s="26"/>
      <c r="VX412" s="26"/>
      <c r="VY412" s="26"/>
      <c r="VZ412" s="26"/>
      <c r="WA412" s="26"/>
      <c r="WB412" s="26"/>
      <c r="WC412" s="26"/>
      <c r="WD412" s="26"/>
      <c r="WE412" s="26"/>
      <c r="WF412" s="26"/>
      <c r="WG412" s="26"/>
      <c r="WH412" s="26"/>
      <c r="WI412" s="26"/>
      <c r="WJ412" s="26"/>
      <c r="WK412" s="26"/>
      <c r="WL412" s="26"/>
      <c r="WM412" s="26"/>
      <c r="WN412" s="26"/>
      <c r="WO412" s="26"/>
      <c r="WP412" s="26"/>
      <c r="WQ412" s="26"/>
      <c r="WR412" s="26"/>
      <c r="WS412" s="26"/>
      <c r="WT412" s="26"/>
      <c r="WU412" s="26"/>
      <c r="WV412" s="26"/>
      <c r="WW412" s="26"/>
      <c r="WX412" s="26"/>
      <c r="WY412" s="26"/>
      <c r="WZ412" s="26"/>
      <c r="XA412" s="26"/>
      <c r="XB412" s="26"/>
      <c r="XC412" s="26"/>
      <c r="XD412" s="26"/>
      <c r="XE412" s="26"/>
      <c r="XF412" s="26"/>
      <c r="XG412" s="26"/>
      <c r="XH412" s="26"/>
      <c r="XI412" s="26"/>
      <c r="XJ412" s="26"/>
      <c r="XK412" s="26"/>
      <c r="XL412" s="26"/>
      <c r="XM412" s="26"/>
      <c r="XN412" s="26"/>
      <c r="XO412" s="26"/>
      <c r="XP412" s="26"/>
      <c r="XQ412" s="26"/>
      <c r="XR412" s="26"/>
      <c r="XS412" s="26"/>
      <c r="XT412" s="26"/>
      <c r="XU412" s="26"/>
      <c r="XV412" s="26"/>
      <c r="XW412" s="26"/>
      <c r="XX412" s="26"/>
      <c r="XY412" s="26"/>
      <c r="XZ412" s="26"/>
      <c r="YA412" s="26"/>
      <c r="YB412" s="26"/>
      <c r="YC412" s="26"/>
      <c r="YD412" s="26"/>
      <c r="YE412" s="26"/>
      <c r="YF412" s="26"/>
      <c r="YG412" s="26"/>
      <c r="YH412" s="26"/>
      <c r="YI412" s="26"/>
      <c r="YJ412" s="26"/>
      <c r="YK412" s="26"/>
      <c r="YL412" s="26"/>
      <c r="YM412" s="26"/>
      <c r="YN412" s="26"/>
      <c r="YO412" s="26"/>
      <c r="YP412" s="26"/>
      <c r="YQ412" s="26"/>
      <c r="YR412" s="26"/>
      <c r="YS412" s="26"/>
      <c r="YT412" s="26"/>
      <c r="YU412" s="26"/>
      <c r="YV412" s="26"/>
      <c r="YW412" s="26"/>
      <c r="YX412" s="26"/>
      <c r="YY412" s="26"/>
      <c r="YZ412" s="26"/>
      <c r="ZA412" s="26"/>
      <c r="ZB412" s="26"/>
      <c r="ZC412" s="26"/>
      <c r="ZD412" s="26"/>
      <c r="ZE412" s="26"/>
      <c r="ZF412" s="26"/>
      <c r="ZG412" s="26"/>
      <c r="ZH412" s="26"/>
      <c r="ZI412" s="26"/>
      <c r="ZJ412" s="26"/>
      <c r="ZK412" s="26"/>
      <c r="ZL412" s="26"/>
      <c r="ZM412" s="26"/>
      <c r="ZN412" s="26"/>
      <c r="ZO412" s="26"/>
      <c r="ZP412" s="26"/>
      <c r="ZQ412" s="26"/>
      <c r="ZR412" s="26"/>
      <c r="ZS412" s="26"/>
      <c r="ZT412" s="26"/>
      <c r="ZU412" s="26"/>
      <c r="ZV412" s="26"/>
      <c r="ZW412" s="26"/>
      <c r="ZX412" s="26"/>
      <c r="ZY412" s="26"/>
      <c r="ZZ412" s="26"/>
      <c r="AAA412" s="26"/>
      <c r="AAB412" s="26"/>
      <c r="AAC412" s="26"/>
      <c r="AAD412" s="26"/>
      <c r="AAE412" s="26"/>
      <c r="AAF412" s="26"/>
      <c r="AAG412" s="26"/>
      <c r="AAH412" s="26"/>
      <c r="AAI412" s="26"/>
      <c r="AAJ412" s="26"/>
      <c r="AAK412" s="26"/>
      <c r="AAL412" s="26"/>
      <c r="AAM412" s="26"/>
      <c r="AAN412" s="26"/>
      <c r="AAO412" s="26"/>
      <c r="AAP412" s="26"/>
      <c r="AAQ412" s="26"/>
      <c r="AAR412" s="26"/>
      <c r="AAS412" s="26"/>
      <c r="AAT412" s="26"/>
      <c r="AAU412" s="26"/>
      <c r="AAV412" s="26"/>
      <c r="AAW412" s="26"/>
      <c r="AAX412" s="26"/>
      <c r="AAY412" s="26"/>
      <c r="AAZ412" s="26"/>
      <c r="ABA412" s="26"/>
      <c r="ABB412" s="26"/>
      <c r="ABC412" s="26"/>
      <c r="ABD412" s="26"/>
      <c r="ABE412" s="26"/>
      <c r="ABF412" s="26"/>
      <c r="ABG412" s="26"/>
      <c r="ABH412" s="26"/>
      <c r="ABI412" s="26"/>
      <c r="ABJ412" s="26"/>
      <c r="ABK412" s="26"/>
      <c r="ABL412" s="26"/>
      <c r="ABM412" s="26"/>
      <c r="ABN412" s="26"/>
      <c r="ABO412" s="26"/>
      <c r="ABP412" s="26"/>
      <c r="ABQ412" s="26"/>
      <c r="ABR412" s="26"/>
      <c r="ABS412" s="26"/>
      <c r="ABT412" s="26"/>
      <c r="ABU412" s="26"/>
      <c r="ABV412" s="26"/>
      <c r="ABW412" s="26"/>
      <c r="ABX412" s="26"/>
      <c r="ABY412" s="26"/>
      <c r="ABZ412" s="26"/>
      <c r="ACA412" s="26"/>
      <c r="ACB412" s="26"/>
      <c r="ACC412" s="26"/>
      <c r="ACD412" s="26"/>
      <c r="ACE412" s="26"/>
      <c r="ACF412" s="26"/>
      <c r="ACG412" s="26"/>
      <c r="ACH412" s="26"/>
      <c r="ACI412" s="26"/>
      <c r="ACJ412" s="26"/>
      <c r="ACK412" s="26"/>
      <c r="ACL412" s="26"/>
      <c r="ACM412" s="26"/>
      <c r="ACN412" s="26"/>
      <c r="ACO412" s="26"/>
      <c r="ACP412" s="26"/>
      <c r="ACQ412" s="26"/>
      <c r="ACR412" s="26"/>
      <c r="ACS412" s="26"/>
      <c r="ACT412" s="26"/>
      <c r="ACU412" s="26"/>
      <c r="ACV412" s="26"/>
      <c r="ACW412" s="26"/>
      <c r="ACX412" s="26"/>
      <c r="ACY412" s="26"/>
      <c r="ACZ412" s="26"/>
      <c r="ADA412" s="26"/>
      <c r="ADB412" s="26"/>
      <c r="ADC412" s="26"/>
      <c r="ADD412" s="26"/>
      <c r="ADE412" s="26"/>
      <c r="ADF412" s="26"/>
      <c r="ADG412" s="26"/>
      <c r="ADH412" s="26"/>
      <c r="ADI412" s="26"/>
      <c r="ADJ412" s="26"/>
      <c r="ADK412" s="26"/>
      <c r="ADL412" s="26"/>
      <c r="ADM412" s="26"/>
      <c r="ADN412" s="26"/>
      <c r="ADO412" s="26"/>
      <c r="ADP412" s="26"/>
      <c r="ADQ412" s="26"/>
      <c r="ADR412" s="26"/>
      <c r="ADS412" s="26"/>
      <c r="ADT412" s="26"/>
      <c r="ADU412" s="26"/>
      <c r="ADV412" s="26"/>
      <c r="ADW412" s="26"/>
      <c r="ADX412" s="26"/>
      <c r="ADY412" s="26"/>
      <c r="ADZ412" s="26"/>
      <c r="AEA412" s="26"/>
      <c r="AEB412" s="26"/>
      <c r="AEC412" s="26"/>
      <c r="AED412" s="26"/>
      <c r="AEE412" s="26"/>
      <c r="AEF412" s="26"/>
      <c r="AEG412" s="26"/>
      <c r="AEH412" s="26"/>
      <c r="AEI412" s="26"/>
      <c r="AEJ412" s="26"/>
      <c r="AEK412" s="26"/>
      <c r="AEL412" s="26"/>
      <c r="AEM412" s="26"/>
      <c r="AEN412" s="26"/>
      <c r="AEO412" s="26"/>
      <c r="AEP412" s="26"/>
      <c r="AEQ412" s="26"/>
      <c r="AER412" s="26"/>
      <c r="AES412" s="26"/>
      <c r="AET412" s="26"/>
      <c r="AEU412" s="26"/>
      <c r="AEV412" s="26"/>
      <c r="AEW412" s="26"/>
      <c r="AEX412" s="26"/>
      <c r="AEY412" s="26"/>
      <c r="AEZ412" s="26"/>
      <c r="AFA412" s="26"/>
      <c r="AFB412" s="26"/>
      <c r="AFC412" s="26"/>
      <c r="AFD412" s="26"/>
      <c r="AFE412" s="26"/>
      <c r="AFF412" s="26"/>
      <c r="AFG412" s="26"/>
      <c r="AFH412" s="26"/>
      <c r="AFI412" s="26"/>
      <c r="AFJ412" s="26"/>
      <c r="AFK412" s="26"/>
      <c r="AFL412" s="26"/>
      <c r="AFM412" s="26"/>
      <c r="AFN412" s="26"/>
      <c r="AFO412" s="26"/>
      <c r="AFP412" s="26"/>
      <c r="AFQ412" s="26"/>
      <c r="AFR412" s="26"/>
      <c r="AFS412" s="26"/>
      <c r="AFT412" s="26"/>
      <c r="AFU412" s="26"/>
      <c r="AFV412" s="26"/>
      <c r="AFW412" s="26"/>
      <c r="AFX412" s="26"/>
      <c r="AFY412" s="26"/>
      <c r="AFZ412" s="26"/>
      <c r="AGA412" s="26"/>
      <c r="AGB412" s="26"/>
      <c r="AGC412" s="26"/>
      <c r="AGD412" s="26"/>
      <c r="AGE412" s="26"/>
      <c r="AGF412" s="26"/>
      <c r="AGG412" s="26"/>
      <c r="AGH412" s="26"/>
      <c r="AGI412" s="26"/>
      <c r="AGJ412" s="26"/>
      <c r="AGK412" s="26"/>
      <c r="AGL412" s="26"/>
      <c r="AGM412" s="26"/>
      <c r="AGN412" s="26"/>
      <c r="AGO412" s="26"/>
      <c r="AGP412" s="26"/>
      <c r="AGQ412" s="26"/>
      <c r="AGR412" s="26"/>
      <c r="AGS412" s="26"/>
      <c r="AGT412" s="26"/>
      <c r="AGU412" s="26"/>
      <c r="AGV412" s="26"/>
      <c r="AGW412" s="26"/>
      <c r="AGX412" s="26"/>
      <c r="AGY412" s="26"/>
      <c r="AGZ412" s="26"/>
      <c r="AHA412" s="26"/>
      <c r="AHB412" s="26"/>
      <c r="AHC412" s="26"/>
      <c r="AHD412" s="26"/>
      <c r="AHE412" s="26"/>
      <c r="AHF412" s="26"/>
      <c r="AHG412" s="26"/>
      <c r="AHH412" s="26"/>
      <c r="AHI412" s="26"/>
      <c r="AHJ412" s="26"/>
      <c r="AHK412" s="26"/>
      <c r="AHL412" s="26"/>
      <c r="AHM412" s="26"/>
      <c r="AHN412" s="26"/>
      <c r="AHO412" s="26"/>
      <c r="AHP412" s="26"/>
      <c r="AHQ412" s="26"/>
      <c r="AHR412" s="26"/>
      <c r="AHS412" s="26"/>
      <c r="AHT412" s="26"/>
      <c r="AHU412" s="26"/>
      <c r="AHV412" s="26"/>
      <c r="AHW412" s="26"/>
      <c r="AHX412" s="26"/>
      <c r="AHY412" s="26"/>
      <c r="AHZ412" s="26"/>
      <c r="AIA412" s="26"/>
      <c r="AIB412" s="26"/>
      <c r="AIC412" s="26"/>
      <c r="AID412" s="26"/>
      <c r="AIE412" s="26"/>
      <c r="AIF412" s="26"/>
      <c r="AIG412" s="26"/>
      <c r="AIH412" s="26"/>
      <c r="AII412" s="26"/>
      <c r="AIJ412" s="26"/>
      <c r="AIK412" s="26"/>
      <c r="AIL412" s="26"/>
      <c r="AIM412" s="26"/>
      <c r="AIN412" s="26"/>
      <c r="AIO412" s="26"/>
      <c r="AIP412" s="26"/>
      <c r="AIQ412" s="26"/>
      <c r="AIR412" s="26"/>
      <c r="AIS412" s="26"/>
      <c r="AIT412" s="26"/>
      <c r="AIU412" s="26"/>
      <c r="AIV412" s="26"/>
      <c r="AIW412" s="26"/>
      <c r="AIX412" s="26"/>
      <c r="AIY412" s="26"/>
      <c r="AIZ412" s="26"/>
      <c r="AJA412" s="26"/>
      <c r="AJB412" s="26"/>
      <c r="AJC412" s="26"/>
      <c r="AJD412" s="26"/>
      <c r="AJE412" s="26"/>
      <c r="AJF412" s="26"/>
      <c r="AJG412" s="26"/>
      <c r="AJH412" s="26"/>
      <c r="AJI412" s="26"/>
      <c r="AJJ412" s="26"/>
      <c r="AJK412" s="26"/>
      <c r="AJL412" s="26"/>
      <c r="AJM412" s="26"/>
      <c r="AJN412" s="26"/>
      <c r="AJO412" s="26"/>
      <c r="AJP412" s="26"/>
      <c r="AJQ412" s="26"/>
      <c r="AJR412" s="26"/>
      <c r="AJS412" s="26"/>
      <c r="AJT412" s="26"/>
      <c r="AJU412" s="26"/>
      <c r="AJV412" s="26"/>
      <c r="AJW412" s="26"/>
      <c r="AJX412" s="26"/>
      <c r="AJY412" s="26"/>
      <c r="AJZ412" s="26"/>
      <c r="AKA412" s="26"/>
      <c r="AKB412" s="26"/>
      <c r="AKC412" s="26"/>
      <c r="AKD412" s="26"/>
      <c r="AKE412" s="26"/>
      <c r="AKF412" s="26"/>
      <c r="AKG412" s="26"/>
      <c r="AKH412" s="26"/>
      <c r="AKI412" s="26"/>
      <c r="AKJ412" s="26"/>
      <c r="AKK412" s="26"/>
      <c r="AKL412" s="26"/>
      <c r="AKM412" s="26"/>
      <c r="AKN412" s="26"/>
      <c r="AKO412" s="26"/>
      <c r="AKP412" s="26"/>
      <c r="AKQ412" s="26"/>
      <c r="AKR412" s="26"/>
      <c r="AKS412" s="26"/>
      <c r="AKT412" s="26"/>
      <c r="AKU412" s="26"/>
      <c r="AKV412" s="26"/>
      <c r="AKW412" s="26"/>
      <c r="AKX412" s="26"/>
      <c r="AKY412" s="26"/>
      <c r="AKZ412" s="26"/>
      <c r="ALA412" s="26"/>
      <c r="ALB412" s="26"/>
      <c r="ALC412" s="26"/>
      <c r="ALD412" s="26"/>
      <c r="ALE412" s="26"/>
      <c r="ALF412" s="26"/>
      <c r="ALG412" s="26"/>
      <c r="ALH412" s="26"/>
      <c r="ALI412" s="26"/>
      <c r="ALJ412" s="26"/>
      <c r="ALK412" s="26"/>
      <c r="ALL412" s="26"/>
      <c r="ALM412" s="26"/>
      <c r="ALN412" s="26"/>
      <c r="ALO412" s="26"/>
      <c r="ALP412" s="26"/>
      <c r="ALQ412" s="26"/>
      <c r="ALR412" s="26"/>
      <c r="ALS412" s="26"/>
      <c r="ALT412" s="26"/>
      <c r="ALU412" s="26"/>
      <c r="ALV412" s="26"/>
      <c r="ALW412" s="26"/>
      <c r="ALX412" s="26"/>
      <c r="ALY412" s="26"/>
      <c r="ALZ412" s="26"/>
      <c r="AMA412" s="26"/>
      <c r="AMB412" s="26"/>
      <c r="AMC412" s="26"/>
      <c r="AMD412" s="26"/>
      <c r="AME412" s="26"/>
      <c r="AMF412" s="26"/>
      <c r="AMG412" s="26"/>
      <c r="AMH412" s="26"/>
      <c r="AMI412" s="26"/>
      <c r="AMJ412" s="26"/>
      <c r="AMK412" s="26"/>
      <c r="AML412" s="26"/>
      <c r="AMM412" s="26"/>
      <c r="AMN412" s="26"/>
      <c r="AMO412" s="26"/>
      <c r="AMP412" s="26"/>
      <c r="AMQ412" s="26"/>
      <c r="AMR412" s="26"/>
      <c r="AMS412" s="26"/>
      <c r="AMT412" s="26"/>
      <c r="AMU412" s="26"/>
      <c r="AMV412" s="26"/>
      <c r="AMW412" s="26"/>
      <c r="AMX412" s="26"/>
      <c r="AMY412" s="26"/>
      <c r="AMZ412" s="26"/>
      <c r="ANA412" s="26"/>
      <c r="ANB412" s="26"/>
      <c r="ANC412" s="26"/>
      <c r="AND412" s="26"/>
      <c r="ANE412" s="26"/>
      <c r="ANF412" s="26"/>
      <c r="ANG412" s="26"/>
      <c r="ANH412" s="26"/>
      <c r="ANI412" s="26"/>
      <c r="ANJ412" s="26"/>
      <c r="ANK412" s="26"/>
      <c r="ANL412" s="26"/>
      <c r="ANM412" s="26"/>
      <c r="ANN412" s="26"/>
      <c r="ANO412" s="26"/>
      <c r="ANP412" s="26"/>
      <c r="ANQ412" s="26"/>
      <c r="ANR412" s="26"/>
      <c r="ANS412" s="26"/>
      <c r="ANT412" s="26"/>
      <c r="ANU412" s="26"/>
      <c r="ANV412" s="26"/>
      <c r="ANW412" s="26"/>
      <c r="ANX412" s="26"/>
      <c r="ANY412" s="26"/>
      <c r="ANZ412" s="26"/>
      <c r="AOA412" s="26"/>
      <c r="AOB412" s="26"/>
      <c r="AOC412" s="26"/>
      <c r="AOD412" s="26"/>
      <c r="AOE412" s="26"/>
      <c r="AOF412" s="26"/>
      <c r="AOG412" s="26"/>
      <c r="AOH412" s="26"/>
      <c r="AOI412" s="26"/>
      <c r="AOJ412" s="26"/>
      <c r="AOK412" s="26"/>
      <c r="AOL412" s="26"/>
      <c r="AOM412" s="26"/>
      <c r="AON412" s="26"/>
      <c r="AOO412" s="26"/>
      <c r="AOP412" s="26"/>
      <c r="AOQ412" s="26"/>
      <c r="AOR412" s="26"/>
      <c r="AOS412" s="26"/>
      <c r="AOT412" s="26"/>
      <c r="AOU412" s="26"/>
      <c r="AOV412" s="26"/>
      <c r="AOW412" s="26"/>
      <c r="AOX412" s="26"/>
      <c r="AOY412" s="26"/>
      <c r="AOZ412" s="26"/>
      <c r="APA412" s="26"/>
      <c r="APB412" s="26"/>
      <c r="APC412" s="26"/>
      <c r="APD412" s="26"/>
      <c r="APE412" s="26"/>
      <c r="APF412" s="26"/>
      <c r="APG412" s="26"/>
      <c r="APH412" s="26"/>
      <c r="API412" s="26"/>
      <c r="APJ412" s="26"/>
      <c r="APK412" s="26"/>
      <c r="APL412" s="26"/>
      <c r="APM412" s="26"/>
      <c r="APN412" s="26"/>
      <c r="APO412" s="26"/>
      <c r="APP412" s="26"/>
      <c r="APQ412" s="26"/>
      <c r="APR412" s="26"/>
      <c r="APS412" s="26"/>
      <c r="APT412" s="26"/>
      <c r="APU412" s="26"/>
      <c r="APV412" s="26"/>
      <c r="APW412" s="26"/>
      <c r="APX412" s="26"/>
      <c r="APY412" s="26"/>
      <c r="APZ412" s="26"/>
      <c r="AQA412" s="26"/>
      <c r="AQB412" s="26"/>
      <c r="AQC412" s="26"/>
      <c r="AQD412" s="26"/>
      <c r="AQE412" s="26"/>
      <c r="AQF412" s="26"/>
      <c r="AQG412" s="26"/>
      <c r="AQH412" s="26"/>
      <c r="AQI412" s="26"/>
      <c r="AQJ412" s="26"/>
      <c r="AQK412" s="26"/>
      <c r="AQL412" s="26"/>
      <c r="AQM412" s="26"/>
      <c r="AQN412" s="26"/>
      <c r="AQO412" s="26"/>
      <c r="AQP412" s="26"/>
      <c r="AQQ412" s="26"/>
      <c r="AQR412" s="26"/>
      <c r="AQS412" s="26"/>
      <c r="AQT412" s="26"/>
      <c r="AQU412" s="26"/>
      <c r="AQV412" s="26"/>
      <c r="AQW412" s="26"/>
      <c r="AQX412" s="26"/>
      <c r="AQY412" s="26"/>
      <c r="AQZ412" s="26"/>
      <c r="ARA412" s="26"/>
      <c r="ARB412" s="26"/>
      <c r="ARC412" s="26"/>
      <c r="ARD412" s="26"/>
      <c r="ARE412" s="26"/>
      <c r="ARF412" s="26"/>
      <c r="ARG412" s="26"/>
      <c r="ARH412" s="26"/>
      <c r="ARI412" s="26"/>
      <c r="ARJ412" s="26"/>
      <c r="ARK412" s="26"/>
      <c r="ARL412" s="26"/>
      <c r="ARM412" s="26"/>
      <c r="ARN412" s="26"/>
      <c r="ARO412" s="26"/>
      <c r="ARP412" s="26"/>
      <c r="ARQ412" s="26"/>
      <c r="ARR412" s="26"/>
      <c r="ARS412" s="26"/>
      <c r="ART412" s="26"/>
      <c r="ARU412" s="26"/>
      <c r="ARV412" s="26"/>
      <c r="ARW412" s="26"/>
      <c r="ARX412" s="26"/>
      <c r="ARY412" s="26"/>
      <c r="ARZ412" s="26"/>
      <c r="ASA412" s="26"/>
      <c r="ASB412" s="26"/>
      <c r="ASC412" s="26"/>
      <c r="ASD412" s="26"/>
      <c r="ASE412" s="26"/>
      <c r="ASF412" s="26"/>
      <c r="ASG412" s="26"/>
      <c r="ASH412" s="26"/>
      <c r="ASI412" s="26"/>
      <c r="ASJ412" s="26"/>
      <c r="ASK412" s="26"/>
      <c r="ASL412" s="26"/>
      <c r="ASM412" s="26"/>
      <c r="ASN412" s="26"/>
      <c r="ASO412" s="26"/>
      <c r="ASP412" s="26"/>
      <c r="ASQ412" s="26"/>
      <c r="ASR412" s="26"/>
      <c r="ASS412" s="26"/>
      <c r="AST412" s="26"/>
      <c r="ASU412" s="26"/>
      <c r="ASV412" s="26"/>
      <c r="ASW412" s="26"/>
      <c r="ASX412" s="26"/>
      <c r="ASY412" s="26"/>
      <c r="ASZ412" s="26"/>
      <c r="ATA412" s="26"/>
      <c r="ATB412" s="26"/>
      <c r="ATC412" s="26"/>
      <c r="ATD412" s="26"/>
      <c r="ATE412" s="26"/>
      <c r="ATF412" s="26"/>
      <c r="ATG412" s="26"/>
      <c r="ATH412" s="26"/>
      <c r="ATI412" s="26"/>
      <c r="ATJ412" s="26"/>
      <c r="ATK412" s="26"/>
      <c r="ATL412" s="26"/>
      <c r="ATM412" s="26"/>
      <c r="ATN412" s="26"/>
      <c r="ATO412" s="26"/>
      <c r="ATP412" s="26"/>
      <c r="ATQ412" s="26"/>
      <c r="ATR412" s="26"/>
      <c r="ATS412" s="26"/>
      <c r="ATT412" s="26"/>
      <c r="ATU412" s="26"/>
      <c r="ATV412" s="26"/>
      <c r="ATW412" s="26"/>
      <c r="ATX412" s="26"/>
      <c r="ATY412" s="26"/>
      <c r="ATZ412" s="26"/>
      <c r="AUA412" s="26"/>
      <c r="AUB412" s="26"/>
      <c r="AUC412" s="26"/>
      <c r="AUD412" s="26"/>
      <c r="AUE412" s="26"/>
      <c r="AUF412" s="26"/>
      <c r="AUG412" s="26"/>
      <c r="AUH412" s="26"/>
      <c r="AUI412" s="26"/>
      <c r="AUJ412" s="26"/>
      <c r="AUK412" s="26"/>
      <c r="AUL412" s="26"/>
      <c r="AUM412" s="26"/>
      <c r="AUN412" s="26"/>
      <c r="AUO412" s="26"/>
      <c r="AUP412" s="26"/>
      <c r="AUQ412" s="26"/>
      <c r="AUR412" s="26"/>
      <c r="AUS412" s="26"/>
      <c r="AUT412" s="26"/>
      <c r="AUU412" s="26"/>
      <c r="AUV412" s="26"/>
      <c r="AUW412" s="26"/>
      <c r="AUX412" s="26"/>
      <c r="AUY412" s="26"/>
      <c r="AUZ412" s="26"/>
      <c r="AVA412" s="26"/>
      <c r="AVB412" s="26"/>
      <c r="AVC412" s="26"/>
      <c r="AVD412" s="26"/>
      <c r="AVE412" s="26"/>
      <c r="AVF412" s="26"/>
      <c r="AVG412" s="26"/>
      <c r="AVH412" s="26"/>
      <c r="AVI412" s="26"/>
      <c r="AVJ412" s="26"/>
      <c r="AVK412" s="26"/>
      <c r="AVL412" s="26"/>
      <c r="AVM412" s="26"/>
      <c r="AVN412" s="26"/>
      <c r="AVO412" s="26"/>
      <c r="AVP412" s="26"/>
      <c r="AVQ412" s="26"/>
      <c r="AVR412" s="26"/>
      <c r="AVS412" s="26"/>
      <c r="AVT412" s="26"/>
      <c r="AVU412" s="26"/>
      <c r="AVV412" s="26"/>
      <c r="AVW412" s="26"/>
      <c r="AVX412" s="26"/>
      <c r="AVY412" s="26"/>
      <c r="AVZ412" s="26"/>
      <c r="AWA412" s="26"/>
      <c r="AWB412" s="26"/>
      <c r="AWC412" s="26"/>
      <c r="AWD412" s="26"/>
      <c r="AWE412" s="26"/>
      <c r="AWF412" s="26"/>
      <c r="AWG412" s="26"/>
      <c r="AWH412" s="26"/>
      <c r="AWI412" s="26"/>
      <c r="AWJ412" s="26"/>
      <c r="AWK412" s="26"/>
      <c r="AWL412" s="26"/>
      <c r="AWM412" s="26"/>
      <c r="AWN412" s="26"/>
      <c r="AWO412" s="26"/>
      <c r="AWP412" s="26"/>
      <c r="AWQ412" s="26"/>
      <c r="AWR412" s="26"/>
      <c r="AWS412" s="26"/>
      <c r="AWT412" s="26"/>
      <c r="AWU412" s="26"/>
      <c r="AWV412" s="26"/>
      <c r="AWW412" s="26"/>
      <c r="AWX412" s="26"/>
      <c r="AWY412" s="26"/>
      <c r="AWZ412" s="26"/>
      <c r="AXA412" s="26"/>
      <c r="AXB412" s="26"/>
      <c r="AXC412" s="26"/>
      <c r="AXD412" s="26"/>
      <c r="AXE412" s="26"/>
      <c r="AXF412" s="26"/>
      <c r="AXG412" s="26"/>
      <c r="AXH412" s="26"/>
      <c r="AXI412" s="26"/>
      <c r="AXJ412" s="26"/>
      <c r="AXK412" s="26"/>
      <c r="AXL412" s="26"/>
      <c r="AXM412" s="26"/>
      <c r="AXN412" s="26"/>
      <c r="AXO412" s="26"/>
      <c r="AXP412" s="26"/>
      <c r="AXQ412" s="26"/>
      <c r="AXR412" s="26"/>
      <c r="AXS412" s="26"/>
      <c r="AXT412" s="26"/>
      <c r="AXU412" s="26"/>
      <c r="AXV412" s="26"/>
      <c r="AXW412" s="26"/>
      <c r="AXX412" s="26"/>
      <c r="AXY412" s="26"/>
      <c r="AXZ412" s="26"/>
      <c r="AYA412" s="26"/>
      <c r="AYB412" s="26"/>
      <c r="AYC412" s="26"/>
      <c r="AYD412" s="26"/>
      <c r="AYE412" s="26"/>
      <c r="AYF412" s="26"/>
      <c r="AYG412" s="26"/>
      <c r="AYH412" s="26"/>
      <c r="AYI412" s="26"/>
      <c r="AYJ412" s="26"/>
      <c r="AYK412" s="26"/>
      <c r="AYL412" s="26"/>
      <c r="AYM412" s="26"/>
      <c r="AYN412" s="26"/>
      <c r="AYO412" s="26"/>
      <c r="AYP412" s="26"/>
      <c r="AYQ412" s="26"/>
      <c r="AYR412" s="26"/>
      <c r="AYS412" s="26"/>
      <c r="AYT412" s="26"/>
      <c r="AYU412" s="26"/>
      <c r="AYV412" s="26"/>
      <c r="AYW412" s="26"/>
      <c r="AYX412" s="26"/>
      <c r="AYY412" s="26"/>
      <c r="AYZ412" s="26"/>
      <c r="AZA412" s="26"/>
      <c r="AZB412" s="26"/>
      <c r="AZC412" s="26"/>
      <c r="AZD412" s="26"/>
      <c r="AZE412" s="26"/>
      <c r="AZF412" s="26"/>
      <c r="AZG412" s="26"/>
      <c r="AZH412" s="26"/>
      <c r="AZI412" s="26"/>
      <c r="AZJ412" s="26"/>
      <c r="AZK412" s="26"/>
      <c r="AZL412" s="26"/>
      <c r="AZM412" s="26"/>
      <c r="AZN412" s="26"/>
      <c r="AZO412" s="26"/>
      <c r="AZP412" s="26"/>
      <c r="AZQ412" s="26"/>
      <c r="AZR412" s="26"/>
      <c r="AZS412" s="26"/>
      <c r="AZT412" s="26"/>
      <c r="AZU412" s="26"/>
      <c r="AZV412" s="26"/>
      <c r="AZW412" s="26"/>
      <c r="AZX412" s="26"/>
      <c r="AZY412" s="26"/>
      <c r="AZZ412" s="26"/>
      <c r="BAA412" s="26"/>
      <c r="BAB412" s="26"/>
      <c r="BAC412" s="26"/>
      <c r="BAD412" s="26"/>
      <c r="BAE412" s="26"/>
      <c r="BAF412" s="26"/>
      <c r="BAG412" s="26"/>
      <c r="BAH412" s="26"/>
      <c r="BAI412" s="26"/>
      <c r="BAJ412" s="26"/>
      <c r="BAK412" s="26"/>
      <c r="BAL412" s="26"/>
      <c r="BAM412" s="26"/>
      <c r="BAN412" s="26"/>
      <c r="BAO412" s="26"/>
      <c r="BAP412" s="26"/>
      <c r="BAQ412" s="26"/>
      <c r="BAR412" s="26"/>
      <c r="BAS412" s="26"/>
      <c r="BAT412" s="26"/>
      <c r="BAU412" s="26"/>
      <c r="BAV412" s="26"/>
      <c r="BAW412" s="26"/>
      <c r="BAX412" s="26"/>
      <c r="BAY412" s="26"/>
      <c r="BAZ412" s="26"/>
      <c r="BBA412" s="26"/>
      <c r="BBB412" s="26"/>
      <c r="BBC412" s="26"/>
      <c r="BBD412" s="26"/>
      <c r="BBE412" s="26"/>
      <c r="BBF412" s="26"/>
      <c r="BBG412" s="26"/>
      <c r="BBH412" s="26"/>
      <c r="BBI412" s="26"/>
      <c r="BBJ412" s="26"/>
      <c r="BBK412" s="26"/>
      <c r="BBL412" s="26"/>
      <c r="BBM412" s="26"/>
      <c r="BBN412" s="26"/>
      <c r="BBO412" s="26"/>
      <c r="BBP412" s="26"/>
      <c r="BBQ412" s="26"/>
      <c r="BBR412" s="26"/>
      <c r="BBS412" s="26"/>
      <c r="BBT412" s="26"/>
      <c r="BBU412" s="26"/>
      <c r="BBV412" s="26"/>
      <c r="BBW412" s="26"/>
      <c r="BBX412" s="26"/>
      <c r="BBY412" s="26"/>
      <c r="BBZ412" s="26"/>
      <c r="BCA412" s="26"/>
      <c r="BCB412" s="26"/>
      <c r="BCC412" s="26"/>
      <c r="BCD412" s="26"/>
      <c r="BCE412" s="26"/>
      <c r="BCF412" s="26"/>
      <c r="BCG412" s="26"/>
      <c r="BCH412" s="26"/>
      <c r="BCI412" s="26"/>
      <c r="BCJ412" s="26"/>
      <c r="BCK412" s="26"/>
      <c r="BCL412" s="26"/>
      <c r="BCM412" s="26"/>
      <c r="BCN412" s="26"/>
      <c r="BCO412" s="26"/>
      <c r="BCP412" s="26"/>
      <c r="BCQ412" s="26"/>
      <c r="BCR412" s="26"/>
      <c r="BCS412" s="26"/>
      <c r="BCT412" s="26"/>
      <c r="BCU412" s="26"/>
      <c r="BCV412" s="26"/>
      <c r="BCW412" s="26"/>
      <c r="BCX412" s="26"/>
      <c r="BCY412" s="26"/>
      <c r="BCZ412" s="26"/>
      <c r="BDA412" s="26"/>
      <c r="BDB412" s="26"/>
      <c r="BDC412" s="26"/>
      <c r="BDD412" s="26"/>
      <c r="BDE412" s="26"/>
      <c r="BDF412" s="26"/>
      <c r="BDG412" s="26"/>
      <c r="BDH412" s="26"/>
      <c r="BDI412" s="26"/>
      <c r="BDJ412" s="26"/>
      <c r="BDK412" s="26"/>
      <c r="BDL412" s="26"/>
      <c r="BDM412" s="26"/>
      <c r="BDN412" s="26"/>
      <c r="BDO412" s="26"/>
      <c r="BDP412" s="26"/>
      <c r="BDQ412" s="26"/>
      <c r="BDR412" s="26"/>
      <c r="BDS412" s="26"/>
      <c r="BDT412" s="26"/>
      <c r="BDU412" s="26"/>
      <c r="BDV412" s="26"/>
      <c r="BDW412" s="26"/>
      <c r="BDX412" s="26"/>
      <c r="BDY412" s="26"/>
      <c r="BDZ412" s="26"/>
      <c r="BEA412" s="26"/>
      <c r="BEB412" s="26"/>
      <c r="BEC412" s="26"/>
      <c r="BED412" s="26"/>
      <c r="BEE412" s="26"/>
      <c r="BEF412" s="26"/>
      <c r="BEG412" s="26"/>
      <c r="BEH412" s="26"/>
      <c r="BEI412" s="26"/>
      <c r="BEJ412" s="26"/>
      <c r="BEK412" s="26"/>
      <c r="BEL412" s="26"/>
      <c r="BEM412" s="26"/>
      <c r="BEN412" s="26"/>
      <c r="BEO412" s="26"/>
      <c r="BEP412" s="26"/>
      <c r="BEQ412" s="26"/>
      <c r="BER412" s="26"/>
      <c r="BES412" s="26"/>
      <c r="BET412" s="26"/>
      <c r="BEU412" s="26"/>
      <c r="BEV412" s="26"/>
      <c r="BEW412" s="26"/>
      <c r="BEX412" s="26"/>
      <c r="BEY412" s="26"/>
      <c r="BEZ412" s="26"/>
      <c r="BFA412" s="26"/>
      <c r="BFB412" s="26"/>
      <c r="BFC412" s="26"/>
      <c r="BFD412" s="26"/>
      <c r="BFE412" s="26"/>
      <c r="BFF412" s="26"/>
      <c r="BFG412" s="26"/>
      <c r="BFH412" s="26"/>
      <c r="BFI412" s="26"/>
      <c r="BFJ412" s="26"/>
      <c r="BFK412" s="26"/>
      <c r="BFL412" s="26"/>
      <c r="BFM412" s="26"/>
      <c r="BFN412" s="26"/>
      <c r="BFO412" s="26"/>
      <c r="BFP412" s="26"/>
      <c r="BFQ412" s="26"/>
      <c r="BFR412" s="26"/>
      <c r="BFS412" s="26"/>
      <c r="BFT412" s="26"/>
      <c r="BFU412" s="26"/>
      <c r="BFV412" s="26"/>
      <c r="BFW412" s="26"/>
      <c r="BFX412" s="26"/>
      <c r="BFY412" s="26"/>
      <c r="BFZ412" s="26"/>
      <c r="BGA412" s="26"/>
      <c r="BGB412" s="26"/>
      <c r="BGC412" s="26"/>
      <c r="BGD412" s="26"/>
      <c r="BGE412" s="26"/>
      <c r="BGF412" s="26"/>
      <c r="BGG412" s="26"/>
      <c r="BGH412" s="26"/>
      <c r="BGI412" s="26"/>
      <c r="BGJ412" s="26"/>
      <c r="BGK412" s="26"/>
      <c r="BGL412" s="26"/>
      <c r="BGM412" s="26"/>
      <c r="BGN412" s="26"/>
      <c r="BGO412" s="26"/>
      <c r="BGP412" s="26"/>
      <c r="BGQ412" s="26"/>
      <c r="BGR412" s="26"/>
      <c r="BGS412" s="26"/>
      <c r="BGT412" s="26"/>
      <c r="BGU412" s="26"/>
      <c r="BGV412" s="26"/>
      <c r="BGW412" s="26"/>
      <c r="BGX412" s="26"/>
      <c r="BGY412" s="26"/>
      <c r="BGZ412" s="26"/>
      <c r="BHA412" s="26"/>
      <c r="BHB412" s="26"/>
      <c r="BHC412" s="26"/>
      <c r="BHD412" s="26"/>
      <c r="BHE412" s="26"/>
      <c r="BHF412" s="26"/>
      <c r="BHG412" s="26"/>
      <c r="BHH412" s="26"/>
      <c r="BHI412" s="26"/>
      <c r="BHJ412" s="26"/>
      <c r="BHK412" s="26"/>
      <c r="BHL412" s="26"/>
      <c r="BHM412" s="26"/>
      <c r="BHN412" s="26"/>
      <c r="BHO412" s="26"/>
      <c r="BHP412" s="26"/>
      <c r="BHQ412" s="26"/>
      <c r="BHR412" s="26"/>
      <c r="BHS412" s="26"/>
      <c r="BHT412" s="26"/>
      <c r="BHU412" s="26"/>
      <c r="BHV412" s="26"/>
      <c r="BHW412" s="26"/>
      <c r="BHX412" s="26"/>
      <c r="BHY412" s="26"/>
      <c r="BHZ412" s="26"/>
      <c r="BIA412" s="26"/>
      <c r="BIB412" s="26"/>
      <c r="BIC412" s="26"/>
      <c r="BID412" s="26"/>
      <c r="BIE412" s="26"/>
      <c r="BIF412" s="26"/>
      <c r="BIG412" s="26"/>
      <c r="BIH412" s="26"/>
      <c r="BII412" s="26"/>
      <c r="BIJ412" s="26"/>
      <c r="BIK412" s="26"/>
      <c r="BIL412" s="26"/>
      <c r="BIM412" s="26"/>
      <c r="BIN412" s="26"/>
      <c r="BIO412" s="26"/>
      <c r="BIP412" s="26"/>
      <c r="BIQ412" s="26"/>
      <c r="BIR412" s="26"/>
      <c r="BIS412" s="26"/>
      <c r="BIT412" s="26"/>
      <c r="BIU412" s="26"/>
      <c r="BIV412" s="26"/>
      <c r="BIW412" s="26"/>
      <c r="BIX412" s="26"/>
      <c r="BIY412" s="26"/>
      <c r="BIZ412" s="26"/>
      <c r="BJA412" s="26"/>
      <c r="BJB412" s="26"/>
      <c r="BJC412" s="26"/>
      <c r="BJD412" s="26"/>
      <c r="BJE412" s="26"/>
      <c r="BJF412" s="26"/>
      <c r="BJG412" s="26"/>
      <c r="BJH412" s="26"/>
      <c r="BJI412" s="26"/>
      <c r="BJJ412" s="26"/>
      <c r="BJK412" s="26"/>
      <c r="BJL412" s="26"/>
      <c r="BJM412" s="26"/>
      <c r="BJN412" s="26"/>
      <c r="BJO412" s="26"/>
      <c r="BJP412" s="26"/>
      <c r="BJQ412" s="26"/>
      <c r="BJR412" s="26"/>
      <c r="BJS412" s="26"/>
      <c r="BJT412" s="26"/>
      <c r="BJU412" s="26"/>
      <c r="BJV412" s="26"/>
      <c r="BJW412" s="26"/>
      <c r="BJX412" s="26"/>
      <c r="BJY412" s="26"/>
      <c r="BJZ412" s="26"/>
      <c r="BKA412" s="26"/>
      <c r="BKB412" s="26"/>
      <c r="BKC412" s="26"/>
      <c r="BKD412" s="26"/>
      <c r="BKE412" s="26"/>
      <c r="BKF412" s="26"/>
      <c r="BKG412" s="26"/>
      <c r="BKH412" s="26"/>
      <c r="BKI412" s="26"/>
      <c r="BKJ412" s="26"/>
      <c r="BKK412" s="26"/>
      <c r="BKL412" s="26"/>
      <c r="BKM412" s="26"/>
      <c r="BKN412" s="26"/>
      <c r="BKO412" s="26"/>
      <c r="BKP412" s="26"/>
      <c r="BKQ412" s="26"/>
      <c r="BKR412" s="26"/>
      <c r="BKS412" s="26"/>
      <c r="BKT412" s="26"/>
      <c r="BKU412" s="26"/>
      <c r="BKV412" s="26"/>
      <c r="BKW412" s="26"/>
      <c r="BKX412" s="26"/>
      <c r="BKY412" s="26"/>
      <c r="BKZ412" s="26"/>
      <c r="BLA412" s="26"/>
      <c r="BLB412" s="26"/>
      <c r="BLC412" s="26"/>
      <c r="BLD412" s="26"/>
      <c r="BLE412" s="26"/>
      <c r="BLF412" s="26"/>
      <c r="BLG412" s="26"/>
      <c r="BLH412" s="26"/>
      <c r="BLI412" s="26"/>
      <c r="BLJ412" s="26"/>
      <c r="BLK412" s="26"/>
      <c r="BLL412" s="26"/>
      <c r="BLM412" s="26"/>
      <c r="BLN412" s="26"/>
      <c r="BLO412" s="26"/>
      <c r="BLP412" s="26"/>
      <c r="BLQ412" s="26"/>
      <c r="BLR412" s="26"/>
      <c r="BLS412" s="26"/>
      <c r="BLT412" s="26"/>
      <c r="BLU412" s="26"/>
      <c r="BLV412" s="26"/>
      <c r="BLW412" s="26"/>
      <c r="BLX412" s="26"/>
      <c r="BLY412" s="26"/>
      <c r="BLZ412" s="26"/>
      <c r="BMA412" s="26"/>
      <c r="BMB412" s="26"/>
      <c r="BMC412" s="26"/>
      <c r="BMD412" s="26"/>
      <c r="BME412" s="26"/>
      <c r="BMF412" s="26"/>
      <c r="BMG412" s="26"/>
      <c r="BMH412" s="26"/>
      <c r="BMI412" s="26"/>
      <c r="BMJ412" s="26"/>
      <c r="BMK412" s="26"/>
      <c r="BML412" s="26"/>
      <c r="BMM412" s="26"/>
      <c r="BMN412" s="26"/>
      <c r="BMO412" s="26"/>
      <c r="BMP412" s="26"/>
      <c r="BMQ412" s="26"/>
      <c r="BMR412" s="26"/>
      <c r="BMS412" s="26"/>
      <c r="BMT412" s="26"/>
      <c r="BMU412" s="26"/>
      <c r="BMV412" s="26"/>
      <c r="BMW412" s="26"/>
      <c r="BMX412" s="26"/>
      <c r="BMY412" s="26"/>
      <c r="BMZ412" s="26"/>
      <c r="BNA412" s="26"/>
      <c r="BNB412" s="26"/>
      <c r="BNC412" s="26"/>
      <c r="BND412" s="26"/>
      <c r="BNE412" s="26"/>
      <c r="BNF412" s="26"/>
      <c r="BNG412" s="26"/>
      <c r="BNH412" s="26"/>
      <c r="BNI412" s="26"/>
      <c r="BNJ412" s="26"/>
      <c r="BNK412" s="26"/>
      <c r="BNL412" s="26"/>
      <c r="BNM412" s="26"/>
      <c r="BNN412" s="26"/>
      <c r="BNO412" s="26"/>
      <c r="BNP412" s="26"/>
      <c r="BNQ412" s="26"/>
      <c r="BNR412" s="26"/>
      <c r="BNS412" s="26"/>
      <c r="BNT412" s="26"/>
      <c r="BNU412" s="26"/>
      <c r="BNV412" s="26"/>
      <c r="BNW412" s="26"/>
      <c r="BNX412" s="26"/>
      <c r="BNY412" s="26"/>
      <c r="BNZ412" s="26"/>
      <c r="BOA412" s="26"/>
      <c r="BOB412" s="26"/>
      <c r="BOC412" s="26"/>
      <c r="BOD412" s="26"/>
      <c r="BOE412" s="26"/>
      <c r="BOF412" s="26"/>
      <c r="BOG412" s="26"/>
      <c r="BOH412" s="26"/>
      <c r="BOI412" s="26"/>
      <c r="BOJ412" s="26"/>
      <c r="BOK412" s="26"/>
      <c r="BOL412" s="26"/>
      <c r="BOM412" s="26"/>
      <c r="BON412" s="26"/>
      <c r="BOO412" s="26"/>
      <c r="BOP412" s="26"/>
      <c r="BOQ412" s="26"/>
      <c r="BOR412" s="26"/>
      <c r="BOS412" s="26"/>
      <c r="BOT412" s="26"/>
      <c r="BOU412" s="26"/>
      <c r="BOV412" s="26"/>
      <c r="BOW412" s="26"/>
      <c r="BOX412" s="26"/>
      <c r="BOY412" s="26"/>
      <c r="BOZ412" s="26"/>
      <c r="BPA412" s="26"/>
      <c r="BPB412" s="26"/>
      <c r="BPC412" s="26"/>
      <c r="BPD412" s="26"/>
      <c r="BPE412" s="26"/>
      <c r="BPF412" s="26"/>
      <c r="BPG412" s="26"/>
      <c r="BPH412" s="26"/>
      <c r="BPI412" s="26"/>
      <c r="BPJ412" s="26"/>
      <c r="BPK412" s="26"/>
      <c r="BPL412" s="26"/>
      <c r="BPM412" s="26"/>
      <c r="BPN412" s="26"/>
      <c r="BPO412" s="26"/>
      <c r="BPP412" s="26"/>
      <c r="BPQ412" s="26"/>
      <c r="BPR412" s="26"/>
      <c r="BPS412" s="26"/>
      <c r="BPT412" s="26"/>
      <c r="BPU412" s="26"/>
      <c r="BPV412" s="26"/>
      <c r="BPW412" s="26"/>
      <c r="BPX412" s="26"/>
      <c r="BPY412" s="26"/>
      <c r="BPZ412" s="26"/>
      <c r="BQA412" s="26"/>
      <c r="BQB412" s="26"/>
      <c r="BQC412" s="26"/>
      <c r="BQD412" s="26"/>
      <c r="BQE412" s="26"/>
      <c r="BQF412" s="26"/>
      <c r="BQG412" s="26"/>
      <c r="BQH412" s="26"/>
      <c r="BQI412" s="26"/>
      <c r="BQJ412" s="26"/>
      <c r="BQK412" s="26"/>
      <c r="BQL412" s="26"/>
      <c r="BQM412" s="26"/>
      <c r="BQN412" s="26"/>
      <c r="BQO412" s="26"/>
      <c r="BQP412" s="26"/>
      <c r="BQQ412" s="26"/>
      <c r="BQR412" s="26"/>
      <c r="BQS412" s="26"/>
      <c r="BQT412" s="26"/>
      <c r="BQU412" s="26"/>
      <c r="BQV412" s="26"/>
      <c r="BQW412" s="26"/>
      <c r="BQX412" s="26"/>
      <c r="BQY412" s="26"/>
      <c r="BQZ412" s="26"/>
      <c r="BRA412" s="26"/>
      <c r="BRB412" s="26"/>
      <c r="BRC412" s="26"/>
      <c r="BRD412" s="26"/>
      <c r="BRE412" s="26"/>
      <c r="BRF412" s="26"/>
      <c r="BRG412" s="26"/>
      <c r="BRH412" s="26"/>
      <c r="BRI412" s="26"/>
      <c r="BRJ412" s="26"/>
      <c r="BRK412" s="26"/>
      <c r="BRL412" s="26"/>
      <c r="BRM412" s="26"/>
      <c r="BRN412" s="26"/>
      <c r="BRO412" s="26"/>
      <c r="BRP412" s="26"/>
      <c r="BRQ412" s="26"/>
      <c r="BRR412" s="26"/>
      <c r="BRS412" s="26"/>
      <c r="BRT412" s="26"/>
      <c r="BRU412" s="26"/>
      <c r="BRV412" s="26"/>
      <c r="BRW412" s="26"/>
      <c r="BRX412" s="26"/>
      <c r="BRY412" s="26"/>
      <c r="BRZ412" s="26"/>
      <c r="BSA412" s="26"/>
      <c r="BSB412" s="26"/>
      <c r="BSC412" s="26"/>
      <c r="BSD412" s="26"/>
      <c r="BSE412" s="26"/>
      <c r="BSF412" s="26"/>
      <c r="BSG412" s="26"/>
      <c r="BSH412" s="26"/>
      <c r="BSI412" s="26"/>
      <c r="BSJ412" s="26"/>
      <c r="BSK412" s="26"/>
      <c r="BSL412" s="26"/>
      <c r="BSM412" s="26"/>
      <c r="BSN412" s="26"/>
      <c r="BSO412" s="26"/>
      <c r="BSP412" s="26"/>
      <c r="BSQ412" s="26"/>
      <c r="BSR412" s="26"/>
      <c r="BSS412" s="26"/>
      <c r="BST412" s="26"/>
      <c r="BSU412" s="26"/>
      <c r="BSV412" s="26"/>
      <c r="BSW412" s="26"/>
      <c r="BSX412" s="26"/>
      <c r="BSY412" s="26"/>
      <c r="BSZ412" s="26"/>
      <c r="BTA412" s="26"/>
      <c r="BTB412" s="26"/>
      <c r="BTC412" s="26"/>
      <c r="BTD412" s="26"/>
      <c r="BTE412" s="26"/>
      <c r="BTF412" s="26"/>
      <c r="BTG412" s="26"/>
      <c r="BTH412" s="26"/>
      <c r="BTI412" s="26"/>
      <c r="BTJ412" s="26"/>
      <c r="BTK412" s="26"/>
      <c r="BTL412" s="26"/>
      <c r="BTM412" s="26"/>
      <c r="BTN412" s="26"/>
      <c r="BTO412" s="26"/>
      <c r="BTP412" s="26"/>
      <c r="BTQ412" s="26"/>
      <c r="BTR412" s="26"/>
      <c r="BTS412" s="26"/>
      <c r="BTT412" s="26"/>
      <c r="BTU412" s="26"/>
      <c r="BTV412" s="26"/>
      <c r="BTW412" s="26"/>
      <c r="BTX412" s="26"/>
      <c r="BTY412" s="26"/>
      <c r="BTZ412" s="26"/>
      <c r="BUA412" s="26"/>
      <c r="BUB412" s="26"/>
      <c r="BUC412" s="26"/>
      <c r="BUD412" s="26"/>
      <c r="BUE412" s="26"/>
      <c r="BUF412" s="26"/>
      <c r="BUG412" s="26"/>
      <c r="BUH412" s="26"/>
      <c r="BUI412" s="26"/>
      <c r="BUJ412" s="26"/>
      <c r="BUK412" s="26"/>
      <c r="BUL412" s="26"/>
      <c r="BUM412" s="26"/>
      <c r="BUN412" s="26"/>
      <c r="BUO412" s="26"/>
      <c r="BUP412" s="26"/>
      <c r="BUQ412" s="26"/>
      <c r="BUR412" s="26"/>
      <c r="BUS412" s="26"/>
      <c r="BUT412" s="26"/>
      <c r="BUU412" s="26"/>
      <c r="BUV412" s="26"/>
      <c r="BUW412" s="26"/>
      <c r="BUX412" s="26"/>
      <c r="BUY412" s="26"/>
      <c r="BUZ412" s="26"/>
      <c r="BVA412" s="26"/>
      <c r="BVB412" s="26"/>
      <c r="BVC412" s="26"/>
      <c r="BVD412" s="26"/>
      <c r="BVE412" s="26"/>
      <c r="BVF412" s="26"/>
      <c r="BVG412" s="26"/>
      <c r="BVH412" s="26"/>
      <c r="BVI412" s="26"/>
      <c r="BVJ412" s="26"/>
      <c r="BVK412" s="26"/>
      <c r="BVL412" s="26"/>
      <c r="BVM412" s="26"/>
      <c r="BVN412" s="26"/>
      <c r="BVO412" s="26"/>
      <c r="BVP412" s="26"/>
      <c r="BVQ412" s="26"/>
      <c r="BVR412" s="26"/>
      <c r="BVS412" s="26"/>
      <c r="BVT412" s="26"/>
      <c r="BVU412" s="26"/>
      <c r="BVV412" s="26"/>
      <c r="BVW412" s="26"/>
      <c r="BVX412" s="26"/>
      <c r="BVY412" s="26"/>
      <c r="BVZ412" s="26"/>
      <c r="BWA412" s="26"/>
      <c r="BWB412" s="26"/>
      <c r="BWC412" s="26"/>
      <c r="BWD412" s="26"/>
      <c r="BWE412" s="26"/>
      <c r="BWF412" s="26"/>
      <c r="BWG412" s="26"/>
      <c r="BWH412" s="26"/>
      <c r="BWI412" s="26"/>
      <c r="BWJ412" s="26"/>
      <c r="BWK412" s="26"/>
      <c r="BWL412" s="26"/>
      <c r="BWM412" s="26"/>
      <c r="BWN412" s="26"/>
      <c r="BWO412" s="26"/>
      <c r="BWP412" s="26"/>
      <c r="BWQ412" s="26"/>
      <c r="BWR412" s="26"/>
      <c r="BWS412" s="26"/>
      <c r="BWT412" s="26"/>
      <c r="BWU412" s="26"/>
      <c r="BWV412" s="26"/>
      <c r="BWW412" s="26"/>
      <c r="BWX412" s="26"/>
      <c r="BWY412" s="26"/>
      <c r="BWZ412" s="26"/>
      <c r="BXA412" s="26"/>
      <c r="BXB412" s="26"/>
      <c r="BXC412" s="26"/>
      <c r="BXD412" s="26"/>
      <c r="BXE412" s="26"/>
      <c r="BXF412" s="26"/>
      <c r="BXG412" s="26"/>
      <c r="BXH412" s="26"/>
      <c r="BXI412" s="26"/>
      <c r="BXJ412" s="26"/>
      <c r="BXK412" s="26"/>
      <c r="BXL412" s="26"/>
      <c r="BXM412" s="26"/>
      <c r="BXN412" s="26"/>
      <c r="BXO412" s="26"/>
      <c r="BXP412" s="26"/>
      <c r="BXQ412" s="26"/>
      <c r="BXR412" s="26"/>
      <c r="BXS412" s="26"/>
      <c r="BXT412" s="26"/>
      <c r="BXU412" s="26"/>
      <c r="BXV412" s="26"/>
      <c r="BXW412" s="26"/>
      <c r="BXX412" s="26"/>
      <c r="BXY412" s="26"/>
      <c r="BXZ412" s="26"/>
      <c r="BYA412" s="26"/>
      <c r="BYB412" s="26"/>
      <c r="BYC412" s="26"/>
      <c r="BYD412" s="26"/>
      <c r="BYE412" s="26"/>
      <c r="BYF412" s="26"/>
      <c r="BYG412" s="26"/>
      <c r="BYH412" s="26"/>
      <c r="BYI412" s="26"/>
      <c r="BYJ412" s="26"/>
      <c r="BYK412" s="26"/>
      <c r="BYL412" s="26"/>
      <c r="BYM412" s="26"/>
      <c r="BYN412" s="26"/>
      <c r="BYO412" s="26"/>
      <c r="BYP412" s="26"/>
      <c r="BYQ412" s="26"/>
      <c r="BYR412" s="26"/>
      <c r="BYS412" s="26"/>
      <c r="BYT412" s="26"/>
      <c r="BYU412" s="26"/>
      <c r="BYV412" s="26"/>
      <c r="BYW412" s="26"/>
      <c r="BYX412" s="26"/>
      <c r="BYY412" s="26"/>
      <c r="BYZ412" s="26"/>
      <c r="BZA412" s="26"/>
      <c r="BZB412" s="26"/>
      <c r="BZC412" s="26"/>
      <c r="BZD412" s="26"/>
      <c r="BZE412" s="26"/>
      <c r="BZF412" s="26"/>
      <c r="BZG412" s="26"/>
      <c r="BZH412" s="26"/>
      <c r="BZI412" s="26"/>
      <c r="BZJ412" s="26"/>
      <c r="BZK412" s="26"/>
      <c r="BZL412" s="26"/>
      <c r="BZM412" s="26"/>
      <c r="BZN412" s="26"/>
      <c r="BZO412" s="26"/>
      <c r="BZP412" s="26"/>
      <c r="BZQ412" s="26"/>
      <c r="BZR412" s="26"/>
      <c r="BZS412" s="26"/>
      <c r="BZT412" s="26"/>
      <c r="BZU412" s="26"/>
      <c r="BZV412" s="26"/>
      <c r="BZW412" s="26"/>
      <c r="BZX412" s="26"/>
      <c r="BZY412" s="26"/>
      <c r="BZZ412" s="26"/>
      <c r="CAA412" s="26"/>
      <c r="CAB412" s="26"/>
      <c r="CAC412" s="26"/>
      <c r="CAD412" s="26"/>
      <c r="CAE412" s="26"/>
      <c r="CAF412" s="26"/>
      <c r="CAG412" s="26"/>
      <c r="CAH412" s="26"/>
      <c r="CAI412" s="26"/>
      <c r="CAJ412" s="26"/>
      <c r="CAK412" s="26"/>
      <c r="CAL412" s="26"/>
      <c r="CAM412" s="26"/>
      <c r="CAN412" s="26"/>
      <c r="CAO412" s="26"/>
      <c r="CAP412" s="26"/>
      <c r="CAQ412" s="26"/>
      <c r="CAR412" s="26"/>
      <c r="CAS412" s="26"/>
      <c r="CAT412" s="26"/>
      <c r="CAU412" s="26"/>
      <c r="CAV412" s="26"/>
      <c r="CAW412" s="26"/>
      <c r="CAX412" s="26"/>
      <c r="CAY412" s="26"/>
      <c r="CAZ412" s="26"/>
      <c r="CBA412" s="26"/>
      <c r="CBB412" s="26"/>
      <c r="CBC412" s="26"/>
      <c r="CBD412" s="26"/>
      <c r="CBE412" s="26"/>
      <c r="CBF412" s="26"/>
      <c r="CBG412" s="26"/>
      <c r="CBH412" s="26"/>
      <c r="CBI412" s="26"/>
    </row>
    <row r="413" spans="1:2089" s="57" customFormat="1" ht="14" customHeight="1">
      <c r="A413" s="27">
        <v>412</v>
      </c>
      <c r="B413" s="27" t="s">
        <v>459</v>
      </c>
      <c r="C413" s="27">
        <v>1993</v>
      </c>
      <c r="D413" s="26" t="s">
        <v>37</v>
      </c>
      <c r="E413" s="26" t="s">
        <v>565</v>
      </c>
      <c r="F413" s="82" t="s">
        <v>175</v>
      </c>
      <c r="G413" s="2" t="s">
        <v>108</v>
      </c>
      <c r="H413" s="2" t="s">
        <v>24</v>
      </c>
      <c r="I413" s="2" t="s">
        <v>548</v>
      </c>
      <c r="J413" s="2" t="s">
        <v>604</v>
      </c>
      <c r="K413" s="2" t="s">
        <v>548</v>
      </c>
      <c r="L413" s="2" t="s">
        <v>548</v>
      </c>
      <c r="M413" s="2" t="s">
        <v>175</v>
      </c>
      <c r="N413" s="2" t="s">
        <v>608</v>
      </c>
      <c r="O413" s="2" t="s">
        <v>43</v>
      </c>
      <c r="P413" s="2" t="s">
        <v>608</v>
      </c>
      <c r="Q413" s="2" t="s">
        <v>42</v>
      </c>
      <c r="R413" s="79" t="s">
        <v>613</v>
      </c>
      <c r="S413" s="88">
        <v>0.53149999999999997</v>
      </c>
      <c r="T413" s="26">
        <v>490</v>
      </c>
      <c r="U413" s="82">
        <v>1</v>
      </c>
      <c r="V413" s="26">
        <v>1</v>
      </c>
      <c r="W413" s="26">
        <v>1</v>
      </c>
      <c r="X413" s="26">
        <v>1</v>
      </c>
      <c r="Y413" s="26">
        <v>1</v>
      </c>
      <c r="Z413" s="26">
        <v>0</v>
      </c>
      <c r="AA413" s="26">
        <v>0</v>
      </c>
      <c r="AB413" s="26">
        <v>0</v>
      </c>
      <c r="AC413" s="33">
        <f>1-S413</f>
        <v>0.46850000000000003</v>
      </c>
      <c r="AD413" s="33">
        <v>0.20599999999999999</v>
      </c>
      <c r="AE413" s="33">
        <v>0.23699999999999999</v>
      </c>
      <c r="AF413" s="33">
        <v>0.1</v>
      </c>
      <c r="AG413" s="33">
        <v>43.6</v>
      </c>
      <c r="AH413" s="33" t="s">
        <v>70</v>
      </c>
      <c r="AI413" s="33" t="s">
        <v>70</v>
      </c>
      <c r="AJ413" s="26" t="s">
        <v>70</v>
      </c>
      <c r="AK413" s="33" t="s">
        <v>70</v>
      </c>
      <c r="AL413" s="33" t="s">
        <v>70</v>
      </c>
      <c r="AM413" s="35" t="s">
        <v>175</v>
      </c>
      <c r="AN413" s="32" t="s">
        <v>9</v>
      </c>
      <c r="AO413" s="35" t="s">
        <v>175</v>
      </c>
      <c r="AP413" s="35" t="s">
        <v>548</v>
      </c>
      <c r="AQ413" s="35" t="s">
        <v>548</v>
      </c>
      <c r="AR413" s="35" t="s">
        <v>548</v>
      </c>
      <c r="AS413" s="26" t="s">
        <v>175</v>
      </c>
      <c r="AT413" s="26" t="s">
        <v>70</v>
      </c>
      <c r="AU413" s="26" t="s">
        <v>70</v>
      </c>
      <c r="AV413" s="26">
        <v>8</v>
      </c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  <c r="GR413" s="26"/>
      <c r="GS413" s="26"/>
      <c r="GT413" s="26"/>
      <c r="GU413" s="26"/>
      <c r="GV413" s="26"/>
      <c r="GW413" s="26"/>
      <c r="GX413" s="26"/>
      <c r="GY413" s="26"/>
      <c r="GZ413" s="26"/>
      <c r="HA413" s="26"/>
      <c r="HB413" s="26"/>
      <c r="HC413" s="26"/>
      <c r="HD413" s="26"/>
      <c r="HE413" s="26"/>
      <c r="HF413" s="26"/>
      <c r="HG413" s="26"/>
      <c r="HH413" s="26"/>
      <c r="HI413" s="26"/>
      <c r="HJ413" s="26"/>
      <c r="HK413" s="26"/>
      <c r="HL413" s="26"/>
      <c r="HM413" s="26"/>
      <c r="HN413" s="26"/>
      <c r="HO413" s="26"/>
      <c r="HP413" s="26"/>
      <c r="HQ413" s="26"/>
      <c r="HR413" s="26"/>
      <c r="HS413" s="26"/>
      <c r="HT413" s="26"/>
      <c r="HU413" s="26"/>
      <c r="HV413" s="26"/>
      <c r="HW413" s="26"/>
      <c r="HX413" s="26"/>
      <c r="HY413" s="26"/>
      <c r="HZ413" s="26"/>
      <c r="IA413" s="26"/>
      <c r="IB413" s="26"/>
      <c r="IC413" s="26"/>
      <c r="ID413" s="26"/>
      <c r="IE413" s="26"/>
      <c r="IF413" s="26"/>
      <c r="IG413" s="26"/>
      <c r="IH413" s="26"/>
      <c r="II413" s="26"/>
      <c r="IJ413" s="26"/>
      <c r="IK413" s="26"/>
      <c r="IL413" s="26"/>
      <c r="IM413" s="26"/>
      <c r="IN413" s="26"/>
      <c r="IO413" s="26"/>
      <c r="IP413" s="26"/>
      <c r="IQ413" s="26"/>
      <c r="IR413" s="26"/>
      <c r="IS413" s="26"/>
      <c r="IT413" s="26"/>
      <c r="IU413" s="26"/>
      <c r="IV413" s="26"/>
      <c r="IW413" s="26"/>
      <c r="IX413" s="26"/>
      <c r="IY413" s="26"/>
      <c r="IZ413" s="26"/>
      <c r="JA413" s="26"/>
      <c r="JB413" s="26"/>
      <c r="JC413" s="26"/>
      <c r="JD413" s="26"/>
      <c r="JE413" s="26"/>
      <c r="JF413" s="26"/>
      <c r="JG413" s="26"/>
      <c r="JH413" s="26"/>
      <c r="JI413" s="26"/>
      <c r="JJ413" s="26"/>
      <c r="JK413" s="26"/>
      <c r="JL413" s="26"/>
      <c r="JM413" s="26"/>
      <c r="JN413" s="26"/>
      <c r="JO413" s="26"/>
      <c r="JP413" s="26"/>
      <c r="JQ413" s="26"/>
      <c r="JR413" s="26"/>
      <c r="JS413" s="26"/>
      <c r="JT413" s="26"/>
      <c r="JU413" s="26"/>
      <c r="JV413" s="26"/>
      <c r="JW413" s="26"/>
      <c r="JX413" s="26"/>
      <c r="JY413" s="26"/>
      <c r="JZ413" s="26"/>
      <c r="KA413" s="26"/>
      <c r="KB413" s="26"/>
      <c r="KC413" s="26"/>
      <c r="KD413" s="26"/>
      <c r="KE413" s="26"/>
      <c r="KF413" s="26"/>
      <c r="KG413" s="26"/>
      <c r="KH413" s="26"/>
      <c r="KI413" s="26"/>
      <c r="KJ413" s="26"/>
      <c r="KK413" s="26"/>
      <c r="KL413" s="26"/>
      <c r="KM413" s="26"/>
      <c r="KN413" s="26"/>
      <c r="KO413" s="26"/>
      <c r="KP413" s="26"/>
      <c r="KQ413" s="26"/>
      <c r="KR413" s="26"/>
      <c r="KS413" s="26"/>
      <c r="KT413" s="26"/>
      <c r="KU413" s="26"/>
      <c r="KV413" s="26"/>
      <c r="KW413" s="26"/>
      <c r="KX413" s="26"/>
      <c r="KY413" s="26"/>
      <c r="KZ413" s="26"/>
      <c r="LA413" s="26"/>
      <c r="LB413" s="26"/>
      <c r="LC413" s="26"/>
      <c r="LD413" s="26"/>
      <c r="LE413" s="26"/>
      <c r="LF413" s="26"/>
      <c r="LG413" s="26"/>
      <c r="LH413" s="26"/>
      <c r="LI413" s="26"/>
      <c r="LJ413" s="26"/>
      <c r="LK413" s="26"/>
      <c r="LL413" s="26"/>
      <c r="LM413" s="26"/>
      <c r="LN413" s="26"/>
      <c r="LO413" s="26"/>
      <c r="LP413" s="26"/>
      <c r="LQ413" s="26"/>
      <c r="LR413" s="26"/>
      <c r="LS413" s="26"/>
      <c r="LT413" s="26"/>
      <c r="LU413" s="26"/>
      <c r="LV413" s="26"/>
      <c r="LW413" s="26"/>
      <c r="LX413" s="26"/>
      <c r="LY413" s="26"/>
      <c r="LZ413" s="26"/>
      <c r="MA413" s="26"/>
      <c r="MB413" s="26"/>
      <c r="MC413" s="26"/>
      <c r="MD413" s="26"/>
      <c r="ME413" s="26"/>
      <c r="MF413" s="26"/>
      <c r="MG413" s="26"/>
      <c r="MH413" s="26"/>
      <c r="MI413" s="26"/>
      <c r="MJ413" s="26"/>
      <c r="MK413" s="26"/>
      <c r="ML413" s="26"/>
      <c r="MM413" s="26"/>
      <c r="MN413" s="26"/>
      <c r="MO413" s="26"/>
      <c r="MP413" s="26"/>
      <c r="MQ413" s="26"/>
      <c r="MR413" s="26"/>
      <c r="MS413" s="26"/>
      <c r="MT413" s="26"/>
      <c r="MU413" s="26"/>
      <c r="MV413" s="26"/>
      <c r="MW413" s="26"/>
      <c r="MX413" s="26"/>
      <c r="MY413" s="26"/>
      <c r="MZ413" s="26"/>
      <c r="NA413" s="26"/>
      <c r="NB413" s="26"/>
      <c r="NC413" s="26"/>
      <c r="ND413" s="26"/>
      <c r="NE413" s="26"/>
      <c r="NF413" s="26"/>
      <c r="NG413" s="26"/>
      <c r="NH413" s="26"/>
      <c r="NI413" s="26"/>
      <c r="NJ413" s="26"/>
      <c r="NK413" s="26"/>
      <c r="NL413" s="26"/>
      <c r="NM413" s="26"/>
      <c r="NN413" s="26"/>
      <c r="NO413" s="26"/>
      <c r="NP413" s="26"/>
      <c r="NQ413" s="26"/>
      <c r="NR413" s="26"/>
      <c r="NS413" s="26"/>
      <c r="NT413" s="26"/>
      <c r="NU413" s="26"/>
      <c r="NV413" s="26"/>
      <c r="NW413" s="26"/>
      <c r="NX413" s="26"/>
      <c r="NY413" s="26"/>
      <c r="NZ413" s="26"/>
      <c r="OA413" s="26"/>
      <c r="OB413" s="26"/>
      <c r="OC413" s="26"/>
      <c r="OD413" s="26"/>
      <c r="OE413" s="26"/>
      <c r="OF413" s="26"/>
      <c r="OG413" s="26"/>
      <c r="OH413" s="26"/>
      <c r="OI413" s="26"/>
      <c r="OJ413" s="26"/>
      <c r="OK413" s="26"/>
      <c r="OL413" s="26"/>
      <c r="OM413" s="26"/>
      <c r="ON413" s="26"/>
      <c r="OO413" s="26"/>
      <c r="OP413" s="26"/>
      <c r="OQ413" s="26"/>
      <c r="OR413" s="26"/>
      <c r="OS413" s="26"/>
      <c r="OT413" s="26"/>
      <c r="OU413" s="26"/>
      <c r="OV413" s="26"/>
      <c r="OW413" s="26"/>
      <c r="OX413" s="26"/>
      <c r="OY413" s="26"/>
      <c r="OZ413" s="26"/>
      <c r="PA413" s="26"/>
      <c r="PB413" s="26"/>
      <c r="PC413" s="26"/>
      <c r="PD413" s="26"/>
      <c r="PE413" s="26"/>
      <c r="PF413" s="26"/>
      <c r="PG413" s="26"/>
      <c r="PH413" s="26"/>
      <c r="PI413" s="26"/>
      <c r="PJ413" s="26"/>
      <c r="PK413" s="26"/>
      <c r="PL413" s="26"/>
      <c r="PM413" s="26"/>
      <c r="PN413" s="26"/>
      <c r="PO413" s="26"/>
      <c r="PP413" s="26"/>
      <c r="PQ413" s="26"/>
      <c r="PR413" s="26"/>
      <c r="PS413" s="26"/>
      <c r="PT413" s="26"/>
      <c r="PU413" s="26"/>
      <c r="PV413" s="26"/>
      <c r="PW413" s="26"/>
      <c r="PX413" s="26"/>
      <c r="PY413" s="26"/>
      <c r="PZ413" s="26"/>
      <c r="QA413" s="26"/>
      <c r="QB413" s="26"/>
      <c r="QC413" s="26"/>
      <c r="QD413" s="26"/>
      <c r="QE413" s="26"/>
      <c r="QF413" s="26"/>
      <c r="QG413" s="26"/>
      <c r="QH413" s="26"/>
      <c r="QI413" s="26"/>
      <c r="QJ413" s="26"/>
      <c r="QK413" s="26"/>
      <c r="QL413" s="26"/>
      <c r="QM413" s="26"/>
      <c r="QN413" s="26"/>
      <c r="QO413" s="26"/>
      <c r="QP413" s="26"/>
      <c r="QQ413" s="26"/>
      <c r="QR413" s="26"/>
      <c r="QS413" s="26"/>
      <c r="QT413" s="26"/>
      <c r="QU413" s="26"/>
      <c r="QV413" s="26"/>
      <c r="QW413" s="26"/>
      <c r="QX413" s="26"/>
      <c r="QY413" s="26"/>
      <c r="QZ413" s="26"/>
      <c r="RA413" s="26"/>
      <c r="RB413" s="26"/>
      <c r="RC413" s="26"/>
      <c r="RD413" s="26"/>
      <c r="RE413" s="26"/>
      <c r="RF413" s="26"/>
      <c r="RG413" s="26"/>
      <c r="RH413" s="26"/>
      <c r="RI413" s="26"/>
      <c r="RJ413" s="26"/>
      <c r="RK413" s="26"/>
      <c r="RL413" s="26"/>
      <c r="RM413" s="26"/>
      <c r="RN413" s="26"/>
      <c r="RO413" s="26"/>
      <c r="RP413" s="26"/>
      <c r="RQ413" s="26"/>
      <c r="RR413" s="26"/>
      <c r="RS413" s="26"/>
      <c r="RT413" s="26"/>
      <c r="RU413" s="26"/>
      <c r="RV413" s="26"/>
      <c r="RW413" s="26"/>
      <c r="RX413" s="26"/>
      <c r="RY413" s="26"/>
      <c r="RZ413" s="26"/>
      <c r="SA413" s="26"/>
      <c r="SB413" s="26"/>
      <c r="SC413" s="26"/>
      <c r="SD413" s="26"/>
      <c r="SE413" s="26"/>
      <c r="SF413" s="26"/>
      <c r="SG413" s="26"/>
      <c r="SH413" s="26"/>
      <c r="SI413" s="26"/>
      <c r="SJ413" s="26"/>
      <c r="SK413" s="26"/>
      <c r="SL413" s="26"/>
      <c r="SM413" s="26"/>
      <c r="SN413" s="26"/>
      <c r="SO413" s="26"/>
      <c r="SP413" s="26"/>
      <c r="SQ413" s="26"/>
      <c r="SR413" s="26"/>
      <c r="SS413" s="26"/>
      <c r="ST413" s="26"/>
      <c r="SU413" s="26"/>
      <c r="SV413" s="26"/>
      <c r="SW413" s="26"/>
      <c r="SX413" s="26"/>
      <c r="SY413" s="26"/>
      <c r="SZ413" s="26"/>
      <c r="TA413" s="26"/>
      <c r="TB413" s="26"/>
      <c r="TC413" s="26"/>
      <c r="TD413" s="26"/>
      <c r="TE413" s="26"/>
      <c r="TF413" s="26"/>
      <c r="TG413" s="26"/>
      <c r="TH413" s="26"/>
      <c r="TI413" s="26"/>
      <c r="TJ413" s="26"/>
      <c r="TK413" s="26"/>
      <c r="TL413" s="26"/>
      <c r="TM413" s="26"/>
      <c r="TN413" s="26"/>
      <c r="TO413" s="26"/>
      <c r="TP413" s="26"/>
      <c r="TQ413" s="26"/>
      <c r="TR413" s="26"/>
      <c r="TS413" s="26"/>
      <c r="TT413" s="26"/>
      <c r="TU413" s="26"/>
      <c r="TV413" s="26"/>
      <c r="TW413" s="26"/>
      <c r="TX413" s="26"/>
      <c r="TY413" s="26"/>
      <c r="TZ413" s="26"/>
      <c r="UA413" s="26"/>
      <c r="UB413" s="26"/>
      <c r="UC413" s="26"/>
      <c r="UD413" s="26"/>
      <c r="UE413" s="26"/>
      <c r="UF413" s="26"/>
      <c r="UG413" s="26"/>
      <c r="UH413" s="26"/>
      <c r="UI413" s="26"/>
      <c r="UJ413" s="26"/>
      <c r="UK413" s="26"/>
      <c r="UL413" s="26"/>
      <c r="UM413" s="26"/>
      <c r="UN413" s="26"/>
      <c r="UO413" s="26"/>
      <c r="UP413" s="26"/>
      <c r="UQ413" s="26"/>
      <c r="UR413" s="26"/>
      <c r="US413" s="26"/>
      <c r="UT413" s="26"/>
      <c r="UU413" s="26"/>
      <c r="UV413" s="26"/>
      <c r="UW413" s="26"/>
      <c r="UX413" s="26"/>
      <c r="UY413" s="26"/>
      <c r="UZ413" s="26"/>
      <c r="VA413" s="26"/>
      <c r="VB413" s="26"/>
      <c r="VC413" s="26"/>
      <c r="VD413" s="26"/>
      <c r="VE413" s="26"/>
      <c r="VF413" s="26"/>
      <c r="VG413" s="26"/>
      <c r="VH413" s="26"/>
      <c r="VI413" s="26"/>
      <c r="VJ413" s="26"/>
      <c r="VK413" s="26"/>
      <c r="VL413" s="26"/>
      <c r="VM413" s="26"/>
      <c r="VN413" s="26"/>
      <c r="VO413" s="26"/>
      <c r="VP413" s="26"/>
      <c r="VQ413" s="26"/>
      <c r="VR413" s="26"/>
      <c r="VS413" s="26"/>
      <c r="VT413" s="26"/>
      <c r="VU413" s="26"/>
      <c r="VV413" s="26"/>
      <c r="VW413" s="26"/>
      <c r="VX413" s="26"/>
      <c r="VY413" s="26"/>
      <c r="VZ413" s="26"/>
      <c r="WA413" s="26"/>
      <c r="WB413" s="26"/>
      <c r="WC413" s="26"/>
      <c r="WD413" s="26"/>
      <c r="WE413" s="26"/>
      <c r="WF413" s="26"/>
      <c r="WG413" s="26"/>
      <c r="WH413" s="26"/>
      <c r="WI413" s="26"/>
      <c r="WJ413" s="26"/>
      <c r="WK413" s="26"/>
      <c r="WL413" s="26"/>
      <c r="WM413" s="26"/>
      <c r="WN413" s="26"/>
      <c r="WO413" s="26"/>
      <c r="WP413" s="26"/>
      <c r="WQ413" s="26"/>
      <c r="WR413" s="26"/>
      <c r="WS413" s="26"/>
      <c r="WT413" s="26"/>
      <c r="WU413" s="26"/>
      <c r="WV413" s="26"/>
      <c r="WW413" s="26"/>
      <c r="WX413" s="26"/>
      <c r="WY413" s="26"/>
      <c r="WZ413" s="26"/>
      <c r="XA413" s="26"/>
      <c r="XB413" s="26"/>
      <c r="XC413" s="26"/>
      <c r="XD413" s="26"/>
      <c r="XE413" s="26"/>
      <c r="XF413" s="26"/>
      <c r="XG413" s="26"/>
      <c r="XH413" s="26"/>
      <c r="XI413" s="26"/>
      <c r="XJ413" s="26"/>
      <c r="XK413" s="26"/>
      <c r="XL413" s="26"/>
      <c r="XM413" s="26"/>
      <c r="XN413" s="26"/>
      <c r="XO413" s="26"/>
      <c r="XP413" s="26"/>
      <c r="XQ413" s="26"/>
      <c r="XR413" s="26"/>
      <c r="XS413" s="26"/>
      <c r="XT413" s="26"/>
      <c r="XU413" s="26"/>
      <c r="XV413" s="26"/>
      <c r="XW413" s="26"/>
      <c r="XX413" s="26"/>
      <c r="XY413" s="26"/>
      <c r="XZ413" s="26"/>
      <c r="YA413" s="26"/>
      <c r="YB413" s="26"/>
      <c r="YC413" s="26"/>
      <c r="YD413" s="26"/>
      <c r="YE413" s="26"/>
      <c r="YF413" s="26"/>
      <c r="YG413" s="26"/>
      <c r="YH413" s="26"/>
      <c r="YI413" s="26"/>
      <c r="YJ413" s="26"/>
      <c r="YK413" s="26"/>
      <c r="YL413" s="26"/>
      <c r="YM413" s="26"/>
      <c r="YN413" s="26"/>
      <c r="YO413" s="26"/>
      <c r="YP413" s="26"/>
      <c r="YQ413" s="26"/>
      <c r="YR413" s="26"/>
      <c r="YS413" s="26"/>
      <c r="YT413" s="26"/>
      <c r="YU413" s="26"/>
      <c r="YV413" s="26"/>
      <c r="YW413" s="26"/>
      <c r="YX413" s="26"/>
      <c r="YY413" s="26"/>
      <c r="YZ413" s="26"/>
      <c r="ZA413" s="26"/>
      <c r="ZB413" s="26"/>
      <c r="ZC413" s="26"/>
      <c r="ZD413" s="26"/>
      <c r="ZE413" s="26"/>
      <c r="ZF413" s="26"/>
      <c r="ZG413" s="26"/>
      <c r="ZH413" s="26"/>
      <c r="ZI413" s="26"/>
      <c r="ZJ413" s="26"/>
      <c r="ZK413" s="26"/>
      <c r="ZL413" s="26"/>
      <c r="ZM413" s="26"/>
      <c r="ZN413" s="26"/>
      <c r="ZO413" s="26"/>
      <c r="ZP413" s="26"/>
      <c r="ZQ413" s="26"/>
      <c r="ZR413" s="26"/>
      <c r="ZS413" s="26"/>
      <c r="ZT413" s="26"/>
      <c r="ZU413" s="26"/>
      <c r="ZV413" s="26"/>
      <c r="ZW413" s="26"/>
      <c r="ZX413" s="26"/>
      <c r="ZY413" s="26"/>
      <c r="ZZ413" s="26"/>
      <c r="AAA413" s="26"/>
      <c r="AAB413" s="26"/>
      <c r="AAC413" s="26"/>
      <c r="AAD413" s="26"/>
      <c r="AAE413" s="26"/>
      <c r="AAF413" s="26"/>
      <c r="AAG413" s="26"/>
      <c r="AAH413" s="26"/>
      <c r="AAI413" s="26"/>
      <c r="AAJ413" s="26"/>
      <c r="AAK413" s="26"/>
      <c r="AAL413" s="26"/>
      <c r="AAM413" s="26"/>
      <c r="AAN413" s="26"/>
      <c r="AAO413" s="26"/>
      <c r="AAP413" s="26"/>
      <c r="AAQ413" s="26"/>
      <c r="AAR413" s="26"/>
      <c r="AAS413" s="26"/>
      <c r="AAT413" s="26"/>
      <c r="AAU413" s="26"/>
      <c r="AAV413" s="26"/>
      <c r="AAW413" s="26"/>
      <c r="AAX413" s="26"/>
      <c r="AAY413" s="26"/>
      <c r="AAZ413" s="26"/>
      <c r="ABA413" s="26"/>
      <c r="ABB413" s="26"/>
      <c r="ABC413" s="26"/>
      <c r="ABD413" s="26"/>
      <c r="ABE413" s="26"/>
      <c r="ABF413" s="26"/>
      <c r="ABG413" s="26"/>
      <c r="ABH413" s="26"/>
      <c r="ABI413" s="26"/>
      <c r="ABJ413" s="26"/>
      <c r="ABK413" s="26"/>
      <c r="ABL413" s="26"/>
      <c r="ABM413" s="26"/>
      <c r="ABN413" s="26"/>
      <c r="ABO413" s="26"/>
      <c r="ABP413" s="26"/>
      <c r="ABQ413" s="26"/>
      <c r="ABR413" s="26"/>
      <c r="ABS413" s="26"/>
      <c r="ABT413" s="26"/>
      <c r="ABU413" s="26"/>
      <c r="ABV413" s="26"/>
      <c r="ABW413" s="26"/>
      <c r="ABX413" s="26"/>
      <c r="ABY413" s="26"/>
      <c r="ABZ413" s="26"/>
      <c r="ACA413" s="26"/>
      <c r="ACB413" s="26"/>
      <c r="ACC413" s="26"/>
      <c r="ACD413" s="26"/>
      <c r="ACE413" s="26"/>
      <c r="ACF413" s="26"/>
      <c r="ACG413" s="26"/>
      <c r="ACH413" s="26"/>
      <c r="ACI413" s="26"/>
      <c r="ACJ413" s="26"/>
      <c r="ACK413" s="26"/>
      <c r="ACL413" s="26"/>
      <c r="ACM413" s="26"/>
      <c r="ACN413" s="26"/>
      <c r="ACO413" s="26"/>
      <c r="ACP413" s="26"/>
      <c r="ACQ413" s="26"/>
      <c r="ACR413" s="26"/>
      <c r="ACS413" s="26"/>
      <c r="ACT413" s="26"/>
      <c r="ACU413" s="26"/>
      <c r="ACV413" s="26"/>
      <c r="ACW413" s="26"/>
      <c r="ACX413" s="26"/>
      <c r="ACY413" s="26"/>
      <c r="ACZ413" s="26"/>
      <c r="ADA413" s="26"/>
      <c r="ADB413" s="26"/>
      <c r="ADC413" s="26"/>
      <c r="ADD413" s="26"/>
      <c r="ADE413" s="26"/>
      <c r="ADF413" s="26"/>
      <c r="ADG413" s="26"/>
      <c r="ADH413" s="26"/>
      <c r="ADI413" s="26"/>
      <c r="ADJ413" s="26"/>
      <c r="ADK413" s="26"/>
      <c r="ADL413" s="26"/>
      <c r="ADM413" s="26"/>
      <c r="ADN413" s="26"/>
      <c r="ADO413" s="26"/>
      <c r="ADP413" s="26"/>
      <c r="ADQ413" s="26"/>
      <c r="ADR413" s="26"/>
      <c r="ADS413" s="26"/>
      <c r="ADT413" s="26"/>
      <c r="ADU413" s="26"/>
      <c r="ADV413" s="26"/>
      <c r="ADW413" s="26"/>
      <c r="ADX413" s="26"/>
      <c r="ADY413" s="26"/>
      <c r="ADZ413" s="26"/>
      <c r="AEA413" s="26"/>
      <c r="AEB413" s="26"/>
      <c r="AEC413" s="26"/>
      <c r="AED413" s="26"/>
      <c r="AEE413" s="26"/>
      <c r="AEF413" s="26"/>
      <c r="AEG413" s="26"/>
      <c r="AEH413" s="26"/>
      <c r="AEI413" s="26"/>
      <c r="AEJ413" s="26"/>
      <c r="AEK413" s="26"/>
      <c r="AEL413" s="26"/>
      <c r="AEM413" s="26"/>
      <c r="AEN413" s="26"/>
      <c r="AEO413" s="26"/>
      <c r="AEP413" s="26"/>
      <c r="AEQ413" s="26"/>
      <c r="AER413" s="26"/>
      <c r="AES413" s="26"/>
      <c r="AET413" s="26"/>
      <c r="AEU413" s="26"/>
      <c r="AEV413" s="26"/>
      <c r="AEW413" s="26"/>
      <c r="AEX413" s="26"/>
      <c r="AEY413" s="26"/>
      <c r="AEZ413" s="26"/>
      <c r="AFA413" s="26"/>
      <c r="AFB413" s="26"/>
      <c r="AFC413" s="26"/>
      <c r="AFD413" s="26"/>
      <c r="AFE413" s="26"/>
      <c r="AFF413" s="26"/>
      <c r="AFG413" s="26"/>
      <c r="AFH413" s="26"/>
      <c r="AFI413" s="26"/>
      <c r="AFJ413" s="26"/>
      <c r="AFK413" s="26"/>
      <c r="AFL413" s="26"/>
      <c r="AFM413" s="26"/>
      <c r="AFN413" s="26"/>
      <c r="AFO413" s="26"/>
      <c r="AFP413" s="26"/>
      <c r="AFQ413" s="26"/>
      <c r="AFR413" s="26"/>
      <c r="AFS413" s="26"/>
      <c r="AFT413" s="26"/>
      <c r="AFU413" s="26"/>
      <c r="AFV413" s="26"/>
      <c r="AFW413" s="26"/>
      <c r="AFX413" s="26"/>
      <c r="AFY413" s="26"/>
      <c r="AFZ413" s="26"/>
      <c r="AGA413" s="26"/>
      <c r="AGB413" s="26"/>
      <c r="AGC413" s="26"/>
      <c r="AGD413" s="26"/>
      <c r="AGE413" s="26"/>
      <c r="AGF413" s="26"/>
      <c r="AGG413" s="26"/>
      <c r="AGH413" s="26"/>
      <c r="AGI413" s="26"/>
      <c r="AGJ413" s="26"/>
      <c r="AGK413" s="26"/>
      <c r="AGL413" s="26"/>
      <c r="AGM413" s="26"/>
      <c r="AGN413" s="26"/>
      <c r="AGO413" s="26"/>
      <c r="AGP413" s="26"/>
      <c r="AGQ413" s="26"/>
      <c r="AGR413" s="26"/>
      <c r="AGS413" s="26"/>
      <c r="AGT413" s="26"/>
      <c r="AGU413" s="26"/>
      <c r="AGV413" s="26"/>
      <c r="AGW413" s="26"/>
      <c r="AGX413" s="26"/>
      <c r="AGY413" s="26"/>
      <c r="AGZ413" s="26"/>
      <c r="AHA413" s="26"/>
      <c r="AHB413" s="26"/>
      <c r="AHC413" s="26"/>
      <c r="AHD413" s="26"/>
      <c r="AHE413" s="26"/>
      <c r="AHF413" s="26"/>
      <c r="AHG413" s="26"/>
      <c r="AHH413" s="26"/>
      <c r="AHI413" s="26"/>
      <c r="AHJ413" s="26"/>
      <c r="AHK413" s="26"/>
      <c r="AHL413" s="26"/>
      <c r="AHM413" s="26"/>
      <c r="AHN413" s="26"/>
      <c r="AHO413" s="26"/>
      <c r="AHP413" s="26"/>
      <c r="AHQ413" s="26"/>
      <c r="AHR413" s="26"/>
      <c r="AHS413" s="26"/>
      <c r="AHT413" s="26"/>
      <c r="AHU413" s="26"/>
      <c r="AHV413" s="26"/>
      <c r="AHW413" s="26"/>
      <c r="AHX413" s="26"/>
      <c r="AHY413" s="26"/>
      <c r="AHZ413" s="26"/>
      <c r="AIA413" s="26"/>
      <c r="AIB413" s="26"/>
      <c r="AIC413" s="26"/>
      <c r="AID413" s="26"/>
      <c r="AIE413" s="26"/>
      <c r="AIF413" s="26"/>
      <c r="AIG413" s="26"/>
      <c r="AIH413" s="26"/>
      <c r="AII413" s="26"/>
      <c r="AIJ413" s="26"/>
      <c r="AIK413" s="26"/>
      <c r="AIL413" s="26"/>
      <c r="AIM413" s="26"/>
      <c r="AIN413" s="26"/>
      <c r="AIO413" s="26"/>
      <c r="AIP413" s="26"/>
      <c r="AIQ413" s="26"/>
      <c r="AIR413" s="26"/>
      <c r="AIS413" s="26"/>
      <c r="AIT413" s="26"/>
      <c r="AIU413" s="26"/>
      <c r="AIV413" s="26"/>
      <c r="AIW413" s="26"/>
      <c r="AIX413" s="26"/>
      <c r="AIY413" s="26"/>
      <c r="AIZ413" s="26"/>
      <c r="AJA413" s="26"/>
      <c r="AJB413" s="26"/>
      <c r="AJC413" s="26"/>
      <c r="AJD413" s="26"/>
      <c r="AJE413" s="26"/>
      <c r="AJF413" s="26"/>
      <c r="AJG413" s="26"/>
      <c r="AJH413" s="26"/>
      <c r="AJI413" s="26"/>
      <c r="AJJ413" s="26"/>
      <c r="AJK413" s="26"/>
      <c r="AJL413" s="26"/>
      <c r="AJM413" s="26"/>
      <c r="AJN413" s="26"/>
      <c r="AJO413" s="26"/>
      <c r="AJP413" s="26"/>
      <c r="AJQ413" s="26"/>
      <c r="AJR413" s="26"/>
      <c r="AJS413" s="26"/>
      <c r="AJT413" s="26"/>
      <c r="AJU413" s="26"/>
      <c r="AJV413" s="26"/>
      <c r="AJW413" s="26"/>
      <c r="AJX413" s="26"/>
      <c r="AJY413" s="26"/>
      <c r="AJZ413" s="26"/>
      <c r="AKA413" s="26"/>
      <c r="AKB413" s="26"/>
      <c r="AKC413" s="26"/>
      <c r="AKD413" s="26"/>
      <c r="AKE413" s="26"/>
      <c r="AKF413" s="26"/>
      <c r="AKG413" s="26"/>
      <c r="AKH413" s="26"/>
      <c r="AKI413" s="26"/>
      <c r="AKJ413" s="26"/>
      <c r="AKK413" s="26"/>
      <c r="AKL413" s="26"/>
      <c r="AKM413" s="26"/>
      <c r="AKN413" s="26"/>
      <c r="AKO413" s="26"/>
      <c r="AKP413" s="26"/>
      <c r="AKQ413" s="26"/>
      <c r="AKR413" s="26"/>
      <c r="AKS413" s="26"/>
      <c r="AKT413" s="26"/>
      <c r="AKU413" s="26"/>
      <c r="AKV413" s="26"/>
      <c r="AKW413" s="26"/>
      <c r="AKX413" s="26"/>
      <c r="AKY413" s="26"/>
      <c r="AKZ413" s="26"/>
      <c r="ALA413" s="26"/>
      <c r="ALB413" s="26"/>
      <c r="ALC413" s="26"/>
      <c r="ALD413" s="26"/>
      <c r="ALE413" s="26"/>
      <c r="ALF413" s="26"/>
      <c r="ALG413" s="26"/>
      <c r="ALH413" s="26"/>
      <c r="ALI413" s="26"/>
      <c r="ALJ413" s="26"/>
      <c r="ALK413" s="26"/>
      <c r="ALL413" s="26"/>
      <c r="ALM413" s="26"/>
      <c r="ALN413" s="26"/>
      <c r="ALO413" s="26"/>
      <c r="ALP413" s="26"/>
      <c r="ALQ413" s="26"/>
      <c r="ALR413" s="26"/>
      <c r="ALS413" s="26"/>
      <c r="ALT413" s="26"/>
      <c r="ALU413" s="26"/>
      <c r="ALV413" s="26"/>
      <c r="ALW413" s="26"/>
      <c r="ALX413" s="26"/>
      <c r="ALY413" s="26"/>
      <c r="ALZ413" s="26"/>
      <c r="AMA413" s="26"/>
      <c r="AMB413" s="26"/>
      <c r="AMC413" s="26"/>
      <c r="AMD413" s="26"/>
      <c r="AME413" s="26"/>
      <c r="AMF413" s="26"/>
      <c r="AMG413" s="26"/>
      <c r="AMH413" s="26"/>
      <c r="AMI413" s="26"/>
      <c r="AMJ413" s="26"/>
      <c r="AMK413" s="26"/>
      <c r="AML413" s="26"/>
      <c r="AMM413" s="26"/>
      <c r="AMN413" s="26"/>
      <c r="AMO413" s="26"/>
      <c r="AMP413" s="26"/>
      <c r="AMQ413" s="26"/>
      <c r="AMR413" s="26"/>
      <c r="AMS413" s="26"/>
      <c r="AMT413" s="26"/>
      <c r="AMU413" s="26"/>
      <c r="AMV413" s="26"/>
      <c r="AMW413" s="26"/>
      <c r="AMX413" s="26"/>
      <c r="AMY413" s="26"/>
      <c r="AMZ413" s="26"/>
      <c r="ANA413" s="26"/>
      <c r="ANB413" s="26"/>
      <c r="ANC413" s="26"/>
      <c r="AND413" s="26"/>
      <c r="ANE413" s="26"/>
      <c r="ANF413" s="26"/>
      <c r="ANG413" s="26"/>
      <c r="ANH413" s="26"/>
      <c r="ANI413" s="26"/>
      <c r="ANJ413" s="26"/>
      <c r="ANK413" s="26"/>
      <c r="ANL413" s="26"/>
      <c r="ANM413" s="26"/>
      <c r="ANN413" s="26"/>
      <c r="ANO413" s="26"/>
      <c r="ANP413" s="26"/>
      <c r="ANQ413" s="26"/>
      <c r="ANR413" s="26"/>
      <c r="ANS413" s="26"/>
      <c r="ANT413" s="26"/>
      <c r="ANU413" s="26"/>
      <c r="ANV413" s="26"/>
      <c r="ANW413" s="26"/>
      <c r="ANX413" s="26"/>
      <c r="ANY413" s="26"/>
      <c r="ANZ413" s="26"/>
      <c r="AOA413" s="26"/>
      <c r="AOB413" s="26"/>
      <c r="AOC413" s="26"/>
      <c r="AOD413" s="26"/>
      <c r="AOE413" s="26"/>
      <c r="AOF413" s="26"/>
      <c r="AOG413" s="26"/>
      <c r="AOH413" s="26"/>
      <c r="AOI413" s="26"/>
      <c r="AOJ413" s="26"/>
      <c r="AOK413" s="26"/>
      <c r="AOL413" s="26"/>
      <c r="AOM413" s="26"/>
      <c r="AON413" s="26"/>
      <c r="AOO413" s="26"/>
      <c r="AOP413" s="26"/>
      <c r="AOQ413" s="26"/>
      <c r="AOR413" s="26"/>
      <c r="AOS413" s="26"/>
      <c r="AOT413" s="26"/>
      <c r="AOU413" s="26"/>
      <c r="AOV413" s="26"/>
      <c r="AOW413" s="26"/>
      <c r="AOX413" s="26"/>
      <c r="AOY413" s="26"/>
      <c r="AOZ413" s="26"/>
      <c r="APA413" s="26"/>
      <c r="APB413" s="26"/>
      <c r="APC413" s="26"/>
      <c r="APD413" s="26"/>
      <c r="APE413" s="26"/>
      <c r="APF413" s="26"/>
      <c r="APG413" s="26"/>
      <c r="APH413" s="26"/>
      <c r="API413" s="26"/>
      <c r="APJ413" s="26"/>
      <c r="APK413" s="26"/>
      <c r="APL413" s="26"/>
      <c r="APM413" s="26"/>
      <c r="APN413" s="26"/>
      <c r="APO413" s="26"/>
      <c r="APP413" s="26"/>
      <c r="APQ413" s="26"/>
      <c r="APR413" s="26"/>
      <c r="APS413" s="26"/>
      <c r="APT413" s="26"/>
      <c r="APU413" s="26"/>
      <c r="APV413" s="26"/>
      <c r="APW413" s="26"/>
      <c r="APX413" s="26"/>
      <c r="APY413" s="26"/>
      <c r="APZ413" s="26"/>
      <c r="AQA413" s="26"/>
      <c r="AQB413" s="26"/>
      <c r="AQC413" s="26"/>
      <c r="AQD413" s="26"/>
      <c r="AQE413" s="26"/>
      <c r="AQF413" s="26"/>
      <c r="AQG413" s="26"/>
      <c r="AQH413" s="26"/>
      <c r="AQI413" s="26"/>
      <c r="AQJ413" s="26"/>
      <c r="AQK413" s="26"/>
      <c r="AQL413" s="26"/>
      <c r="AQM413" s="26"/>
      <c r="AQN413" s="26"/>
      <c r="AQO413" s="26"/>
      <c r="AQP413" s="26"/>
      <c r="AQQ413" s="26"/>
      <c r="AQR413" s="26"/>
      <c r="AQS413" s="26"/>
      <c r="AQT413" s="26"/>
      <c r="AQU413" s="26"/>
      <c r="AQV413" s="26"/>
      <c r="AQW413" s="26"/>
      <c r="AQX413" s="26"/>
      <c r="AQY413" s="26"/>
      <c r="AQZ413" s="26"/>
      <c r="ARA413" s="26"/>
      <c r="ARB413" s="26"/>
      <c r="ARC413" s="26"/>
      <c r="ARD413" s="26"/>
      <c r="ARE413" s="26"/>
      <c r="ARF413" s="26"/>
      <c r="ARG413" s="26"/>
      <c r="ARH413" s="26"/>
      <c r="ARI413" s="26"/>
      <c r="ARJ413" s="26"/>
      <c r="ARK413" s="26"/>
      <c r="ARL413" s="26"/>
      <c r="ARM413" s="26"/>
      <c r="ARN413" s="26"/>
      <c r="ARO413" s="26"/>
      <c r="ARP413" s="26"/>
      <c r="ARQ413" s="26"/>
      <c r="ARR413" s="26"/>
      <c r="ARS413" s="26"/>
      <c r="ART413" s="26"/>
      <c r="ARU413" s="26"/>
      <c r="ARV413" s="26"/>
      <c r="ARW413" s="26"/>
      <c r="ARX413" s="26"/>
      <c r="ARY413" s="26"/>
      <c r="ARZ413" s="26"/>
      <c r="ASA413" s="26"/>
      <c r="ASB413" s="26"/>
      <c r="ASC413" s="26"/>
      <c r="ASD413" s="26"/>
      <c r="ASE413" s="26"/>
      <c r="ASF413" s="26"/>
      <c r="ASG413" s="26"/>
      <c r="ASH413" s="26"/>
      <c r="ASI413" s="26"/>
      <c r="ASJ413" s="26"/>
      <c r="ASK413" s="26"/>
      <c r="ASL413" s="26"/>
      <c r="ASM413" s="26"/>
      <c r="ASN413" s="26"/>
      <c r="ASO413" s="26"/>
      <c r="ASP413" s="26"/>
      <c r="ASQ413" s="26"/>
      <c r="ASR413" s="26"/>
      <c r="ASS413" s="26"/>
      <c r="AST413" s="26"/>
      <c r="ASU413" s="26"/>
      <c r="ASV413" s="26"/>
      <c r="ASW413" s="26"/>
      <c r="ASX413" s="26"/>
      <c r="ASY413" s="26"/>
      <c r="ASZ413" s="26"/>
      <c r="ATA413" s="26"/>
      <c r="ATB413" s="26"/>
      <c r="ATC413" s="26"/>
      <c r="ATD413" s="26"/>
      <c r="ATE413" s="26"/>
      <c r="ATF413" s="26"/>
      <c r="ATG413" s="26"/>
      <c r="ATH413" s="26"/>
      <c r="ATI413" s="26"/>
      <c r="ATJ413" s="26"/>
      <c r="ATK413" s="26"/>
      <c r="ATL413" s="26"/>
      <c r="ATM413" s="26"/>
      <c r="ATN413" s="26"/>
      <c r="ATO413" s="26"/>
      <c r="ATP413" s="26"/>
      <c r="ATQ413" s="26"/>
      <c r="ATR413" s="26"/>
      <c r="ATS413" s="26"/>
      <c r="ATT413" s="26"/>
      <c r="ATU413" s="26"/>
      <c r="ATV413" s="26"/>
      <c r="ATW413" s="26"/>
      <c r="ATX413" s="26"/>
      <c r="ATY413" s="26"/>
      <c r="ATZ413" s="26"/>
      <c r="AUA413" s="26"/>
      <c r="AUB413" s="26"/>
      <c r="AUC413" s="26"/>
      <c r="AUD413" s="26"/>
      <c r="AUE413" s="26"/>
      <c r="AUF413" s="26"/>
      <c r="AUG413" s="26"/>
      <c r="AUH413" s="26"/>
      <c r="AUI413" s="26"/>
      <c r="AUJ413" s="26"/>
      <c r="AUK413" s="26"/>
      <c r="AUL413" s="26"/>
      <c r="AUM413" s="26"/>
      <c r="AUN413" s="26"/>
      <c r="AUO413" s="26"/>
      <c r="AUP413" s="26"/>
      <c r="AUQ413" s="26"/>
      <c r="AUR413" s="26"/>
      <c r="AUS413" s="26"/>
      <c r="AUT413" s="26"/>
      <c r="AUU413" s="26"/>
      <c r="AUV413" s="26"/>
      <c r="AUW413" s="26"/>
      <c r="AUX413" s="26"/>
      <c r="AUY413" s="26"/>
      <c r="AUZ413" s="26"/>
      <c r="AVA413" s="26"/>
      <c r="AVB413" s="26"/>
      <c r="AVC413" s="26"/>
      <c r="AVD413" s="26"/>
      <c r="AVE413" s="26"/>
      <c r="AVF413" s="26"/>
      <c r="AVG413" s="26"/>
      <c r="AVH413" s="26"/>
      <c r="AVI413" s="26"/>
      <c r="AVJ413" s="26"/>
      <c r="AVK413" s="26"/>
      <c r="AVL413" s="26"/>
      <c r="AVM413" s="26"/>
      <c r="AVN413" s="26"/>
      <c r="AVO413" s="26"/>
      <c r="AVP413" s="26"/>
      <c r="AVQ413" s="26"/>
      <c r="AVR413" s="26"/>
      <c r="AVS413" s="26"/>
      <c r="AVT413" s="26"/>
      <c r="AVU413" s="26"/>
      <c r="AVV413" s="26"/>
      <c r="AVW413" s="26"/>
      <c r="AVX413" s="26"/>
      <c r="AVY413" s="26"/>
      <c r="AVZ413" s="26"/>
      <c r="AWA413" s="26"/>
      <c r="AWB413" s="26"/>
      <c r="AWC413" s="26"/>
      <c r="AWD413" s="26"/>
      <c r="AWE413" s="26"/>
      <c r="AWF413" s="26"/>
      <c r="AWG413" s="26"/>
      <c r="AWH413" s="26"/>
      <c r="AWI413" s="26"/>
      <c r="AWJ413" s="26"/>
      <c r="AWK413" s="26"/>
      <c r="AWL413" s="26"/>
      <c r="AWM413" s="26"/>
      <c r="AWN413" s="26"/>
      <c r="AWO413" s="26"/>
      <c r="AWP413" s="26"/>
      <c r="AWQ413" s="26"/>
      <c r="AWR413" s="26"/>
      <c r="AWS413" s="26"/>
      <c r="AWT413" s="26"/>
      <c r="AWU413" s="26"/>
      <c r="AWV413" s="26"/>
      <c r="AWW413" s="26"/>
      <c r="AWX413" s="26"/>
      <c r="AWY413" s="26"/>
      <c r="AWZ413" s="26"/>
      <c r="AXA413" s="26"/>
      <c r="AXB413" s="26"/>
      <c r="AXC413" s="26"/>
      <c r="AXD413" s="26"/>
      <c r="AXE413" s="26"/>
      <c r="AXF413" s="26"/>
      <c r="AXG413" s="26"/>
      <c r="AXH413" s="26"/>
      <c r="AXI413" s="26"/>
      <c r="AXJ413" s="26"/>
      <c r="AXK413" s="26"/>
      <c r="AXL413" s="26"/>
      <c r="AXM413" s="26"/>
      <c r="AXN413" s="26"/>
      <c r="AXO413" s="26"/>
      <c r="AXP413" s="26"/>
      <c r="AXQ413" s="26"/>
      <c r="AXR413" s="26"/>
      <c r="AXS413" s="26"/>
      <c r="AXT413" s="26"/>
      <c r="AXU413" s="26"/>
      <c r="AXV413" s="26"/>
      <c r="AXW413" s="26"/>
      <c r="AXX413" s="26"/>
      <c r="AXY413" s="26"/>
      <c r="AXZ413" s="26"/>
      <c r="AYA413" s="26"/>
      <c r="AYB413" s="26"/>
      <c r="AYC413" s="26"/>
      <c r="AYD413" s="26"/>
      <c r="AYE413" s="26"/>
      <c r="AYF413" s="26"/>
      <c r="AYG413" s="26"/>
      <c r="AYH413" s="26"/>
      <c r="AYI413" s="26"/>
      <c r="AYJ413" s="26"/>
      <c r="AYK413" s="26"/>
      <c r="AYL413" s="26"/>
      <c r="AYM413" s="26"/>
      <c r="AYN413" s="26"/>
      <c r="AYO413" s="26"/>
      <c r="AYP413" s="26"/>
      <c r="AYQ413" s="26"/>
      <c r="AYR413" s="26"/>
      <c r="AYS413" s="26"/>
      <c r="AYT413" s="26"/>
      <c r="AYU413" s="26"/>
      <c r="AYV413" s="26"/>
      <c r="AYW413" s="26"/>
      <c r="AYX413" s="26"/>
      <c r="AYY413" s="26"/>
      <c r="AYZ413" s="26"/>
      <c r="AZA413" s="26"/>
      <c r="AZB413" s="26"/>
      <c r="AZC413" s="26"/>
      <c r="AZD413" s="26"/>
      <c r="AZE413" s="26"/>
      <c r="AZF413" s="26"/>
      <c r="AZG413" s="26"/>
      <c r="AZH413" s="26"/>
      <c r="AZI413" s="26"/>
      <c r="AZJ413" s="26"/>
      <c r="AZK413" s="26"/>
      <c r="AZL413" s="26"/>
      <c r="AZM413" s="26"/>
      <c r="AZN413" s="26"/>
      <c r="AZO413" s="26"/>
      <c r="AZP413" s="26"/>
      <c r="AZQ413" s="26"/>
      <c r="AZR413" s="26"/>
      <c r="AZS413" s="26"/>
      <c r="AZT413" s="26"/>
      <c r="AZU413" s="26"/>
      <c r="AZV413" s="26"/>
      <c r="AZW413" s="26"/>
      <c r="AZX413" s="26"/>
      <c r="AZY413" s="26"/>
      <c r="AZZ413" s="26"/>
      <c r="BAA413" s="26"/>
      <c r="BAB413" s="26"/>
      <c r="BAC413" s="26"/>
      <c r="BAD413" s="26"/>
      <c r="BAE413" s="26"/>
      <c r="BAF413" s="26"/>
      <c r="BAG413" s="26"/>
      <c r="BAH413" s="26"/>
      <c r="BAI413" s="26"/>
      <c r="BAJ413" s="26"/>
      <c r="BAK413" s="26"/>
      <c r="BAL413" s="26"/>
      <c r="BAM413" s="26"/>
      <c r="BAN413" s="26"/>
      <c r="BAO413" s="26"/>
      <c r="BAP413" s="26"/>
      <c r="BAQ413" s="26"/>
      <c r="BAR413" s="26"/>
      <c r="BAS413" s="26"/>
      <c r="BAT413" s="26"/>
      <c r="BAU413" s="26"/>
      <c r="BAV413" s="26"/>
      <c r="BAW413" s="26"/>
      <c r="BAX413" s="26"/>
      <c r="BAY413" s="26"/>
      <c r="BAZ413" s="26"/>
      <c r="BBA413" s="26"/>
      <c r="BBB413" s="26"/>
      <c r="BBC413" s="26"/>
      <c r="BBD413" s="26"/>
      <c r="BBE413" s="26"/>
      <c r="BBF413" s="26"/>
      <c r="BBG413" s="26"/>
      <c r="BBH413" s="26"/>
      <c r="BBI413" s="26"/>
      <c r="BBJ413" s="26"/>
      <c r="BBK413" s="26"/>
      <c r="BBL413" s="26"/>
      <c r="BBM413" s="26"/>
      <c r="BBN413" s="26"/>
      <c r="BBO413" s="26"/>
      <c r="BBP413" s="26"/>
      <c r="BBQ413" s="26"/>
      <c r="BBR413" s="26"/>
      <c r="BBS413" s="26"/>
      <c r="BBT413" s="26"/>
      <c r="BBU413" s="26"/>
      <c r="BBV413" s="26"/>
      <c r="BBW413" s="26"/>
      <c r="BBX413" s="26"/>
      <c r="BBY413" s="26"/>
      <c r="BBZ413" s="26"/>
      <c r="BCA413" s="26"/>
      <c r="BCB413" s="26"/>
      <c r="BCC413" s="26"/>
      <c r="BCD413" s="26"/>
      <c r="BCE413" s="26"/>
      <c r="BCF413" s="26"/>
      <c r="BCG413" s="26"/>
      <c r="BCH413" s="26"/>
      <c r="BCI413" s="26"/>
      <c r="BCJ413" s="26"/>
      <c r="BCK413" s="26"/>
      <c r="BCL413" s="26"/>
      <c r="BCM413" s="26"/>
      <c r="BCN413" s="26"/>
      <c r="BCO413" s="26"/>
      <c r="BCP413" s="26"/>
      <c r="BCQ413" s="26"/>
      <c r="BCR413" s="26"/>
      <c r="BCS413" s="26"/>
      <c r="BCT413" s="26"/>
      <c r="BCU413" s="26"/>
      <c r="BCV413" s="26"/>
      <c r="BCW413" s="26"/>
      <c r="BCX413" s="26"/>
      <c r="BCY413" s="26"/>
      <c r="BCZ413" s="26"/>
      <c r="BDA413" s="26"/>
      <c r="BDB413" s="26"/>
      <c r="BDC413" s="26"/>
      <c r="BDD413" s="26"/>
      <c r="BDE413" s="26"/>
      <c r="BDF413" s="26"/>
      <c r="BDG413" s="26"/>
      <c r="BDH413" s="26"/>
      <c r="BDI413" s="26"/>
      <c r="BDJ413" s="26"/>
      <c r="BDK413" s="26"/>
      <c r="BDL413" s="26"/>
      <c r="BDM413" s="26"/>
      <c r="BDN413" s="26"/>
      <c r="BDO413" s="26"/>
      <c r="BDP413" s="26"/>
      <c r="BDQ413" s="26"/>
      <c r="BDR413" s="26"/>
      <c r="BDS413" s="26"/>
      <c r="BDT413" s="26"/>
      <c r="BDU413" s="26"/>
      <c r="BDV413" s="26"/>
      <c r="BDW413" s="26"/>
      <c r="BDX413" s="26"/>
      <c r="BDY413" s="26"/>
      <c r="BDZ413" s="26"/>
      <c r="BEA413" s="26"/>
      <c r="BEB413" s="26"/>
      <c r="BEC413" s="26"/>
      <c r="BED413" s="26"/>
      <c r="BEE413" s="26"/>
      <c r="BEF413" s="26"/>
      <c r="BEG413" s="26"/>
      <c r="BEH413" s="26"/>
      <c r="BEI413" s="26"/>
      <c r="BEJ413" s="26"/>
      <c r="BEK413" s="26"/>
      <c r="BEL413" s="26"/>
      <c r="BEM413" s="26"/>
      <c r="BEN413" s="26"/>
      <c r="BEO413" s="26"/>
      <c r="BEP413" s="26"/>
      <c r="BEQ413" s="26"/>
      <c r="BER413" s="26"/>
      <c r="BES413" s="26"/>
      <c r="BET413" s="26"/>
      <c r="BEU413" s="26"/>
      <c r="BEV413" s="26"/>
      <c r="BEW413" s="26"/>
      <c r="BEX413" s="26"/>
      <c r="BEY413" s="26"/>
      <c r="BEZ413" s="26"/>
      <c r="BFA413" s="26"/>
      <c r="BFB413" s="26"/>
      <c r="BFC413" s="26"/>
      <c r="BFD413" s="26"/>
      <c r="BFE413" s="26"/>
      <c r="BFF413" s="26"/>
      <c r="BFG413" s="26"/>
      <c r="BFH413" s="26"/>
      <c r="BFI413" s="26"/>
      <c r="BFJ413" s="26"/>
      <c r="BFK413" s="26"/>
      <c r="BFL413" s="26"/>
      <c r="BFM413" s="26"/>
      <c r="BFN413" s="26"/>
      <c r="BFO413" s="26"/>
      <c r="BFP413" s="26"/>
      <c r="BFQ413" s="26"/>
      <c r="BFR413" s="26"/>
      <c r="BFS413" s="26"/>
      <c r="BFT413" s="26"/>
      <c r="BFU413" s="26"/>
      <c r="BFV413" s="26"/>
      <c r="BFW413" s="26"/>
      <c r="BFX413" s="26"/>
      <c r="BFY413" s="26"/>
      <c r="BFZ413" s="26"/>
      <c r="BGA413" s="26"/>
      <c r="BGB413" s="26"/>
      <c r="BGC413" s="26"/>
      <c r="BGD413" s="26"/>
      <c r="BGE413" s="26"/>
      <c r="BGF413" s="26"/>
      <c r="BGG413" s="26"/>
      <c r="BGH413" s="26"/>
      <c r="BGI413" s="26"/>
      <c r="BGJ413" s="26"/>
      <c r="BGK413" s="26"/>
      <c r="BGL413" s="26"/>
      <c r="BGM413" s="26"/>
      <c r="BGN413" s="26"/>
      <c r="BGO413" s="26"/>
      <c r="BGP413" s="26"/>
      <c r="BGQ413" s="26"/>
      <c r="BGR413" s="26"/>
      <c r="BGS413" s="26"/>
      <c r="BGT413" s="26"/>
      <c r="BGU413" s="26"/>
      <c r="BGV413" s="26"/>
      <c r="BGW413" s="26"/>
      <c r="BGX413" s="26"/>
      <c r="BGY413" s="26"/>
      <c r="BGZ413" s="26"/>
      <c r="BHA413" s="26"/>
      <c r="BHB413" s="26"/>
      <c r="BHC413" s="26"/>
      <c r="BHD413" s="26"/>
      <c r="BHE413" s="26"/>
      <c r="BHF413" s="26"/>
      <c r="BHG413" s="26"/>
      <c r="BHH413" s="26"/>
      <c r="BHI413" s="26"/>
      <c r="BHJ413" s="26"/>
      <c r="BHK413" s="26"/>
      <c r="BHL413" s="26"/>
      <c r="BHM413" s="26"/>
      <c r="BHN413" s="26"/>
      <c r="BHO413" s="26"/>
      <c r="BHP413" s="26"/>
      <c r="BHQ413" s="26"/>
      <c r="BHR413" s="26"/>
      <c r="BHS413" s="26"/>
      <c r="BHT413" s="26"/>
      <c r="BHU413" s="26"/>
      <c r="BHV413" s="26"/>
      <c r="BHW413" s="26"/>
      <c r="BHX413" s="26"/>
      <c r="BHY413" s="26"/>
      <c r="BHZ413" s="26"/>
      <c r="BIA413" s="26"/>
      <c r="BIB413" s="26"/>
      <c r="BIC413" s="26"/>
      <c r="BID413" s="26"/>
      <c r="BIE413" s="26"/>
      <c r="BIF413" s="26"/>
      <c r="BIG413" s="26"/>
      <c r="BIH413" s="26"/>
      <c r="BII413" s="26"/>
      <c r="BIJ413" s="26"/>
      <c r="BIK413" s="26"/>
      <c r="BIL413" s="26"/>
      <c r="BIM413" s="26"/>
      <c r="BIN413" s="26"/>
      <c r="BIO413" s="26"/>
      <c r="BIP413" s="26"/>
      <c r="BIQ413" s="26"/>
      <c r="BIR413" s="26"/>
      <c r="BIS413" s="26"/>
      <c r="BIT413" s="26"/>
      <c r="BIU413" s="26"/>
      <c r="BIV413" s="26"/>
      <c r="BIW413" s="26"/>
      <c r="BIX413" s="26"/>
      <c r="BIY413" s="26"/>
      <c r="BIZ413" s="26"/>
      <c r="BJA413" s="26"/>
      <c r="BJB413" s="26"/>
      <c r="BJC413" s="26"/>
      <c r="BJD413" s="26"/>
      <c r="BJE413" s="26"/>
      <c r="BJF413" s="26"/>
      <c r="BJG413" s="26"/>
      <c r="BJH413" s="26"/>
      <c r="BJI413" s="26"/>
      <c r="BJJ413" s="26"/>
      <c r="BJK413" s="26"/>
      <c r="BJL413" s="26"/>
      <c r="BJM413" s="26"/>
      <c r="BJN413" s="26"/>
      <c r="BJO413" s="26"/>
      <c r="BJP413" s="26"/>
      <c r="BJQ413" s="26"/>
      <c r="BJR413" s="26"/>
      <c r="BJS413" s="26"/>
      <c r="BJT413" s="26"/>
      <c r="BJU413" s="26"/>
      <c r="BJV413" s="26"/>
      <c r="BJW413" s="26"/>
      <c r="BJX413" s="26"/>
      <c r="BJY413" s="26"/>
      <c r="BJZ413" s="26"/>
      <c r="BKA413" s="26"/>
      <c r="BKB413" s="26"/>
      <c r="BKC413" s="26"/>
      <c r="BKD413" s="26"/>
      <c r="BKE413" s="26"/>
      <c r="BKF413" s="26"/>
      <c r="BKG413" s="26"/>
      <c r="BKH413" s="26"/>
      <c r="BKI413" s="26"/>
      <c r="BKJ413" s="26"/>
      <c r="BKK413" s="26"/>
      <c r="BKL413" s="26"/>
      <c r="BKM413" s="26"/>
      <c r="BKN413" s="26"/>
      <c r="BKO413" s="26"/>
      <c r="BKP413" s="26"/>
      <c r="BKQ413" s="26"/>
      <c r="BKR413" s="26"/>
      <c r="BKS413" s="26"/>
      <c r="BKT413" s="26"/>
      <c r="BKU413" s="26"/>
      <c r="BKV413" s="26"/>
      <c r="BKW413" s="26"/>
      <c r="BKX413" s="26"/>
      <c r="BKY413" s="26"/>
      <c r="BKZ413" s="26"/>
      <c r="BLA413" s="26"/>
      <c r="BLB413" s="26"/>
      <c r="BLC413" s="26"/>
      <c r="BLD413" s="26"/>
      <c r="BLE413" s="26"/>
      <c r="BLF413" s="26"/>
      <c r="BLG413" s="26"/>
      <c r="BLH413" s="26"/>
      <c r="BLI413" s="26"/>
      <c r="BLJ413" s="26"/>
      <c r="BLK413" s="26"/>
      <c r="BLL413" s="26"/>
      <c r="BLM413" s="26"/>
      <c r="BLN413" s="26"/>
      <c r="BLO413" s="26"/>
      <c r="BLP413" s="26"/>
      <c r="BLQ413" s="26"/>
      <c r="BLR413" s="26"/>
      <c r="BLS413" s="26"/>
      <c r="BLT413" s="26"/>
      <c r="BLU413" s="26"/>
      <c r="BLV413" s="26"/>
      <c r="BLW413" s="26"/>
      <c r="BLX413" s="26"/>
      <c r="BLY413" s="26"/>
      <c r="BLZ413" s="26"/>
      <c r="BMA413" s="26"/>
      <c r="BMB413" s="26"/>
      <c r="BMC413" s="26"/>
      <c r="BMD413" s="26"/>
      <c r="BME413" s="26"/>
      <c r="BMF413" s="26"/>
      <c r="BMG413" s="26"/>
      <c r="BMH413" s="26"/>
      <c r="BMI413" s="26"/>
      <c r="BMJ413" s="26"/>
      <c r="BMK413" s="26"/>
      <c r="BML413" s="26"/>
      <c r="BMM413" s="26"/>
      <c r="BMN413" s="26"/>
      <c r="BMO413" s="26"/>
      <c r="BMP413" s="26"/>
      <c r="BMQ413" s="26"/>
      <c r="BMR413" s="26"/>
      <c r="BMS413" s="26"/>
      <c r="BMT413" s="26"/>
      <c r="BMU413" s="26"/>
      <c r="BMV413" s="26"/>
      <c r="BMW413" s="26"/>
      <c r="BMX413" s="26"/>
      <c r="BMY413" s="26"/>
      <c r="BMZ413" s="26"/>
      <c r="BNA413" s="26"/>
      <c r="BNB413" s="26"/>
      <c r="BNC413" s="26"/>
      <c r="BND413" s="26"/>
      <c r="BNE413" s="26"/>
      <c r="BNF413" s="26"/>
      <c r="BNG413" s="26"/>
      <c r="BNH413" s="26"/>
      <c r="BNI413" s="26"/>
      <c r="BNJ413" s="26"/>
      <c r="BNK413" s="26"/>
      <c r="BNL413" s="26"/>
      <c r="BNM413" s="26"/>
      <c r="BNN413" s="26"/>
      <c r="BNO413" s="26"/>
      <c r="BNP413" s="26"/>
      <c r="BNQ413" s="26"/>
      <c r="BNR413" s="26"/>
      <c r="BNS413" s="26"/>
      <c r="BNT413" s="26"/>
      <c r="BNU413" s="26"/>
      <c r="BNV413" s="26"/>
      <c r="BNW413" s="26"/>
      <c r="BNX413" s="26"/>
      <c r="BNY413" s="26"/>
      <c r="BNZ413" s="26"/>
      <c r="BOA413" s="26"/>
      <c r="BOB413" s="26"/>
      <c r="BOC413" s="26"/>
      <c r="BOD413" s="26"/>
      <c r="BOE413" s="26"/>
      <c r="BOF413" s="26"/>
      <c r="BOG413" s="26"/>
      <c r="BOH413" s="26"/>
      <c r="BOI413" s="26"/>
      <c r="BOJ413" s="26"/>
      <c r="BOK413" s="26"/>
      <c r="BOL413" s="26"/>
      <c r="BOM413" s="26"/>
      <c r="BON413" s="26"/>
      <c r="BOO413" s="26"/>
      <c r="BOP413" s="26"/>
      <c r="BOQ413" s="26"/>
      <c r="BOR413" s="26"/>
      <c r="BOS413" s="26"/>
      <c r="BOT413" s="26"/>
      <c r="BOU413" s="26"/>
      <c r="BOV413" s="26"/>
      <c r="BOW413" s="26"/>
      <c r="BOX413" s="26"/>
      <c r="BOY413" s="26"/>
      <c r="BOZ413" s="26"/>
      <c r="BPA413" s="26"/>
      <c r="BPB413" s="26"/>
      <c r="BPC413" s="26"/>
      <c r="BPD413" s="26"/>
      <c r="BPE413" s="26"/>
      <c r="BPF413" s="26"/>
      <c r="BPG413" s="26"/>
      <c r="BPH413" s="26"/>
      <c r="BPI413" s="26"/>
      <c r="BPJ413" s="26"/>
      <c r="BPK413" s="26"/>
      <c r="BPL413" s="26"/>
      <c r="BPM413" s="26"/>
      <c r="BPN413" s="26"/>
      <c r="BPO413" s="26"/>
      <c r="BPP413" s="26"/>
      <c r="BPQ413" s="26"/>
      <c r="BPR413" s="26"/>
      <c r="BPS413" s="26"/>
      <c r="BPT413" s="26"/>
      <c r="BPU413" s="26"/>
      <c r="BPV413" s="26"/>
      <c r="BPW413" s="26"/>
      <c r="BPX413" s="26"/>
      <c r="BPY413" s="26"/>
      <c r="BPZ413" s="26"/>
      <c r="BQA413" s="26"/>
      <c r="BQB413" s="26"/>
      <c r="BQC413" s="26"/>
      <c r="BQD413" s="26"/>
      <c r="BQE413" s="26"/>
      <c r="BQF413" s="26"/>
      <c r="BQG413" s="26"/>
      <c r="BQH413" s="26"/>
      <c r="BQI413" s="26"/>
      <c r="BQJ413" s="26"/>
      <c r="BQK413" s="26"/>
      <c r="BQL413" s="26"/>
      <c r="BQM413" s="26"/>
      <c r="BQN413" s="26"/>
      <c r="BQO413" s="26"/>
      <c r="BQP413" s="26"/>
      <c r="BQQ413" s="26"/>
      <c r="BQR413" s="26"/>
      <c r="BQS413" s="26"/>
      <c r="BQT413" s="26"/>
      <c r="BQU413" s="26"/>
      <c r="BQV413" s="26"/>
      <c r="BQW413" s="26"/>
      <c r="BQX413" s="26"/>
      <c r="BQY413" s="26"/>
      <c r="BQZ413" s="26"/>
      <c r="BRA413" s="26"/>
      <c r="BRB413" s="26"/>
      <c r="BRC413" s="26"/>
      <c r="BRD413" s="26"/>
      <c r="BRE413" s="26"/>
      <c r="BRF413" s="26"/>
      <c r="BRG413" s="26"/>
      <c r="BRH413" s="26"/>
      <c r="BRI413" s="26"/>
      <c r="BRJ413" s="26"/>
      <c r="BRK413" s="26"/>
      <c r="BRL413" s="26"/>
      <c r="BRM413" s="26"/>
      <c r="BRN413" s="26"/>
      <c r="BRO413" s="26"/>
      <c r="BRP413" s="26"/>
      <c r="BRQ413" s="26"/>
      <c r="BRR413" s="26"/>
      <c r="BRS413" s="26"/>
      <c r="BRT413" s="26"/>
      <c r="BRU413" s="26"/>
      <c r="BRV413" s="26"/>
      <c r="BRW413" s="26"/>
      <c r="BRX413" s="26"/>
      <c r="BRY413" s="26"/>
      <c r="BRZ413" s="26"/>
      <c r="BSA413" s="26"/>
      <c r="BSB413" s="26"/>
      <c r="BSC413" s="26"/>
      <c r="BSD413" s="26"/>
      <c r="BSE413" s="26"/>
      <c r="BSF413" s="26"/>
      <c r="BSG413" s="26"/>
      <c r="BSH413" s="26"/>
      <c r="BSI413" s="26"/>
      <c r="BSJ413" s="26"/>
      <c r="BSK413" s="26"/>
      <c r="BSL413" s="26"/>
      <c r="BSM413" s="26"/>
      <c r="BSN413" s="26"/>
      <c r="BSO413" s="26"/>
      <c r="BSP413" s="26"/>
      <c r="BSQ413" s="26"/>
      <c r="BSR413" s="26"/>
      <c r="BSS413" s="26"/>
      <c r="BST413" s="26"/>
      <c r="BSU413" s="26"/>
      <c r="BSV413" s="26"/>
      <c r="BSW413" s="26"/>
      <c r="BSX413" s="26"/>
      <c r="BSY413" s="26"/>
      <c r="BSZ413" s="26"/>
      <c r="BTA413" s="26"/>
      <c r="BTB413" s="26"/>
      <c r="BTC413" s="26"/>
      <c r="BTD413" s="26"/>
      <c r="BTE413" s="26"/>
      <c r="BTF413" s="26"/>
      <c r="BTG413" s="26"/>
      <c r="BTH413" s="26"/>
      <c r="BTI413" s="26"/>
      <c r="BTJ413" s="26"/>
      <c r="BTK413" s="26"/>
      <c r="BTL413" s="26"/>
      <c r="BTM413" s="26"/>
      <c r="BTN413" s="26"/>
      <c r="BTO413" s="26"/>
      <c r="BTP413" s="26"/>
      <c r="BTQ413" s="26"/>
      <c r="BTR413" s="26"/>
      <c r="BTS413" s="26"/>
      <c r="BTT413" s="26"/>
      <c r="BTU413" s="26"/>
      <c r="BTV413" s="26"/>
      <c r="BTW413" s="26"/>
      <c r="BTX413" s="26"/>
      <c r="BTY413" s="26"/>
      <c r="BTZ413" s="26"/>
      <c r="BUA413" s="26"/>
      <c r="BUB413" s="26"/>
      <c r="BUC413" s="26"/>
      <c r="BUD413" s="26"/>
      <c r="BUE413" s="26"/>
      <c r="BUF413" s="26"/>
      <c r="BUG413" s="26"/>
      <c r="BUH413" s="26"/>
      <c r="BUI413" s="26"/>
      <c r="BUJ413" s="26"/>
      <c r="BUK413" s="26"/>
      <c r="BUL413" s="26"/>
      <c r="BUM413" s="26"/>
      <c r="BUN413" s="26"/>
      <c r="BUO413" s="26"/>
      <c r="BUP413" s="26"/>
      <c r="BUQ413" s="26"/>
      <c r="BUR413" s="26"/>
      <c r="BUS413" s="26"/>
      <c r="BUT413" s="26"/>
      <c r="BUU413" s="26"/>
      <c r="BUV413" s="26"/>
      <c r="BUW413" s="26"/>
      <c r="BUX413" s="26"/>
      <c r="BUY413" s="26"/>
      <c r="BUZ413" s="26"/>
      <c r="BVA413" s="26"/>
      <c r="BVB413" s="26"/>
      <c r="BVC413" s="26"/>
      <c r="BVD413" s="26"/>
      <c r="BVE413" s="26"/>
      <c r="BVF413" s="26"/>
      <c r="BVG413" s="26"/>
      <c r="BVH413" s="26"/>
      <c r="BVI413" s="26"/>
      <c r="BVJ413" s="26"/>
      <c r="BVK413" s="26"/>
      <c r="BVL413" s="26"/>
      <c r="BVM413" s="26"/>
      <c r="BVN413" s="26"/>
      <c r="BVO413" s="26"/>
      <c r="BVP413" s="26"/>
      <c r="BVQ413" s="26"/>
      <c r="BVR413" s="26"/>
      <c r="BVS413" s="26"/>
      <c r="BVT413" s="26"/>
      <c r="BVU413" s="26"/>
      <c r="BVV413" s="26"/>
      <c r="BVW413" s="26"/>
      <c r="BVX413" s="26"/>
      <c r="BVY413" s="26"/>
      <c r="BVZ413" s="26"/>
      <c r="BWA413" s="26"/>
      <c r="BWB413" s="26"/>
      <c r="BWC413" s="26"/>
      <c r="BWD413" s="26"/>
      <c r="BWE413" s="26"/>
      <c r="BWF413" s="26"/>
      <c r="BWG413" s="26"/>
      <c r="BWH413" s="26"/>
      <c r="BWI413" s="26"/>
      <c r="BWJ413" s="26"/>
      <c r="BWK413" s="26"/>
      <c r="BWL413" s="26"/>
      <c r="BWM413" s="26"/>
      <c r="BWN413" s="26"/>
      <c r="BWO413" s="26"/>
      <c r="BWP413" s="26"/>
      <c r="BWQ413" s="26"/>
      <c r="BWR413" s="26"/>
      <c r="BWS413" s="26"/>
      <c r="BWT413" s="26"/>
      <c r="BWU413" s="26"/>
      <c r="BWV413" s="26"/>
      <c r="BWW413" s="26"/>
      <c r="BWX413" s="26"/>
      <c r="BWY413" s="26"/>
      <c r="BWZ413" s="26"/>
      <c r="BXA413" s="26"/>
      <c r="BXB413" s="26"/>
      <c r="BXC413" s="26"/>
      <c r="BXD413" s="26"/>
      <c r="BXE413" s="26"/>
      <c r="BXF413" s="26"/>
      <c r="BXG413" s="26"/>
      <c r="BXH413" s="26"/>
      <c r="BXI413" s="26"/>
      <c r="BXJ413" s="26"/>
      <c r="BXK413" s="26"/>
      <c r="BXL413" s="26"/>
      <c r="BXM413" s="26"/>
      <c r="BXN413" s="26"/>
      <c r="BXO413" s="26"/>
      <c r="BXP413" s="26"/>
      <c r="BXQ413" s="26"/>
      <c r="BXR413" s="26"/>
      <c r="BXS413" s="26"/>
      <c r="BXT413" s="26"/>
      <c r="BXU413" s="26"/>
      <c r="BXV413" s="26"/>
      <c r="BXW413" s="26"/>
      <c r="BXX413" s="26"/>
      <c r="BXY413" s="26"/>
      <c r="BXZ413" s="26"/>
      <c r="BYA413" s="26"/>
      <c r="BYB413" s="26"/>
      <c r="BYC413" s="26"/>
      <c r="BYD413" s="26"/>
      <c r="BYE413" s="26"/>
      <c r="BYF413" s="26"/>
      <c r="BYG413" s="26"/>
      <c r="BYH413" s="26"/>
      <c r="BYI413" s="26"/>
      <c r="BYJ413" s="26"/>
      <c r="BYK413" s="26"/>
      <c r="BYL413" s="26"/>
      <c r="BYM413" s="26"/>
      <c r="BYN413" s="26"/>
      <c r="BYO413" s="26"/>
      <c r="BYP413" s="26"/>
      <c r="BYQ413" s="26"/>
      <c r="BYR413" s="26"/>
      <c r="BYS413" s="26"/>
      <c r="BYT413" s="26"/>
      <c r="BYU413" s="26"/>
      <c r="BYV413" s="26"/>
      <c r="BYW413" s="26"/>
      <c r="BYX413" s="26"/>
      <c r="BYY413" s="26"/>
      <c r="BYZ413" s="26"/>
      <c r="BZA413" s="26"/>
      <c r="BZB413" s="26"/>
      <c r="BZC413" s="26"/>
      <c r="BZD413" s="26"/>
      <c r="BZE413" s="26"/>
      <c r="BZF413" s="26"/>
      <c r="BZG413" s="26"/>
      <c r="BZH413" s="26"/>
      <c r="BZI413" s="26"/>
      <c r="BZJ413" s="26"/>
      <c r="BZK413" s="26"/>
      <c r="BZL413" s="26"/>
      <c r="BZM413" s="26"/>
      <c r="BZN413" s="26"/>
      <c r="BZO413" s="26"/>
      <c r="BZP413" s="26"/>
      <c r="BZQ413" s="26"/>
      <c r="BZR413" s="26"/>
      <c r="BZS413" s="26"/>
      <c r="BZT413" s="26"/>
      <c r="BZU413" s="26"/>
      <c r="BZV413" s="26"/>
      <c r="BZW413" s="26"/>
      <c r="BZX413" s="26"/>
      <c r="BZY413" s="26"/>
      <c r="BZZ413" s="26"/>
      <c r="CAA413" s="26"/>
      <c r="CAB413" s="26"/>
      <c r="CAC413" s="26"/>
      <c r="CAD413" s="26"/>
      <c r="CAE413" s="26"/>
      <c r="CAF413" s="26"/>
      <c r="CAG413" s="26"/>
      <c r="CAH413" s="26"/>
      <c r="CAI413" s="26"/>
      <c r="CAJ413" s="26"/>
      <c r="CAK413" s="26"/>
      <c r="CAL413" s="26"/>
      <c r="CAM413" s="26"/>
      <c r="CAN413" s="26"/>
      <c r="CAO413" s="26"/>
      <c r="CAP413" s="26"/>
      <c r="CAQ413" s="26"/>
      <c r="CAR413" s="26"/>
      <c r="CAS413" s="26"/>
      <c r="CAT413" s="26"/>
      <c r="CAU413" s="26"/>
      <c r="CAV413" s="26"/>
      <c r="CAW413" s="26"/>
      <c r="CAX413" s="26"/>
      <c r="CAY413" s="26"/>
      <c r="CAZ413" s="26"/>
      <c r="CBA413" s="26"/>
      <c r="CBB413" s="26"/>
      <c r="CBC413" s="26"/>
      <c r="CBD413" s="26"/>
      <c r="CBE413" s="26"/>
      <c r="CBF413" s="26"/>
      <c r="CBG413" s="26"/>
      <c r="CBH413" s="26"/>
      <c r="CBI413" s="26"/>
    </row>
    <row r="414" spans="1:2089" ht="14" customHeight="1">
      <c r="A414" s="27">
        <v>413</v>
      </c>
      <c r="B414" s="27" t="s">
        <v>460</v>
      </c>
      <c r="C414" s="27">
        <v>2006</v>
      </c>
      <c r="D414" s="26" t="s">
        <v>69</v>
      </c>
      <c r="E414" s="26" t="s">
        <v>565</v>
      </c>
      <c r="F414" s="82" t="s">
        <v>175</v>
      </c>
      <c r="G414" s="2" t="s">
        <v>106</v>
      </c>
      <c r="H414" s="2" t="s">
        <v>24</v>
      </c>
      <c r="I414" s="2" t="s">
        <v>548</v>
      </c>
      <c r="J414" s="2" t="s">
        <v>604</v>
      </c>
      <c r="K414" s="2" t="s">
        <v>548</v>
      </c>
      <c r="L414" s="2" t="s">
        <v>548</v>
      </c>
      <c r="M414" s="2" t="s">
        <v>175</v>
      </c>
      <c r="N414" s="2" t="s">
        <v>70</v>
      </c>
      <c r="O414" s="2" t="s">
        <v>209</v>
      </c>
      <c r="P414" s="2" t="s">
        <v>612</v>
      </c>
      <c r="Q414" s="2" t="s">
        <v>42</v>
      </c>
      <c r="R414" s="102" t="s">
        <v>614</v>
      </c>
      <c r="S414" s="88">
        <f>8/15</f>
        <v>0.53333333333333333</v>
      </c>
      <c r="T414" s="26">
        <v>15</v>
      </c>
      <c r="U414" s="82">
        <v>1</v>
      </c>
      <c r="V414" s="26">
        <v>0</v>
      </c>
      <c r="W414" s="26">
        <v>1</v>
      </c>
      <c r="X414" s="26">
        <v>0</v>
      </c>
      <c r="Y414" s="26">
        <v>0</v>
      </c>
      <c r="Z414" s="26">
        <v>0</v>
      </c>
      <c r="AA414" s="26">
        <v>0</v>
      </c>
      <c r="AB414" s="26">
        <v>0</v>
      </c>
      <c r="AC414" s="26" t="s">
        <v>70</v>
      </c>
      <c r="AD414" s="26" t="s">
        <v>70</v>
      </c>
      <c r="AE414" s="26" t="s">
        <v>70</v>
      </c>
      <c r="AF414" s="26" t="s">
        <v>70</v>
      </c>
      <c r="AG414" s="26" t="s">
        <v>70</v>
      </c>
      <c r="AH414" s="26" t="s">
        <v>70</v>
      </c>
      <c r="AI414" s="26" t="s">
        <v>70</v>
      </c>
      <c r="AJ414" s="26" t="s">
        <v>112</v>
      </c>
      <c r="AK414" s="26" t="s">
        <v>70</v>
      </c>
      <c r="AL414" s="26" t="s">
        <v>70</v>
      </c>
      <c r="AM414" s="35" t="s">
        <v>548</v>
      </c>
      <c r="AN414" s="32" t="s">
        <v>274</v>
      </c>
      <c r="AO414" s="35" t="s">
        <v>175</v>
      </c>
      <c r="AP414" s="35" t="s">
        <v>548</v>
      </c>
      <c r="AQ414" s="35" t="s">
        <v>548</v>
      </c>
      <c r="AR414" s="35" t="s">
        <v>548</v>
      </c>
      <c r="AS414" s="38" t="s">
        <v>175</v>
      </c>
      <c r="AT414" s="26" t="s">
        <v>70</v>
      </c>
      <c r="AU414" s="26" t="s">
        <v>70</v>
      </c>
      <c r="AV414" s="26">
        <v>4</v>
      </c>
    </row>
    <row r="415" spans="1:2089" ht="14" customHeight="1">
      <c r="A415" s="27">
        <v>414</v>
      </c>
      <c r="B415" s="27" t="s">
        <v>461</v>
      </c>
      <c r="C415" s="27">
        <v>1993</v>
      </c>
      <c r="D415" s="26" t="s">
        <v>146</v>
      </c>
      <c r="E415" s="26" t="s">
        <v>566</v>
      </c>
      <c r="F415" s="77" t="s">
        <v>175</v>
      </c>
      <c r="G415" s="2" t="s">
        <v>42</v>
      </c>
      <c r="H415" s="2" t="s">
        <v>24</v>
      </c>
      <c r="I415" s="2" t="s">
        <v>548</v>
      </c>
      <c r="J415" s="2" t="s">
        <v>189</v>
      </c>
      <c r="K415" s="2" t="s">
        <v>548</v>
      </c>
      <c r="L415" s="2" t="s">
        <v>548</v>
      </c>
      <c r="M415" s="2" t="s">
        <v>175</v>
      </c>
      <c r="N415" s="2" t="s">
        <v>210</v>
      </c>
      <c r="O415" s="2" t="s">
        <v>43</v>
      </c>
      <c r="P415" s="2" t="s">
        <v>210</v>
      </c>
      <c r="Q415" s="2" t="s">
        <v>42</v>
      </c>
      <c r="R415" s="79" t="s">
        <v>613</v>
      </c>
      <c r="S415" s="26">
        <v>0.52215999999999996</v>
      </c>
      <c r="T415" s="26">
        <v>250</v>
      </c>
      <c r="U415" s="77">
        <v>1</v>
      </c>
      <c r="V415" s="26">
        <v>0</v>
      </c>
      <c r="W415" s="26">
        <v>1</v>
      </c>
      <c r="X415" s="26">
        <v>0</v>
      </c>
      <c r="Y415" s="26">
        <v>0</v>
      </c>
      <c r="Z415" s="26">
        <v>0</v>
      </c>
      <c r="AA415" s="26">
        <v>0</v>
      </c>
      <c r="AB415" s="26">
        <v>0</v>
      </c>
      <c r="AC415" s="26" t="s">
        <v>70</v>
      </c>
      <c r="AD415" s="26" t="s">
        <v>70</v>
      </c>
      <c r="AE415" s="26" t="s">
        <v>70</v>
      </c>
      <c r="AF415" s="26" t="s">
        <v>70</v>
      </c>
      <c r="AG415" s="26" t="s">
        <v>70</v>
      </c>
      <c r="AH415" s="26" t="s">
        <v>70</v>
      </c>
      <c r="AI415" s="26" t="s">
        <v>70</v>
      </c>
      <c r="AJ415" s="26" t="s">
        <v>70</v>
      </c>
      <c r="AK415" s="26" t="s">
        <v>70</v>
      </c>
      <c r="AL415" s="26" t="s">
        <v>70</v>
      </c>
      <c r="AM415" s="35" t="s">
        <v>548</v>
      </c>
      <c r="AN415" s="26" t="s">
        <v>274</v>
      </c>
      <c r="AO415" s="35" t="s">
        <v>175</v>
      </c>
      <c r="AP415" s="35" t="s">
        <v>548</v>
      </c>
      <c r="AQ415" s="35" t="s">
        <v>548</v>
      </c>
      <c r="AR415" s="35" t="s">
        <v>548</v>
      </c>
      <c r="AS415" s="38" t="s">
        <v>175</v>
      </c>
      <c r="AT415" s="26" t="s">
        <v>70</v>
      </c>
      <c r="AU415" s="26" t="s">
        <v>70</v>
      </c>
      <c r="AV415" s="26">
        <v>4</v>
      </c>
    </row>
    <row r="416" spans="1:2089" ht="14" customHeight="1">
      <c r="A416" s="27">
        <v>415</v>
      </c>
      <c r="B416" s="27" t="s">
        <v>461</v>
      </c>
      <c r="C416" s="27">
        <v>1993</v>
      </c>
      <c r="D416" s="26" t="s">
        <v>146</v>
      </c>
      <c r="E416" s="26" t="s">
        <v>566</v>
      </c>
      <c r="F416" s="77" t="s">
        <v>175</v>
      </c>
      <c r="G416" s="2" t="s">
        <v>42</v>
      </c>
      <c r="H416" s="2" t="s">
        <v>24</v>
      </c>
      <c r="I416" s="2" t="s">
        <v>548</v>
      </c>
      <c r="J416" s="2" t="s">
        <v>189</v>
      </c>
      <c r="K416" s="2" t="s">
        <v>548</v>
      </c>
      <c r="L416" s="2" t="s">
        <v>548</v>
      </c>
      <c r="M416" s="2" t="s">
        <v>175</v>
      </c>
      <c r="N416" s="2" t="s">
        <v>209</v>
      </c>
      <c r="O416" s="2" t="s">
        <v>209</v>
      </c>
      <c r="P416" s="2" t="s">
        <v>620</v>
      </c>
      <c r="Q416" s="2" t="s">
        <v>42</v>
      </c>
      <c r="R416" s="79" t="s">
        <v>613</v>
      </c>
      <c r="S416" s="90">
        <v>1</v>
      </c>
      <c r="T416" s="26">
        <v>167</v>
      </c>
      <c r="U416" s="77">
        <v>1</v>
      </c>
      <c r="V416" s="26">
        <v>0</v>
      </c>
      <c r="W416" s="26">
        <v>1</v>
      </c>
      <c r="X416" s="26">
        <v>0</v>
      </c>
      <c r="Y416" s="26">
        <v>0</v>
      </c>
      <c r="Z416" s="26">
        <v>0</v>
      </c>
      <c r="AA416" s="26">
        <v>0</v>
      </c>
      <c r="AB416" s="26">
        <v>0</v>
      </c>
      <c r="AC416" s="26" t="s">
        <v>70</v>
      </c>
      <c r="AD416" s="26" t="s">
        <v>70</v>
      </c>
      <c r="AE416" s="26" t="s">
        <v>70</v>
      </c>
      <c r="AF416" s="26" t="s">
        <v>70</v>
      </c>
      <c r="AG416" s="26" t="s">
        <v>70</v>
      </c>
      <c r="AH416" s="26" t="s">
        <v>70</v>
      </c>
      <c r="AI416" s="26" t="s">
        <v>70</v>
      </c>
      <c r="AJ416" s="26" t="s">
        <v>70</v>
      </c>
      <c r="AK416" s="26" t="s">
        <v>70</v>
      </c>
      <c r="AL416" s="26" t="s">
        <v>70</v>
      </c>
      <c r="AM416" s="35" t="s">
        <v>548</v>
      </c>
      <c r="AN416" s="26" t="s">
        <v>274</v>
      </c>
      <c r="AO416" s="35" t="s">
        <v>175</v>
      </c>
      <c r="AP416" s="35" t="s">
        <v>548</v>
      </c>
      <c r="AQ416" s="35" t="s">
        <v>548</v>
      </c>
      <c r="AR416" s="35" t="s">
        <v>548</v>
      </c>
      <c r="AS416" s="38" t="s">
        <v>175</v>
      </c>
      <c r="AT416" s="26" t="s">
        <v>70</v>
      </c>
      <c r="AU416" s="26" t="s">
        <v>70</v>
      </c>
      <c r="AV416" s="26">
        <v>4</v>
      </c>
    </row>
    <row r="417" spans="1:48" ht="14" customHeight="1">
      <c r="A417" s="27">
        <v>416</v>
      </c>
      <c r="B417" s="27" t="s">
        <v>462</v>
      </c>
      <c r="C417" s="37">
        <v>2006</v>
      </c>
      <c r="D417" s="26" t="s">
        <v>25</v>
      </c>
      <c r="E417" s="26" t="s">
        <v>565</v>
      </c>
      <c r="F417" s="77" t="s">
        <v>175</v>
      </c>
      <c r="G417" s="2" t="s">
        <v>105</v>
      </c>
      <c r="H417" s="2" t="s">
        <v>24</v>
      </c>
      <c r="I417" s="2" t="s">
        <v>548</v>
      </c>
      <c r="J417" s="2" t="s">
        <v>603</v>
      </c>
      <c r="K417" s="2" t="s">
        <v>548</v>
      </c>
      <c r="L417" s="2" t="s">
        <v>548</v>
      </c>
      <c r="M417" s="2" t="s">
        <v>175</v>
      </c>
      <c r="N417" s="2" t="s">
        <v>210</v>
      </c>
      <c r="O417" s="2" t="s">
        <v>43</v>
      </c>
      <c r="P417" s="2" t="s">
        <v>210</v>
      </c>
      <c r="Q417" s="2" t="s">
        <v>42</v>
      </c>
      <c r="R417" s="79" t="s">
        <v>613</v>
      </c>
      <c r="S417" s="2" t="s">
        <v>70</v>
      </c>
      <c r="T417" s="26">
        <v>194</v>
      </c>
      <c r="U417" s="77">
        <v>1</v>
      </c>
      <c r="V417" s="26">
        <v>1</v>
      </c>
      <c r="W417" s="26">
        <v>1</v>
      </c>
      <c r="X417" s="26">
        <v>1</v>
      </c>
      <c r="Y417" s="26">
        <v>1</v>
      </c>
      <c r="Z417" s="26">
        <v>0</v>
      </c>
      <c r="AA417" s="26">
        <v>0</v>
      </c>
      <c r="AB417" s="26">
        <v>0</v>
      </c>
      <c r="AC417" s="26" t="s">
        <v>70</v>
      </c>
      <c r="AD417" s="26" t="s">
        <v>70</v>
      </c>
      <c r="AE417" s="26" t="s">
        <v>70</v>
      </c>
      <c r="AF417" s="26" t="s">
        <v>70</v>
      </c>
      <c r="AG417" s="33">
        <v>6.1</v>
      </c>
      <c r="AH417" s="33" t="s">
        <v>70</v>
      </c>
      <c r="AI417" s="33" t="s">
        <v>70</v>
      </c>
      <c r="AJ417" s="26" t="s">
        <v>70</v>
      </c>
      <c r="AK417" s="33" t="s">
        <v>70</v>
      </c>
      <c r="AL417" s="33" t="s">
        <v>70</v>
      </c>
      <c r="AM417" s="35" t="s">
        <v>175</v>
      </c>
      <c r="AN417" s="32" t="s">
        <v>9</v>
      </c>
      <c r="AO417" s="35" t="s">
        <v>175</v>
      </c>
      <c r="AP417" s="35" t="s">
        <v>548</v>
      </c>
      <c r="AQ417" s="35" t="s">
        <v>548</v>
      </c>
      <c r="AR417" s="35" t="s">
        <v>548</v>
      </c>
      <c r="AS417" s="26" t="s">
        <v>175</v>
      </c>
      <c r="AT417" s="26" t="s">
        <v>70</v>
      </c>
      <c r="AU417" s="26" t="s">
        <v>70</v>
      </c>
      <c r="AV417" s="26">
        <v>8</v>
      </c>
    </row>
    <row r="418" spans="1:48" ht="14" customHeight="1">
      <c r="A418" s="27">
        <v>417</v>
      </c>
      <c r="B418" s="27" t="s">
        <v>463</v>
      </c>
      <c r="C418" s="37">
        <v>2009</v>
      </c>
      <c r="D418" s="26" t="s">
        <v>25</v>
      </c>
      <c r="E418" s="26" t="s">
        <v>565</v>
      </c>
      <c r="F418" s="77" t="s">
        <v>175</v>
      </c>
      <c r="G418" s="2" t="s">
        <v>105</v>
      </c>
      <c r="H418" s="2" t="s">
        <v>24</v>
      </c>
      <c r="I418" s="2" t="s">
        <v>175</v>
      </c>
      <c r="J418" s="2" t="s">
        <v>189</v>
      </c>
      <c r="K418" s="2" t="s">
        <v>175</v>
      </c>
      <c r="L418" s="2" t="s">
        <v>548</v>
      </c>
      <c r="M418" s="2" t="s">
        <v>175</v>
      </c>
      <c r="N418" s="2" t="s">
        <v>62</v>
      </c>
      <c r="O418" s="2" t="s">
        <v>43</v>
      </c>
      <c r="P418" s="2" t="s">
        <v>62</v>
      </c>
      <c r="Q418" s="26" t="s">
        <v>607</v>
      </c>
      <c r="R418" s="102" t="s">
        <v>614</v>
      </c>
      <c r="S418" s="2" t="s">
        <v>70</v>
      </c>
      <c r="T418" s="26">
        <v>16</v>
      </c>
      <c r="U418" s="77">
        <v>1</v>
      </c>
      <c r="V418" s="26">
        <v>0</v>
      </c>
      <c r="W418" s="26">
        <v>1</v>
      </c>
      <c r="X418" s="26">
        <v>1</v>
      </c>
      <c r="Y418" s="26">
        <v>1</v>
      </c>
      <c r="Z418" s="26">
        <v>0</v>
      </c>
      <c r="AA418" s="26">
        <v>0</v>
      </c>
      <c r="AB418" s="26">
        <v>0</v>
      </c>
      <c r="AC418" s="26" t="s">
        <v>70</v>
      </c>
      <c r="AD418" s="26" t="s">
        <v>70</v>
      </c>
      <c r="AE418" s="26" t="s">
        <v>70</v>
      </c>
      <c r="AF418" s="26" t="s">
        <v>70</v>
      </c>
      <c r="AG418" s="33">
        <v>84</v>
      </c>
      <c r="AH418" s="26" t="s">
        <v>70</v>
      </c>
      <c r="AI418" s="26" t="s">
        <v>70</v>
      </c>
      <c r="AJ418" s="26" t="s">
        <v>70</v>
      </c>
      <c r="AK418" s="26" t="s">
        <v>267</v>
      </c>
      <c r="AL418" s="26" t="s">
        <v>70</v>
      </c>
      <c r="AM418" s="35" t="s">
        <v>548</v>
      </c>
      <c r="AN418" s="26" t="s">
        <v>274</v>
      </c>
      <c r="AO418" s="35" t="s">
        <v>548</v>
      </c>
      <c r="AP418" s="35" t="s">
        <v>548</v>
      </c>
      <c r="AQ418" s="35" t="s">
        <v>548</v>
      </c>
      <c r="AR418" s="35" t="s">
        <v>548</v>
      </c>
      <c r="AS418" s="26" t="s">
        <v>175</v>
      </c>
      <c r="AT418" s="26" t="s">
        <v>70</v>
      </c>
      <c r="AU418" s="26" t="s">
        <v>70</v>
      </c>
      <c r="AV418" s="26">
        <v>8</v>
      </c>
    </row>
    <row r="419" spans="1:48" ht="14" customHeight="1">
      <c r="A419" s="27">
        <v>418</v>
      </c>
      <c r="B419" s="27" t="s">
        <v>463</v>
      </c>
      <c r="C419" s="37">
        <v>2009</v>
      </c>
      <c r="D419" s="26" t="s">
        <v>25</v>
      </c>
      <c r="E419" s="26" t="s">
        <v>565</v>
      </c>
      <c r="F419" s="77" t="s">
        <v>175</v>
      </c>
      <c r="G419" s="2" t="s">
        <v>105</v>
      </c>
      <c r="H419" s="2" t="s">
        <v>24</v>
      </c>
      <c r="I419" s="2" t="s">
        <v>175</v>
      </c>
      <c r="J419" s="2" t="s">
        <v>189</v>
      </c>
      <c r="K419" s="2" t="s">
        <v>175</v>
      </c>
      <c r="L419" s="2" t="s">
        <v>548</v>
      </c>
      <c r="M419" s="2" t="s">
        <v>175</v>
      </c>
      <c r="N419" s="2" t="s">
        <v>62</v>
      </c>
      <c r="O419" s="2" t="s">
        <v>43</v>
      </c>
      <c r="P419" s="2" t="s">
        <v>621</v>
      </c>
      <c r="Q419" s="26" t="s">
        <v>607</v>
      </c>
      <c r="R419" s="102" t="s">
        <v>614</v>
      </c>
      <c r="S419" s="2" t="s">
        <v>70</v>
      </c>
      <c r="T419" s="26">
        <v>10</v>
      </c>
      <c r="U419" s="77">
        <v>1</v>
      </c>
      <c r="V419" s="26">
        <v>0</v>
      </c>
      <c r="W419" s="26">
        <v>1</v>
      </c>
      <c r="X419" s="26">
        <v>1</v>
      </c>
      <c r="Y419" s="26">
        <v>1</v>
      </c>
      <c r="Z419" s="26">
        <v>0</v>
      </c>
      <c r="AA419" s="26">
        <v>0</v>
      </c>
      <c r="AB419" s="26">
        <v>0</v>
      </c>
      <c r="AC419" s="26" t="s">
        <v>70</v>
      </c>
      <c r="AD419" s="26" t="s">
        <v>70</v>
      </c>
      <c r="AE419" s="26" t="s">
        <v>70</v>
      </c>
      <c r="AF419" s="26" t="s">
        <v>70</v>
      </c>
      <c r="AG419" s="33">
        <v>414</v>
      </c>
      <c r="AH419" s="26" t="s">
        <v>70</v>
      </c>
      <c r="AI419" s="26" t="s">
        <v>70</v>
      </c>
      <c r="AJ419" s="26" t="s">
        <v>70</v>
      </c>
      <c r="AK419" s="26" t="s">
        <v>267</v>
      </c>
      <c r="AL419" s="26" t="s">
        <v>70</v>
      </c>
      <c r="AM419" s="35" t="s">
        <v>548</v>
      </c>
      <c r="AN419" s="26" t="s">
        <v>274</v>
      </c>
      <c r="AO419" s="35" t="s">
        <v>548</v>
      </c>
      <c r="AP419" s="35" t="s">
        <v>548</v>
      </c>
      <c r="AQ419" s="35" t="s">
        <v>548</v>
      </c>
      <c r="AR419" s="35" t="s">
        <v>548</v>
      </c>
      <c r="AS419" s="26" t="s">
        <v>175</v>
      </c>
      <c r="AT419" s="26" t="s">
        <v>70</v>
      </c>
      <c r="AU419" s="26" t="s">
        <v>70</v>
      </c>
      <c r="AV419" s="26">
        <v>8</v>
      </c>
    </row>
    <row r="420" spans="1:48" ht="14" customHeight="1">
      <c r="A420" s="27">
        <v>419</v>
      </c>
      <c r="B420" s="27" t="s">
        <v>464</v>
      </c>
      <c r="C420" s="27">
        <v>2004</v>
      </c>
      <c r="D420" s="26" t="s">
        <v>127</v>
      </c>
      <c r="E420" s="26" t="s">
        <v>563</v>
      </c>
      <c r="F420" s="77" t="s">
        <v>175</v>
      </c>
      <c r="G420" s="2" t="s">
        <v>84</v>
      </c>
      <c r="H420" s="2" t="s">
        <v>24</v>
      </c>
      <c r="I420" s="2" t="s">
        <v>548</v>
      </c>
      <c r="J420" s="2" t="s">
        <v>604</v>
      </c>
      <c r="K420" s="2" t="s">
        <v>548</v>
      </c>
      <c r="L420" s="2" t="s">
        <v>548</v>
      </c>
      <c r="M420" s="2" t="s">
        <v>175</v>
      </c>
      <c r="N420" s="2" t="s">
        <v>210</v>
      </c>
      <c r="O420" s="2" t="s">
        <v>43</v>
      </c>
      <c r="P420" s="2" t="s">
        <v>210</v>
      </c>
      <c r="Q420" s="2" t="s">
        <v>42</v>
      </c>
      <c r="R420" s="102" t="s">
        <v>614</v>
      </c>
      <c r="S420" s="2">
        <v>1</v>
      </c>
      <c r="T420" s="26">
        <v>20</v>
      </c>
      <c r="U420" s="77">
        <v>1</v>
      </c>
      <c r="V420" s="26">
        <v>0</v>
      </c>
      <c r="W420" s="26">
        <v>1</v>
      </c>
      <c r="X420" s="26">
        <v>0</v>
      </c>
      <c r="Y420" s="26">
        <v>0</v>
      </c>
      <c r="Z420" s="26">
        <v>0</v>
      </c>
      <c r="AA420" s="26">
        <v>0</v>
      </c>
      <c r="AB420" s="26">
        <v>0</v>
      </c>
      <c r="AC420" s="26" t="s">
        <v>70</v>
      </c>
      <c r="AD420" s="26" t="s">
        <v>70</v>
      </c>
      <c r="AE420" s="26" t="s">
        <v>70</v>
      </c>
      <c r="AF420" s="26" t="s">
        <v>70</v>
      </c>
      <c r="AG420" s="26" t="s">
        <v>70</v>
      </c>
      <c r="AH420" s="26" t="s">
        <v>70</v>
      </c>
      <c r="AI420" s="26" t="s">
        <v>70</v>
      </c>
      <c r="AJ420" s="26" t="s">
        <v>231</v>
      </c>
      <c r="AK420" s="26" t="s">
        <v>70</v>
      </c>
      <c r="AL420" s="26" t="s">
        <v>70</v>
      </c>
      <c r="AM420" s="35" t="s">
        <v>175</v>
      </c>
      <c r="AN420" s="26" t="s">
        <v>274</v>
      </c>
      <c r="AO420" s="35" t="s">
        <v>548</v>
      </c>
      <c r="AP420" s="35" t="s">
        <v>548</v>
      </c>
      <c r="AQ420" s="35" t="s">
        <v>548</v>
      </c>
      <c r="AR420" s="35" t="s">
        <v>548</v>
      </c>
      <c r="AS420" s="26" t="s">
        <v>175</v>
      </c>
      <c r="AT420" s="26" t="s">
        <v>70</v>
      </c>
      <c r="AU420" s="26" t="s">
        <v>70</v>
      </c>
      <c r="AV420" s="26">
        <v>5</v>
      </c>
    </row>
    <row r="421" spans="1:48" ht="14" customHeight="1">
      <c r="A421" s="27">
        <v>420</v>
      </c>
      <c r="B421" s="27" t="s">
        <v>465</v>
      </c>
      <c r="C421" s="27">
        <v>2007</v>
      </c>
      <c r="D421" s="26" t="s">
        <v>111</v>
      </c>
      <c r="E421" s="26" t="s">
        <v>563</v>
      </c>
      <c r="F421" s="77" t="s">
        <v>175</v>
      </c>
      <c r="G421" s="2" t="s">
        <v>105</v>
      </c>
      <c r="H421" s="2" t="s">
        <v>30</v>
      </c>
      <c r="I421" s="2" t="s">
        <v>548</v>
      </c>
      <c r="J421" s="2" t="s">
        <v>603</v>
      </c>
      <c r="K421" s="2" t="s">
        <v>548</v>
      </c>
      <c r="L421" s="2" t="s">
        <v>548</v>
      </c>
      <c r="M421" s="2" t="s">
        <v>175</v>
      </c>
      <c r="N421" s="2" t="s">
        <v>51</v>
      </c>
      <c r="O421" s="2" t="s">
        <v>43</v>
      </c>
      <c r="P421" s="2" t="s">
        <v>51</v>
      </c>
      <c r="Q421" s="2" t="s">
        <v>42</v>
      </c>
      <c r="R421" s="79" t="s">
        <v>613</v>
      </c>
      <c r="S421" s="88">
        <v>1</v>
      </c>
      <c r="T421" s="26">
        <v>21</v>
      </c>
      <c r="U421" s="77">
        <v>1</v>
      </c>
      <c r="V421" s="26">
        <v>0</v>
      </c>
      <c r="W421" s="26">
        <v>1</v>
      </c>
      <c r="X421" s="26">
        <v>1</v>
      </c>
      <c r="Y421" s="26">
        <v>1</v>
      </c>
      <c r="Z421" s="26">
        <v>0</v>
      </c>
      <c r="AA421" s="26">
        <v>0</v>
      </c>
      <c r="AB421" s="26">
        <v>0</v>
      </c>
      <c r="AC421" s="26">
        <v>0</v>
      </c>
      <c r="AD421" s="26">
        <v>0</v>
      </c>
      <c r="AE421" s="26">
        <v>0.25</v>
      </c>
      <c r="AF421" s="26">
        <v>0.75</v>
      </c>
      <c r="AG421" s="33">
        <v>660</v>
      </c>
      <c r="AH421" s="33">
        <v>322</v>
      </c>
      <c r="AI421" s="33">
        <v>385</v>
      </c>
      <c r="AJ421" s="26" t="s">
        <v>115</v>
      </c>
      <c r="AK421" s="33">
        <v>834</v>
      </c>
      <c r="AL421" s="33" t="s">
        <v>70</v>
      </c>
      <c r="AM421" s="35" t="s">
        <v>175</v>
      </c>
      <c r="AN421" s="32" t="s">
        <v>9</v>
      </c>
      <c r="AO421" s="35" t="s">
        <v>175</v>
      </c>
      <c r="AP421" s="35" t="s">
        <v>548</v>
      </c>
      <c r="AQ421" s="35" t="s">
        <v>548</v>
      </c>
      <c r="AR421" s="35" t="s">
        <v>548</v>
      </c>
      <c r="AS421" s="38" t="s">
        <v>175</v>
      </c>
      <c r="AT421" s="26" t="s">
        <v>70</v>
      </c>
      <c r="AU421" s="26" t="s">
        <v>70</v>
      </c>
      <c r="AV421" s="26">
        <v>7</v>
      </c>
    </row>
    <row r="422" spans="1:48" ht="14" customHeight="1">
      <c r="A422" s="27">
        <v>421</v>
      </c>
      <c r="B422" s="27" t="s">
        <v>465</v>
      </c>
      <c r="C422" s="27">
        <v>2008</v>
      </c>
      <c r="D422" s="26" t="s">
        <v>111</v>
      </c>
      <c r="E422" s="26" t="s">
        <v>563</v>
      </c>
      <c r="F422" s="77" t="s">
        <v>175</v>
      </c>
      <c r="G422" s="2" t="s">
        <v>105</v>
      </c>
      <c r="H422" s="2" t="s">
        <v>30</v>
      </c>
      <c r="I422" s="2" t="s">
        <v>548</v>
      </c>
      <c r="J422" s="2" t="s">
        <v>603</v>
      </c>
      <c r="K422" s="2" t="s">
        <v>548</v>
      </c>
      <c r="L422" s="2" t="s">
        <v>548</v>
      </c>
      <c r="M422" s="2" t="s">
        <v>175</v>
      </c>
      <c r="N422" s="2" t="s">
        <v>51</v>
      </c>
      <c r="O422" s="2" t="s">
        <v>43</v>
      </c>
      <c r="P422" s="2" t="s">
        <v>51</v>
      </c>
      <c r="Q422" s="2" t="s">
        <v>42</v>
      </c>
      <c r="R422" s="79" t="s">
        <v>613</v>
      </c>
      <c r="S422" s="88">
        <f>17/T422</f>
        <v>0.94444444444444442</v>
      </c>
      <c r="T422" s="26">
        <v>18</v>
      </c>
      <c r="U422" s="77">
        <v>1</v>
      </c>
      <c r="V422" s="26">
        <v>0</v>
      </c>
      <c r="W422" s="26">
        <v>1</v>
      </c>
      <c r="X422" s="26">
        <v>1</v>
      </c>
      <c r="Y422" s="26">
        <v>1</v>
      </c>
      <c r="Z422" s="26">
        <v>0</v>
      </c>
      <c r="AA422" s="26">
        <v>0</v>
      </c>
      <c r="AB422" s="26">
        <v>0</v>
      </c>
      <c r="AC422" s="26">
        <v>0.20588235294117646</v>
      </c>
      <c r="AD422" s="26">
        <v>2.9411764705882353E-2</v>
      </c>
      <c r="AE422" s="26">
        <v>0.14705882352941177</v>
      </c>
      <c r="AF422" s="26">
        <v>0.61764705882352944</v>
      </c>
      <c r="AG422" s="33">
        <v>636</v>
      </c>
      <c r="AH422" s="33">
        <v>209</v>
      </c>
      <c r="AI422" s="33">
        <v>127</v>
      </c>
      <c r="AJ422" s="26" t="s">
        <v>115</v>
      </c>
      <c r="AK422" s="33">
        <v>1156</v>
      </c>
      <c r="AL422" s="33" t="s">
        <v>70</v>
      </c>
      <c r="AM422" s="35" t="s">
        <v>175</v>
      </c>
      <c r="AN422" s="32" t="s">
        <v>9</v>
      </c>
      <c r="AO422" s="35" t="s">
        <v>175</v>
      </c>
      <c r="AP422" s="35" t="s">
        <v>548</v>
      </c>
      <c r="AQ422" s="35" t="s">
        <v>548</v>
      </c>
      <c r="AR422" s="35" t="s">
        <v>548</v>
      </c>
      <c r="AS422" s="38" t="s">
        <v>175</v>
      </c>
      <c r="AT422" s="26" t="s">
        <v>70</v>
      </c>
      <c r="AU422" s="26" t="s">
        <v>70</v>
      </c>
      <c r="AV422" s="26">
        <v>7</v>
      </c>
    </row>
    <row r="423" spans="1:48" ht="14" customHeight="1">
      <c r="A423" s="27">
        <v>422</v>
      </c>
      <c r="B423" s="27" t="s">
        <v>466</v>
      </c>
      <c r="C423" s="27">
        <v>2010</v>
      </c>
      <c r="D423" s="26" t="s">
        <v>11</v>
      </c>
      <c r="E423" s="26" t="s">
        <v>565</v>
      </c>
      <c r="F423" s="77" t="s">
        <v>175</v>
      </c>
      <c r="G423" s="2" t="s">
        <v>147</v>
      </c>
      <c r="H423" s="2" t="s">
        <v>275</v>
      </c>
      <c r="I423" s="2" t="s">
        <v>175</v>
      </c>
      <c r="J423" s="2" t="s">
        <v>604</v>
      </c>
      <c r="K423" s="2" t="s">
        <v>175</v>
      </c>
      <c r="L423" s="2" t="s">
        <v>175</v>
      </c>
      <c r="M423" s="2" t="s">
        <v>175</v>
      </c>
      <c r="N423" s="2" t="s">
        <v>62</v>
      </c>
      <c r="O423" s="2" t="s">
        <v>43</v>
      </c>
      <c r="P423" s="2" t="s">
        <v>62</v>
      </c>
      <c r="Q423" s="26" t="s">
        <v>606</v>
      </c>
      <c r="R423" s="79" t="s">
        <v>613</v>
      </c>
      <c r="S423" s="90">
        <v>1E-4</v>
      </c>
      <c r="T423" s="26">
        <v>1639</v>
      </c>
      <c r="U423" s="77">
        <v>1</v>
      </c>
      <c r="V423" s="26">
        <v>1</v>
      </c>
      <c r="W423" s="26">
        <v>1</v>
      </c>
      <c r="X423" s="26">
        <v>1</v>
      </c>
      <c r="Y423" s="26">
        <v>1</v>
      </c>
      <c r="Z423" s="26">
        <v>1</v>
      </c>
      <c r="AA423" s="26">
        <v>0</v>
      </c>
      <c r="AB423" s="26">
        <v>1</v>
      </c>
      <c r="AC423" s="26">
        <v>0.999</v>
      </c>
      <c r="AD423" s="26">
        <v>1E-3</v>
      </c>
      <c r="AE423" s="26">
        <v>0</v>
      </c>
      <c r="AF423" s="26">
        <v>0</v>
      </c>
      <c r="AG423" s="26" t="s">
        <v>70</v>
      </c>
      <c r="AH423" s="26" t="s">
        <v>70</v>
      </c>
      <c r="AI423" s="26" t="s">
        <v>70</v>
      </c>
      <c r="AJ423" s="26" t="s">
        <v>70</v>
      </c>
      <c r="AK423" s="26" t="s">
        <v>70</v>
      </c>
      <c r="AL423" s="26" t="s">
        <v>70</v>
      </c>
      <c r="AM423" s="35" t="s">
        <v>175</v>
      </c>
      <c r="AN423" s="26" t="s">
        <v>274</v>
      </c>
      <c r="AO423" s="35" t="s">
        <v>548</v>
      </c>
      <c r="AP423" s="35" t="s">
        <v>175</v>
      </c>
      <c r="AQ423" s="35" t="s">
        <v>548</v>
      </c>
      <c r="AR423" s="35" t="s">
        <v>548</v>
      </c>
      <c r="AS423" s="26" t="s">
        <v>548</v>
      </c>
      <c r="AT423" s="26" t="s">
        <v>175</v>
      </c>
      <c r="AU423" s="40" t="s">
        <v>175</v>
      </c>
      <c r="AV423" s="26">
        <v>12</v>
      </c>
    </row>
    <row r="424" spans="1:48" ht="14" customHeight="1">
      <c r="A424" s="27">
        <v>423</v>
      </c>
      <c r="B424" s="27" t="s">
        <v>467</v>
      </c>
      <c r="C424" s="27">
        <v>2013</v>
      </c>
      <c r="D424" s="26" t="s">
        <v>31</v>
      </c>
      <c r="E424" s="26" t="s">
        <v>566</v>
      </c>
      <c r="F424" s="77" t="s">
        <v>175</v>
      </c>
      <c r="G424" s="2" t="s">
        <v>108</v>
      </c>
      <c r="H424" s="2" t="s">
        <v>24</v>
      </c>
      <c r="I424" s="2" t="s">
        <v>548</v>
      </c>
      <c r="J424" s="2" t="s">
        <v>604</v>
      </c>
      <c r="K424" s="2" t="s">
        <v>548</v>
      </c>
      <c r="L424" s="2" t="s">
        <v>548</v>
      </c>
      <c r="M424" s="2" t="s">
        <v>548</v>
      </c>
      <c r="N424" s="2" t="s">
        <v>210</v>
      </c>
      <c r="O424" s="2" t="s">
        <v>43</v>
      </c>
      <c r="P424" s="2" t="s">
        <v>210</v>
      </c>
      <c r="Q424" s="2" t="s">
        <v>42</v>
      </c>
      <c r="R424" s="102" t="s">
        <v>614</v>
      </c>
      <c r="S424" s="2">
        <f>11/T424</f>
        <v>0.91666666666666663</v>
      </c>
      <c r="T424" s="26">
        <v>12</v>
      </c>
      <c r="U424" s="77">
        <v>1</v>
      </c>
      <c r="V424" s="26">
        <v>0</v>
      </c>
      <c r="W424" s="26">
        <v>1</v>
      </c>
      <c r="X424" s="26">
        <v>0</v>
      </c>
      <c r="Y424" s="26">
        <v>0</v>
      </c>
      <c r="Z424" s="26">
        <v>0</v>
      </c>
      <c r="AA424" s="26">
        <v>0</v>
      </c>
      <c r="AB424" s="26">
        <v>0</v>
      </c>
      <c r="AC424" s="26">
        <v>8.3333333333333329E-2</v>
      </c>
      <c r="AD424" s="26">
        <v>0.16666666666666666</v>
      </c>
      <c r="AE424" s="26">
        <v>0.25</v>
      </c>
      <c r="AF424" s="26">
        <v>0.5</v>
      </c>
      <c r="AG424" s="33">
        <v>1462</v>
      </c>
      <c r="AH424" s="33">
        <v>135.6</v>
      </c>
      <c r="AI424" s="33">
        <v>201</v>
      </c>
      <c r="AJ424" s="26" t="s">
        <v>248</v>
      </c>
      <c r="AK424" s="33">
        <v>2257.5</v>
      </c>
      <c r="AL424" s="33" t="s">
        <v>70</v>
      </c>
      <c r="AM424" s="35" t="s">
        <v>548</v>
      </c>
      <c r="AN424" s="26" t="s">
        <v>274</v>
      </c>
      <c r="AO424" s="35" t="s">
        <v>548</v>
      </c>
      <c r="AP424" s="35" t="s">
        <v>548</v>
      </c>
      <c r="AQ424" s="35" t="s">
        <v>548</v>
      </c>
      <c r="AR424" s="35" t="s">
        <v>548</v>
      </c>
      <c r="AS424" s="26" t="s">
        <v>175</v>
      </c>
      <c r="AT424" s="26" t="s">
        <v>70</v>
      </c>
      <c r="AU424" s="26" t="s">
        <v>70</v>
      </c>
      <c r="AV424" s="26">
        <v>3</v>
      </c>
    </row>
    <row r="425" spans="1:48" ht="14" customHeight="1">
      <c r="A425" s="27">
        <v>424</v>
      </c>
      <c r="B425" s="27" t="s">
        <v>254</v>
      </c>
      <c r="C425" s="26">
        <v>2007</v>
      </c>
      <c r="D425" s="26" t="s">
        <v>252</v>
      </c>
      <c r="E425" s="26" t="s">
        <v>565</v>
      </c>
      <c r="F425" s="77" t="s">
        <v>175</v>
      </c>
      <c r="G425" s="74" t="s">
        <v>149</v>
      </c>
      <c r="H425" s="2" t="s">
        <v>24</v>
      </c>
      <c r="I425" s="2" t="s">
        <v>548</v>
      </c>
      <c r="J425" s="2" t="s">
        <v>604</v>
      </c>
      <c r="K425" s="2" t="s">
        <v>548</v>
      </c>
      <c r="L425" s="74" t="s">
        <v>548</v>
      </c>
      <c r="M425" s="2" t="s">
        <v>548</v>
      </c>
      <c r="N425" s="2" t="s">
        <v>51</v>
      </c>
      <c r="O425" s="2" t="s">
        <v>43</v>
      </c>
      <c r="P425" s="2" t="s">
        <v>51</v>
      </c>
      <c r="Q425" s="2" t="s">
        <v>42</v>
      </c>
      <c r="R425" s="79" t="s">
        <v>613</v>
      </c>
      <c r="S425" s="2">
        <f>1/186</f>
        <v>5.3763440860215058E-3</v>
      </c>
      <c r="T425" s="26">
        <v>186</v>
      </c>
      <c r="U425" s="77">
        <v>1</v>
      </c>
      <c r="V425" s="26">
        <v>1</v>
      </c>
      <c r="W425" s="26">
        <v>1</v>
      </c>
      <c r="X425" s="26">
        <v>1</v>
      </c>
      <c r="Y425" s="26">
        <v>1</v>
      </c>
      <c r="Z425" s="26">
        <v>0</v>
      </c>
      <c r="AA425" s="26">
        <v>1</v>
      </c>
      <c r="AB425" s="26">
        <v>1</v>
      </c>
      <c r="AC425" s="26" t="s">
        <v>70</v>
      </c>
      <c r="AD425" s="26" t="s">
        <v>70</v>
      </c>
      <c r="AE425" s="26" t="s">
        <v>70</v>
      </c>
      <c r="AF425" s="26" t="s">
        <v>70</v>
      </c>
      <c r="AG425" s="26" t="s">
        <v>70</v>
      </c>
      <c r="AH425" s="26" t="s">
        <v>70</v>
      </c>
      <c r="AI425" s="26" t="s">
        <v>70</v>
      </c>
      <c r="AJ425" s="26" t="s">
        <v>70</v>
      </c>
      <c r="AK425" s="26" t="s">
        <v>70</v>
      </c>
      <c r="AL425" s="26" t="s">
        <v>70</v>
      </c>
      <c r="AM425" s="35" t="s">
        <v>548</v>
      </c>
      <c r="AN425" s="26" t="s">
        <v>274</v>
      </c>
      <c r="AO425" s="35" t="s">
        <v>548</v>
      </c>
      <c r="AP425" s="35" t="s">
        <v>548</v>
      </c>
      <c r="AQ425" s="35" t="s">
        <v>548</v>
      </c>
      <c r="AR425" s="35" t="s">
        <v>548</v>
      </c>
      <c r="AS425" s="26" t="s">
        <v>175</v>
      </c>
      <c r="AT425" s="26" t="s">
        <v>70</v>
      </c>
      <c r="AU425" s="26" t="s">
        <v>70</v>
      </c>
      <c r="AV425" s="26">
        <v>8</v>
      </c>
    </row>
    <row r="426" spans="1:48" ht="14" customHeight="1">
      <c r="A426" s="27">
        <v>425</v>
      </c>
      <c r="B426" s="27" t="s">
        <v>468</v>
      </c>
      <c r="C426" s="27">
        <v>2002</v>
      </c>
      <c r="D426" s="26" t="s">
        <v>76</v>
      </c>
      <c r="E426" s="26" t="s">
        <v>566</v>
      </c>
      <c r="F426" s="77" t="s">
        <v>175</v>
      </c>
      <c r="G426" s="2" t="s">
        <v>105</v>
      </c>
      <c r="H426" s="2" t="s">
        <v>30</v>
      </c>
      <c r="I426" s="2" t="s">
        <v>548</v>
      </c>
      <c r="J426" s="2" t="s">
        <v>189</v>
      </c>
      <c r="K426" s="2" t="s">
        <v>175</v>
      </c>
      <c r="L426" s="2" t="s">
        <v>175</v>
      </c>
      <c r="M426" s="2" t="s">
        <v>175</v>
      </c>
      <c r="N426" s="78" t="s">
        <v>70</v>
      </c>
      <c r="O426" s="2" t="s">
        <v>209</v>
      </c>
      <c r="P426" s="2" t="s">
        <v>612</v>
      </c>
      <c r="Q426" s="2" t="s">
        <v>42</v>
      </c>
      <c r="R426" s="102" t="s">
        <v>614</v>
      </c>
      <c r="S426" s="88">
        <v>0.94399999999999995</v>
      </c>
      <c r="T426" s="26">
        <v>36</v>
      </c>
      <c r="U426" s="77">
        <v>1</v>
      </c>
      <c r="V426" s="26">
        <v>0</v>
      </c>
      <c r="W426" s="26">
        <v>1</v>
      </c>
      <c r="X426" s="26">
        <v>1</v>
      </c>
      <c r="Y426" s="26">
        <v>1</v>
      </c>
      <c r="Z426" s="26">
        <v>1</v>
      </c>
      <c r="AA426" s="26">
        <v>0</v>
      </c>
      <c r="AB426" s="26">
        <v>0</v>
      </c>
      <c r="AC426" s="26" t="s">
        <v>70</v>
      </c>
      <c r="AD426" s="26" t="s">
        <v>70</v>
      </c>
      <c r="AE426" s="26" t="s">
        <v>70</v>
      </c>
      <c r="AF426" s="26" t="s">
        <v>70</v>
      </c>
      <c r="AG426" s="26" t="s">
        <v>70</v>
      </c>
      <c r="AH426" s="26" t="s">
        <v>70</v>
      </c>
      <c r="AI426" s="26" t="s">
        <v>70</v>
      </c>
      <c r="AJ426" s="26" t="s">
        <v>70</v>
      </c>
      <c r="AK426" s="26" t="s">
        <v>70</v>
      </c>
      <c r="AL426" s="26" t="s">
        <v>70</v>
      </c>
      <c r="AM426" s="35" t="s">
        <v>175</v>
      </c>
      <c r="AN426" s="26" t="s">
        <v>615</v>
      </c>
      <c r="AO426" s="35" t="s">
        <v>548</v>
      </c>
      <c r="AP426" s="35" t="s">
        <v>548</v>
      </c>
      <c r="AQ426" s="35" t="s">
        <v>548</v>
      </c>
      <c r="AR426" s="35" t="s">
        <v>548</v>
      </c>
      <c r="AS426" s="38" t="s">
        <v>175</v>
      </c>
      <c r="AT426" s="26" t="s">
        <v>70</v>
      </c>
      <c r="AU426" s="26" t="s">
        <v>70</v>
      </c>
      <c r="AV426" s="26">
        <v>10</v>
      </c>
    </row>
    <row r="427" spans="1:48" ht="14" customHeight="1">
      <c r="A427" s="27">
        <v>426</v>
      </c>
      <c r="B427" s="27" t="s">
        <v>469</v>
      </c>
      <c r="C427" s="27">
        <v>2009</v>
      </c>
      <c r="D427" s="26" t="s">
        <v>11</v>
      </c>
      <c r="E427" s="26" t="s">
        <v>565</v>
      </c>
      <c r="F427" s="77" t="s">
        <v>175</v>
      </c>
      <c r="G427" s="2" t="s">
        <v>147</v>
      </c>
      <c r="H427" s="2" t="s">
        <v>275</v>
      </c>
      <c r="I427" s="2" t="s">
        <v>548</v>
      </c>
      <c r="J427" s="2" t="s">
        <v>604</v>
      </c>
      <c r="K427" s="2" t="s">
        <v>548</v>
      </c>
      <c r="L427" s="2" t="s">
        <v>548</v>
      </c>
      <c r="M427" s="2" t="s">
        <v>175</v>
      </c>
      <c r="N427" s="2" t="s">
        <v>608</v>
      </c>
      <c r="O427" s="2" t="s">
        <v>43</v>
      </c>
      <c r="P427" s="2" t="s">
        <v>608</v>
      </c>
      <c r="Q427" s="2" t="s">
        <v>42</v>
      </c>
      <c r="R427" s="102" t="s">
        <v>614</v>
      </c>
      <c r="S427" s="88">
        <v>0.15</v>
      </c>
      <c r="T427" s="26">
        <v>90</v>
      </c>
      <c r="U427" s="77">
        <v>1</v>
      </c>
      <c r="V427" s="26">
        <v>0</v>
      </c>
      <c r="W427" s="26">
        <v>1</v>
      </c>
      <c r="X427" s="26">
        <v>0</v>
      </c>
      <c r="Y427" s="26">
        <v>0</v>
      </c>
      <c r="Z427" s="26">
        <v>0</v>
      </c>
      <c r="AA427" s="26">
        <v>0</v>
      </c>
      <c r="AB427" s="26">
        <v>0</v>
      </c>
      <c r="AC427" s="33">
        <v>0.85</v>
      </c>
      <c r="AD427" s="33">
        <v>0.15</v>
      </c>
      <c r="AE427" s="33">
        <v>0</v>
      </c>
      <c r="AF427" s="33">
        <v>0</v>
      </c>
      <c r="AG427" s="33">
        <v>4.3</v>
      </c>
      <c r="AH427" s="33" t="s">
        <v>70</v>
      </c>
      <c r="AI427" s="33" t="s">
        <v>70</v>
      </c>
      <c r="AJ427" s="26" t="s">
        <v>195</v>
      </c>
      <c r="AK427" s="33" t="s">
        <v>70</v>
      </c>
      <c r="AL427" s="33" t="s">
        <v>70</v>
      </c>
      <c r="AM427" s="35" t="s">
        <v>175</v>
      </c>
      <c r="AN427" s="26" t="s">
        <v>274</v>
      </c>
      <c r="AO427" s="35" t="s">
        <v>548</v>
      </c>
      <c r="AP427" s="35" t="s">
        <v>548</v>
      </c>
      <c r="AQ427" s="35" t="s">
        <v>548</v>
      </c>
      <c r="AR427" s="35" t="s">
        <v>548</v>
      </c>
      <c r="AS427" s="38" t="s">
        <v>175</v>
      </c>
      <c r="AT427" s="26" t="s">
        <v>70</v>
      </c>
      <c r="AU427" s="26" t="s">
        <v>70</v>
      </c>
      <c r="AV427" s="26">
        <v>5</v>
      </c>
    </row>
    <row r="428" spans="1:48" ht="14" customHeight="1">
      <c r="A428" s="27">
        <v>427</v>
      </c>
      <c r="B428" s="27" t="s">
        <v>470</v>
      </c>
      <c r="C428" s="28">
        <v>2005</v>
      </c>
      <c r="D428" s="26" t="s">
        <v>127</v>
      </c>
      <c r="E428" s="26" t="s">
        <v>563</v>
      </c>
      <c r="F428" s="2" t="s">
        <v>175</v>
      </c>
      <c r="G428" s="2" t="s">
        <v>84</v>
      </c>
      <c r="H428" s="2" t="s">
        <v>24</v>
      </c>
      <c r="I428" s="2" t="s">
        <v>175</v>
      </c>
      <c r="J428" s="2" t="s">
        <v>189</v>
      </c>
      <c r="K428" s="2" t="s">
        <v>175</v>
      </c>
      <c r="L428" s="2" t="s">
        <v>175</v>
      </c>
      <c r="M428" s="2" t="s">
        <v>175</v>
      </c>
      <c r="N428" s="2" t="s">
        <v>70</v>
      </c>
      <c r="O428" s="2" t="s">
        <v>209</v>
      </c>
      <c r="P428" s="2" t="s">
        <v>612</v>
      </c>
      <c r="Q428" s="2" t="s">
        <v>42</v>
      </c>
      <c r="R428" s="79" t="s">
        <v>613</v>
      </c>
      <c r="S428" s="88">
        <v>1</v>
      </c>
      <c r="T428" s="61">
        <v>25</v>
      </c>
      <c r="U428" s="2">
        <v>1</v>
      </c>
      <c r="V428" s="26">
        <v>0</v>
      </c>
      <c r="W428" s="26">
        <v>1</v>
      </c>
      <c r="X428" s="26">
        <v>1</v>
      </c>
      <c r="Y428" s="26">
        <v>1</v>
      </c>
      <c r="Z428" s="26">
        <v>0</v>
      </c>
      <c r="AA428" s="26">
        <v>0</v>
      </c>
      <c r="AB428" s="26">
        <v>0</v>
      </c>
      <c r="AC428" s="26" t="s">
        <v>70</v>
      </c>
      <c r="AD428" s="26" t="s">
        <v>70</v>
      </c>
      <c r="AE428" s="26" t="s">
        <v>70</v>
      </c>
      <c r="AF428" s="26" t="s">
        <v>70</v>
      </c>
      <c r="AG428" s="33">
        <v>297</v>
      </c>
      <c r="AH428" s="26" t="s">
        <v>70</v>
      </c>
      <c r="AI428" s="26" t="s">
        <v>70</v>
      </c>
      <c r="AJ428" s="26" t="s">
        <v>162</v>
      </c>
      <c r="AK428" s="26" t="s">
        <v>70</v>
      </c>
      <c r="AL428" s="26" t="s">
        <v>70</v>
      </c>
      <c r="AM428" s="61" t="s">
        <v>175</v>
      </c>
      <c r="AN428" s="32" t="s">
        <v>9</v>
      </c>
      <c r="AO428" s="26" t="s">
        <v>548</v>
      </c>
      <c r="AP428" s="26" t="s">
        <v>548</v>
      </c>
      <c r="AQ428" s="26" t="s">
        <v>548</v>
      </c>
      <c r="AR428" s="26" t="s">
        <v>548</v>
      </c>
      <c r="AS428" s="26" t="s">
        <v>175</v>
      </c>
      <c r="AT428" s="26" t="s">
        <v>70</v>
      </c>
      <c r="AU428" s="26" t="s">
        <v>70</v>
      </c>
      <c r="AV428" s="26">
        <v>10</v>
      </c>
    </row>
    <row r="429" spans="1:48" ht="14" customHeight="1">
      <c r="A429" s="27">
        <v>428</v>
      </c>
      <c r="B429" s="27" t="s">
        <v>470</v>
      </c>
      <c r="C429" s="28">
        <v>2005</v>
      </c>
      <c r="D429" s="26" t="s">
        <v>127</v>
      </c>
      <c r="E429" s="26" t="s">
        <v>563</v>
      </c>
      <c r="F429" s="2" t="s">
        <v>175</v>
      </c>
      <c r="G429" s="2" t="s">
        <v>84</v>
      </c>
      <c r="H429" s="2" t="s">
        <v>24</v>
      </c>
      <c r="I429" s="2" t="s">
        <v>175</v>
      </c>
      <c r="J429" s="2" t="s">
        <v>189</v>
      </c>
      <c r="K429" s="2" t="s">
        <v>175</v>
      </c>
      <c r="L429" s="2" t="s">
        <v>175</v>
      </c>
      <c r="M429" s="2" t="s">
        <v>175</v>
      </c>
      <c r="N429" s="2" t="s">
        <v>62</v>
      </c>
      <c r="O429" s="2" t="s">
        <v>43</v>
      </c>
      <c r="P429" s="2" t="s">
        <v>62</v>
      </c>
      <c r="Q429" s="26" t="s">
        <v>607</v>
      </c>
      <c r="R429" s="79" t="s">
        <v>613</v>
      </c>
      <c r="S429" s="88">
        <v>1</v>
      </c>
      <c r="T429" s="61">
        <v>27</v>
      </c>
      <c r="U429" s="2">
        <v>1</v>
      </c>
      <c r="V429" s="26">
        <v>0</v>
      </c>
      <c r="W429" s="26">
        <v>1</v>
      </c>
      <c r="X429" s="26">
        <v>1</v>
      </c>
      <c r="Y429" s="26">
        <v>1</v>
      </c>
      <c r="Z429" s="26">
        <v>0</v>
      </c>
      <c r="AA429" s="26">
        <v>0</v>
      </c>
      <c r="AB429" s="26">
        <v>0</v>
      </c>
      <c r="AC429" s="26" t="s">
        <v>70</v>
      </c>
      <c r="AD429" s="26" t="s">
        <v>70</v>
      </c>
      <c r="AE429" s="26" t="s">
        <v>70</v>
      </c>
      <c r="AF429" s="26" t="s">
        <v>70</v>
      </c>
      <c r="AG429" s="33">
        <v>428</v>
      </c>
      <c r="AH429" s="26" t="s">
        <v>70</v>
      </c>
      <c r="AI429" s="26" t="s">
        <v>70</v>
      </c>
      <c r="AJ429" s="26" t="s">
        <v>163</v>
      </c>
      <c r="AK429" s="26" t="s">
        <v>70</v>
      </c>
      <c r="AL429" s="26" t="s">
        <v>70</v>
      </c>
      <c r="AM429" s="61" t="s">
        <v>175</v>
      </c>
      <c r="AN429" s="32" t="s">
        <v>9</v>
      </c>
      <c r="AO429" s="26" t="s">
        <v>548</v>
      </c>
      <c r="AP429" s="26" t="s">
        <v>548</v>
      </c>
      <c r="AQ429" s="26" t="s">
        <v>548</v>
      </c>
      <c r="AR429" s="26" t="s">
        <v>548</v>
      </c>
      <c r="AS429" s="26" t="s">
        <v>175</v>
      </c>
      <c r="AT429" s="26" t="s">
        <v>70</v>
      </c>
      <c r="AU429" s="26" t="s">
        <v>70</v>
      </c>
      <c r="AV429" s="26">
        <v>10</v>
      </c>
    </row>
    <row r="430" spans="1:48" ht="14" customHeight="1">
      <c r="A430" s="27">
        <v>429</v>
      </c>
      <c r="B430" s="27" t="s">
        <v>471</v>
      </c>
      <c r="C430" s="27">
        <v>1992</v>
      </c>
      <c r="D430" s="26" t="s">
        <v>18</v>
      </c>
      <c r="E430" s="26" t="s">
        <v>566</v>
      </c>
      <c r="F430" s="82" t="s">
        <v>548</v>
      </c>
      <c r="G430" s="2" t="s">
        <v>84</v>
      </c>
      <c r="H430" s="2" t="s">
        <v>24</v>
      </c>
      <c r="I430" s="2" t="s">
        <v>548</v>
      </c>
      <c r="J430" s="2" t="s">
        <v>604</v>
      </c>
      <c r="K430" s="2" t="s">
        <v>548</v>
      </c>
      <c r="L430" s="2" t="s">
        <v>548</v>
      </c>
      <c r="M430" s="2" t="s">
        <v>548</v>
      </c>
      <c r="N430" s="2" t="s">
        <v>70</v>
      </c>
      <c r="O430" s="2" t="s">
        <v>209</v>
      </c>
      <c r="P430" s="2" t="s">
        <v>612</v>
      </c>
      <c r="Q430" s="2" t="s">
        <v>42</v>
      </c>
      <c r="R430" s="79" t="s">
        <v>613</v>
      </c>
      <c r="S430" s="88">
        <f>150/T430</f>
        <v>0.59055118110236215</v>
      </c>
      <c r="T430" s="26">
        <v>254</v>
      </c>
      <c r="U430" s="82">
        <v>0</v>
      </c>
      <c r="V430" s="26">
        <v>0</v>
      </c>
      <c r="W430" s="26">
        <v>1</v>
      </c>
      <c r="X430" s="26">
        <v>1</v>
      </c>
      <c r="Y430" s="26">
        <v>0</v>
      </c>
      <c r="Z430" s="26">
        <v>0</v>
      </c>
      <c r="AA430" s="26">
        <v>0</v>
      </c>
      <c r="AB430" s="26">
        <v>0</v>
      </c>
      <c r="AC430" s="26" t="s">
        <v>70</v>
      </c>
      <c r="AD430" s="26" t="s">
        <v>70</v>
      </c>
      <c r="AE430" s="26" t="s">
        <v>70</v>
      </c>
      <c r="AF430" s="26" t="s">
        <v>70</v>
      </c>
      <c r="AG430" s="26" t="s">
        <v>70</v>
      </c>
      <c r="AH430" s="26" t="s">
        <v>70</v>
      </c>
      <c r="AI430" s="26" t="s">
        <v>70</v>
      </c>
      <c r="AJ430" s="26" t="s">
        <v>70</v>
      </c>
      <c r="AK430" s="26" t="s">
        <v>70</v>
      </c>
      <c r="AL430" s="26" t="s">
        <v>70</v>
      </c>
      <c r="AM430" s="35" t="s">
        <v>548</v>
      </c>
      <c r="AN430" s="32" t="s">
        <v>274</v>
      </c>
      <c r="AO430" s="35" t="s">
        <v>548</v>
      </c>
      <c r="AP430" s="35" t="s">
        <v>548</v>
      </c>
      <c r="AQ430" s="35" t="s">
        <v>548</v>
      </c>
      <c r="AR430" s="35" t="s">
        <v>548</v>
      </c>
      <c r="AS430" s="38" t="s">
        <v>175</v>
      </c>
      <c r="AT430" s="26" t="s">
        <v>70</v>
      </c>
      <c r="AU430" s="26" t="s">
        <v>70</v>
      </c>
      <c r="AV430" s="26">
        <v>3</v>
      </c>
    </row>
    <row r="431" spans="1:48" ht="14" customHeight="1">
      <c r="A431" s="27">
        <v>430</v>
      </c>
      <c r="B431" s="27" t="s">
        <v>471</v>
      </c>
      <c r="C431" s="27">
        <v>1992</v>
      </c>
      <c r="D431" s="26" t="s">
        <v>18</v>
      </c>
      <c r="E431" s="26" t="s">
        <v>566</v>
      </c>
      <c r="F431" s="82" t="s">
        <v>548</v>
      </c>
      <c r="G431" s="2" t="s">
        <v>84</v>
      </c>
      <c r="H431" s="2" t="s">
        <v>24</v>
      </c>
      <c r="I431" s="2" t="s">
        <v>548</v>
      </c>
      <c r="J431" s="2" t="s">
        <v>604</v>
      </c>
      <c r="K431" s="2" t="s">
        <v>548</v>
      </c>
      <c r="L431" s="2" t="s">
        <v>548</v>
      </c>
      <c r="M431" s="2" t="s">
        <v>548</v>
      </c>
      <c r="N431" s="2" t="s">
        <v>62</v>
      </c>
      <c r="O431" s="2" t="s">
        <v>43</v>
      </c>
      <c r="P431" s="2" t="s">
        <v>62</v>
      </c>
      <c r="Q431" s="26" t="s">
        <v>247</v>
      </c>
      <c r="R431" s="79" t="s">
        <v>613</v>
      </c>
      <c r="S431" s="88">
        <f>1-0.207</f>
        <v>0.79300000000000004</v>
      </c>
      <c r="T431" s="26">
        <v>121</v>
      </c>
      <c r="U431" s="82">
        <v>0</v>
      </c>
      <c r="V431" s="26">
        <v>0</v>
      </c>
      <c r="W431" s="26">
        <v>1</v>
      </c>
      <c r="X431" s="26">
        <v>1</v>
      </c>
      <c r="Y431" s="26">
        <v>0</v>
      </c>
      <c r="Z431" s="26">
        <v>0</v>
      </c>
      <c r="AA431" s="26">
        <v>0</v>
      </c>
      <c r="AB431" s="26">
        <v>0</v>
      </c>
      <c r="AC431" s="26">
        <v>0.20699999999999999</v>
      </c>
      <c r="AD431" s="26">
        <v>0.53700000000000003</v>
      </c>
      <c r="AE431" s="26" t="s">
        <v>70</v>
      </c>
      <c r="AF431" s="26" t="s">
        <v>70</v>
      </c>
      <c r="AG431" s="26" t="s">
        <v>70</v>
      </c>
      <c r="AH431" s="26" t="s">
        <v>70</v>
      </c>
      <c r="AI431" s="26" t="s">
        <v>70</v>
      </c>
      <c r="AJ431" s="26" t="s">
        <v>70</v>
      </c>
      <c r="AK431" s="26" t="s">
        <v>70</v>
      </c>
      <c r="AL431" s="26" t="s">
        <v>70</v>
      </c>
      <c r="AM431" s="35" t="s">
        <v>548</v>
      </c>
      <c r="AN431" s="26" t="s">
        <v>274</v>
      </c>
      <c r="AO431" s="35" t="s">
        <v>548</v>
      </c>
      <c r="AP431" s="35" t="s">
        <v>548</v>
      </c>
      <c r="AQ431" s="35" t="s">
        <v>548</v>
      </c>
      <c r="AR431" s="35" t="s">
        <v>548</v>
      </c>
      <c r="AS431" s="38" t="s">
        <v>175</v>
      </c>
      <c r="AT431" s="26" t="s">
        <v>70</v>
      </c>
      <c r="AU431" s="26" t="s">
        <v>70</v>
      </c>
      <c r="AV431" s="26">
        <v>3</v>
      </c>
    </row>
    <row r="432" spans="1:48" ht="14" customHeight="1">
      <c r="A432" s="27">
        <v>431</v>
      </c>
      <c r="B432" s="27" t="s">
        <v>471</v>
      </c>
      <c r="C432" s="27">
        <v>1995</v>
      </c>
      <c r="D432" s="26" t="s">
        <v>18</v>
      </c>
      <c r="E432" s="26" t="s">
        <v>566</v>
      </c>
      <c r="F432" s="77" t="s">
        <v>175</v>
      </c>
      <c r="G432" s="2" t="s">
        <v>84</v>
      </c>
      <c r="H432" s="2" t="s">
        <v>24</v>
      </c>
      <c r="I432" s="2" t="s">
        <v>548</v>
      </c>
      <c r="J432" s="2" t="s">
        <v>183</v>
      </c>
      <c r="K432" s="2" t="s">
        <v>548</v>
      </c>
      <c r="L432" s="2" t="s">
        <v>548</v>
      </c>
      <c r="M432" s="2" t="s">
        <v>548</v>
      </c>
      <c r="N432" s="2" t="s">
        <v>210</v>
      </c>
      <c r="O432" s="2" t="s">
        <v>43</v>
      </c>
      <c r="P432" s="2" t="s">
        <v>210</v>
      </c>
      <c r="Q432" s="2" t="s">
        <v>42</v>
      </c>
      <c r="R432" s="79" t="s">
        <v>613</v>
      </c>
      <c r="S432" s="88">
        <v>0.23810000000000001</v>
      </c>
      <c r="T432" s="26">
        <v>63</v>
      </c>
      <c r="U432" s="77">
        <v>1</v>
      </c>
      <c r="V432" s="26">
        <v>0</v>
      </c>
      <c r="W432" s="26">
        <v>1</v>
      </c>
      <c r="X432" s="26">
        <v>1</v>
      </c>
      <c r="Y432" s="26">
        <v>1</v>
      </c>
      <c r="Z432" s="26">
        <v>0</v>
      </c>
      <c r="AA432" s="26">
        <v>0</v>
      </c>
      <c r="AB432" s="26">
        <v>0</v>
      </c>
      <c r="AC432" s="33">
        <v>0.76190000000000002</v>
      </c>
      <c r="AD432" s="33">
        <v>0.20960000000000001</v>
      </c>
      <c r="AE432" s="33">
        <v>3.2199999999999999E-2</v>
      </c>
      <c r="AF432" s="33">
        <v>0</v>
      </c>
      <c r="AG432" s="26" t="s">
        <v>70</v>
      </c>
      <c r="AH432" s="26" t="s">
        <v>70</v>
      </c>
      <c r="AI432" s="26" t="s">
        <v>70</v>
      </c>
      <c r="AJ432" s="26" t="s">
        <v>70</v>
      </c>
      <c r="AK432" s="26" t="s">
        <v>70</v>
      </c>
      <c r="AL432" s="26" t="s">
        <v>70</v>
      </c>
      <c r="AM432" s="35" t="s">
        <v>548</v>
      </c>
      <c r="AN432" s="26" t="s">
        <v>274</v>
      </c>
      <c r="AO432" s="35" t="s">
        <v>548</v>
      </c>
      <c r="AP432" s="35" t="s">
        <v>548</v>
      </c>
      <c r="AQ432" s="35" t="s">
        <v>548</v>
      </c>
      <c r="AR432" s="35" t="s">
        <v>548</v>
      </c>
      <c r="AS432" s="38" t="s">
        <v>175</v>
      </c>
      <c r="AT432" s="26" t="s">
        <v>70</v>
      </c>
      <c r="AU432" s="26" t="s">
        <v>70</v>
      </c>
      <c r="AV432" s="26">
        <v>5</v>
      </c>
    </row>
    <row r="433" spans="1:48" ht="14" customHeight="1">
      <c r="A433" s="27">
        <v>432</v>
      </c>
      <c r="B433" s="27" t="s">
        <v>471</v>
      </c>
      <c r="C433" s="27">
        <v>1995</v>
      </c>
      <c r="D433" s="26" t="s">
        <v>18</v>
      </c>
      <c r="E433" s="26" t="s">
        <v>566</v>
      </c>
      <c r="F433" s="77" t="s">
        <v>175</v>
      </c>
      <c r="G433" s="2" t="s">
        <v>84</v>
      </c>
      <c r="H433" s="2" t="s">
        <v>24</v>
      </c>
      <c r="I433" s="2" t="s">
        <v>548</v>
      </c>
      <c r="J433" s="2" t="s">
        <v>183</v>
      </c>
      <c r="K433" s="2" t="s">
        <v>548</v>
      </c>
      <c r="L433" s="2" t="s">
        <v>548</v>
      </c>
      <c r="M433" s="2" t="s">
        <v>548</v>
      </c>
      <c r="N433" s="2" t="s">
        <v>70</v>
      </c>
      <c r="O433" s="2" t="s">
        <v>209</v>
      </c>
      <c r="P433" s="2" t="s">
        <v>611</v>
      </c>
      <c r="Q433" s="2" t="s">
        <v>42</v>
      </c>
      <c r="R433" s="79" t="s">
        <v>613</v>
      </c>
      <c r="S433" s="88">
        <f>42/51</f>
        <v>0.82352941176470584</v>
      </c>
      <c r="T433" s="26">
        <v>51</v>
      </c>
      <c r="U433" s="77">
        <v>1</v>
      </c>
      <c r="V433" s="26">
        <v>0</v>
      </c>
      <c r="W433" s="26">
        <v>1</v>
      </c>
      <c r="X433" s="26">
        <v>1</v>
      </c>
      <c r="Y433" s="26">
        <v>1</v>
      </c>
      <c r="Z433" s="26">
        <v>0</v>
      </c>
      <c r="AA433" s="26">
        <v>0</v>
      </c>
      <c r="AB433" s="26">
        <v>0</v>
      </c>
      <c r="AC433" s="26">
        <f>9/51*100/100</f>
        <v>0.17647058823529413</v>
      </c>
      <c r="AD433" s="26">
        <f>12/0.51/100</f>
        <v>0.23529411764705879</v>
      </c>
      <c r="AE433" s="26">
        <f>14/0.51/100</f>
        <v>0.2745098039215686</v>
      </c>
      <c r="AF433" s="26">
        <f>16/0.51/100</f>
        <v>0.31372549019607843</v>
      </c>
      <c r="AG433" s="26" t="s">
        <v>70</v>
      </c>
      <c r="AH433" s="26" t="s">
        <v>70</v>
      </c>
      <c r="AI433" s="26" t="s">
        <v>70</v>
      </c>
      <c r="AJ433" s="26" t="s">
        <v>70</v>
      </c>
      <c r="AK433" s="26" t="s">
        <v>70</v>
      </c>
      <c r="AL433" s="26" t="s">
        <v>70</v>
      </c>
      <c r="AM433" s="35" t="s">
        <v>548</v>
      </c>
      <c r="AN433" s="26" t="s">
        <v>274</v>
      </c>
      <c r="AO433" s="35" t="s">
        <v>548</v>
      </c>
      <c r="AP433" s="35" t="s">
        <v>548</v>
      </c>
      <c r="AQ433" s="35" t="s">
        <v>548</v>
      </c>
      <c r="AR433" s="35" t="s">
        <v>548</v>
      </c>
      <c r="AS433" s="38" t="s">
        <v>175</v>
      </c>
      <c r="AT433" s="26" t="s">
        <v>70</v>
      </c>
      <c r="AU433" s="26" t="s">
        <v>70</v>
      </c>
      <c r="AV433" s="26">
        <v>5</v>
      </c>
    </row>
    <row r="434" spans="1:48" ht="14" customHeight="1">
      <c r="A434" s="27">
        <v>433</v>
      </c>
      <c r="B434" s="27" t="s">
        <v>471</v>
      </c>
      <c r="C434" s="27">
        <v>1995</v>
      </c>
      <c r="D434" s="26" t="s">
        <v>18</v>
      </c>
      <c r="E434" s="26" t="s">
        <v>566</v>
      </c>
      <c r="F434" s="77" t="s">
        <v>175</v>
      </c>
      <c r="G434" s="2" t="s">
        <v>84</v>
      </c>
      <c r="H434" s="2" t="s">
        <v>24</v>
      </c>
      <c r="I434" s="2" t="s">
        <v>548</v>
      </c>
      <c r="J434" s="2" t="s">
        <v>183</v>
      </c>
      <c r="K434" s="2" t="s">
        <v>548</v>
      </c>
      <c r="L434" s="2" t="s">
        <v>548</v>
      </c>
      <c r="M434" s="2" t="s">
        <v>548</v>
      </c>
      <c r="N434" s="2" t="s">
        <v>70</v>
      </c>
      <c r="O434" s="2" t="s">
        <v>209</v>
      </c>
      <c r="P434" s="2" t="s">
        <v>612</v>
      </c>
      <c r="Q434" s="2" t="s">
        <v>42</v>
      </c>
      <c r="R434" s="79" t="s">
        <v>613</v>
      </c>
      <c r="S434" s="88">
        <v>0.4</v>
      </c>
      <c r="T434" s="26">
        <v>10</v>
      </c>
      <c r="U434" s="77">
        <v>1</v>
      </c>
      <c r="V434" s="26">
        <v>0</v>
      </c>
      <c r="W434" s="26">
        <v>1</v>
      </c>
      <c r="X434" s="26">
        <v>1</v>
      </c>
      <c r="Y434" s="26">
        <v>1</v>
      </c>
      <c r="Z434" s="26">
        <v>0</v>
      </c>
      <c r="AA434" s="26">
        <v>0</v>
      </c>
      <c r="AB434" s="26">
        <v>0</v>
      </c>
      <c r="AC434" s="33">
        <v>0.6</v>
      </c>
      <c r="AD434" s="33">
        <v>0.1</v>
      </c>
      <c r="AE434" s="33">
        <v>0.1</v>
      </c>
      <c r="AF434" s="33">
        <v>0.2</v>
      </c>
      <c r="AG434" s="26" t="s">
        <v>70</v>
      </c>
      <c r="AH434" s="26" t="s">
        <v>70</v>
      </c>
      <c r="AI434" s="26" t="s">
        <v>70</v>
      </c>
      <c r="AJ434" s="26" t="s">
        <v>70</v>
      </c>
      <c r="AK434" s="26" t="s">
        <v>70</v>
      </c>
      <c r="AL434" s="26" t="s">
        <v>70</v>
      </c>
      <c r="AM434" s="35" t="s">
        <v>548</v>
      </c>
      <c r="AN434" s="32" t="s">
        <v>274</v>
      </c>
      <c r="AO434" s="35" t="s">
        <v>548</v>
      </c>
      <c r="AP434" s="35" t="s">
        <v>548</v>
      </c>
      <c r="AQ434" s="35" t="s">
        <v>548</v>
      </c>
      <c r="AR434" s="35" t="s">
        <v>548</v>
      </c>
      <c r="AS434" s="38" t="s">
        <v>175</v>
      </c>
      <c r="AT434" s="26" t="s">
        <v>70</v>
      </c>
      <c r="AU434" s="26" t="s">
        <v>70</v>
      </c>
      <c r="AV434" s="26">
        <v>5</v>
      </c>
    </row>
    <row r="435" spans="1:48" ht="14" customHeight="1">
      <c r="A435" s="27">
        <v>434</v>
      </c>
      <c r="B435" s="27" t="s">
        <v>472</v>
      </c>
      <c r="C435" s="37">
        <v>2006</v>
      </c>
      <c r="D435" s="26" t="s">
        <v>18</v>
      </c>
      <c r="E435" s="26" t="s">
        <v>566</v>
      </c>
      <c r="F435" s="77" t="s">
        <v>175</v>
      </c>
      <c r="G435" s="2" t="s">
        <v>84</v>
      </c>
      <c r="H435" s="2" t="s">
        <v>30</v>
      </c>
      <c r="I435" s="2" t="s">
        <v>548</v>
      </c>
      <c r="J435" s="2" t="s">
        <v>604</v>
      </c>
      <c r="K435" s="2" t="s">
        <v>548</v>
      </c>
      <c r="L435" s="2" t="s">
        <v>548</v>
      </c>
      <c r="M435" s="2" t="s">
        <v>548</v>
      </c>
      <c r="N435" s="2" t="s">
        <v>210</v>
      </c>
      <c r="O435" s="2" t="s">
        <v>43</v>
      </c>
      <c r="P435" s="2" t="s">
        <v>210</v>
      </c>
      <c r="Q435" s="2" t="s">
        <v>42</v>
      </c>
      <c r="R435" s="102" t="s">
        <v>614</v>
      </c>
      <c r="S435" s="88">
        <f>9/T435</f>
        <v>0.45</v>
      </c>
      <c r="T435" s="26">
        <v>20</v>
      </c>
      <c r="U435" s="77">
        <v>1</v>
      </c>
      <c r="V435" s="26">
        <v>0</v>
      </c>
      <c r="W435" s="26">
        <v>1</v>
      </c>
      <c r="X435" s="26">
        <v>1</v>
      </c>
      <c r="Y435" s="26">
        <v>0</v>
      </c>
      <c r="Z435" s="26">
        <v>0</v>
      </c>
      <c r="AA435" s="26">
        <v>0</v>
      </c>
      <c r="AB435" s="26">
        <v>0</v>
      </c>
      <c r="AC435" s="26">
        <f>11/20</f>
        <v>0.55000000000000004</v>
      </c>
      <c r="AD435" s="35">
        <f>6/20</f>
        <v>0.3</v>
      </c>
      <c r="AE435" s="26">
        <f>1/20</f>
        <v>0.05</v>
      </c>
      <c r="AF435" s="26">
        <f>2/20</f>
        <v>0.1</v>
      </c>
      <c r="AG435" s="33" t="s">
        <v>42</v>
      </c>
      <c r="AH435" s="33" t="s">
        <v>70</v>
      </c>
      <c r="AI435" s="33" t="s">
        <v>70</v>
      </c>
      <c r="AJ435" s="26" t="s">
        <v>176</v>
      </c>
      <c r="AK435" s="33" t="s">
        <v>70</v>
      </c>
      <c r="AL435" s="33" t="s">
        <v>70</v>
      </c>
      <c r="AM435" s="35" t="s">
        <v>548</v>
      </c>
      <c r="AN435" s="26" t="s">
        <v>274</v>
      </c>
      <c r="AO435" s="35" t="s">
        <v>548</v>
      </c>
      <c r="AP435" s="35" t="s">
        <v>548</v>
      </c>
      <c r="AQ435" s="35" t="s">
        <v>548</v>
      </c>
      <c r="AR435" s="35" t="s">
        <v>548</v>
      </c>
      <c r="AS435" s="26" t="s">
        <v>175</v>
      </c>
      <c r="AT435" s="26" t="s">
        <v>70</v>
      </c>
      <c r="AU435" s="26" t="s">
        <v>70</v>
      </c>
      <c r="AV435" s="26">
        <v>4</v>
      </c>
    </row>
    <row r="436" spans="1:48" ht="14" customHeight="1">
      <c r="A436" s="27">
        <v>435</v>
      </c>
      <c r="B436" s="27" t="s">
        <v>473</v>
      </c>
      <c r="C436" s="27">
        <v>2012</v>
      </c>
      <c r="D436" s="26" t="s">
        <v>18</v>
      </c>
      <c r="E436" s="26" t="s">
        <v>566</v>
      </c>
      <c r="F436" s="77" t="s">
        <v>175</v>
      </c>
      <c r="G436" s="2" t="s">
        <v>84</v>
      </c>
      <c r="H436" s="2" t="s">
        <v>30</v>
      </c>
      <c r="I436" s="2" t="s">
        <v>175</v>
      </c>
      <c r="J436" s="2" t="s">
        <v>604</v>
      </c>
      <c r="K436" s="2" t="s">
        <v>548</v>
      </c>
      <c r="L436" s="2" t="s">
        <v>548</v>
      </c>
      <c r="M436" s="2" t="s">
        <v>175</v>
      </c>
      <c r="N436" s="2" t="s">
        <v>210</v>
      </c>
      <c r="O436" s="2" t="s">
        <v>43</v>
      </c>
      <c r="P436" s="2" t="s">
        <v>210</v>
      </c>
      <c r="Q436" s="2" t="s">
        <v>42</v>
      </c>
      <c r="R436" s="102" t="s">
        <v>614</v>
      </c>
      <c r="S436" s="88">
        <v>0.85</v>
      </c>
      <c r="T436" s="26">
        <v>20</v>
      </c>
      <c r="U436" s="77">
        <v>1</v>
      </c>
      <c r="V436" s="26">
        <v>0</v>
      </c>
      <c r="W436" s="26">
        <v>1</v>
      </c>
      <c r="X436" s="26">
        <v>1</v>
      </c>
      <c r="Y436" s="26">
        <v>1</v>
      </c>
      <c r="Z436" s="26">
        <v>1</v>
      </c>
      <c r="AA436" s="26">
        <v>1</v>
      </c>
      <c r="AB436" s="26">
        <v>1</v>
      </c>
      <c r="AC436" s="26" t="s">
        <v>70</v>
      </c>
      <c r="AD436" s="26" t="s">
        <v>70</v>
      </c>
      <c r="AE436" s="26" t="s">
        <v>70</v>
      </c>
      <c r="AF436" s="26" t="s">
        <v>70</v>
      </c>
      <c r="AG436" s="26" t="s">
        <v>70</v>
      </c>
      <c r="AH436" s="26" t="s">
        <v>70</v>
      </c>
      <c r="AI436" s="26" t="s">
        <v>70</v>
      </c>
      <c r="AJ436" s="26" t="s">
        <v>70</v>
      </c>
      <c r="AK436" s="26" t="s">
        <v>70</v>
      </c>
      <c r="AL436" s="26" t="s">
        <v>70</v>
      </c>
      <c r="AM436" s="35" t="s">
        <v>175</v>
      </c>
      <c r="AN436" s="26" t="s">
        <v>274</v>
      </c>
      <c r="AO436" s="35" t="s">
        <v>175</v>
      </c>
      <c r="AP436" s="35" t="s">
        <v>548</v>
      </c>
      <c r="AQ436" s="35" t="s">
        <v>548</v>
      </c>
      <c r="AR436" s="35" t="s">
        <v>548</v>
      </c>
      <c r="AS436" s="26" t="s">
        <v>175</v>
      </c>
      <c r="AT436" s="26" t="s">
        <v>70</v>
      </c>
      <c r="AU436" s="26" t="s">
        <v>70</v>
      </c>
      <c r="AV436" s="26">
        <v>11</v>
      </c>
    </row>
    <row r="437" spans="1:48" ht="14" customHeight="1">
      <c r="A437" s="27">
        <v>436</v>
      </c>
      <c r="B437" s="27" t="s">
        <v>473</v>
      </c>
      <c r="C437" s="27">
        <v>2012</v>
      </c>
      <c r="D437" s="26" t="s">
        <v>18</v>
      </c>
      <c r="E437" s="26" t="s">
        <v>566</v>
      </c>
      <c r="F437" s="77" t="s">
        <v>175</v>
      </c>
      <c r="G437" s="2" t="s">
        <v>84</v>
      </c>
      <c r="H437" s="2" t="s">
        <v>30</v>
      </c>
      <c r="I437" s="2" t="s">
        <v>548</v>
      </c>
      <c r="J437" s="2" t="s">
        <v>604</v>
      </c>
      <c r="K437" s="2" t="s">
        <v>548</v>
      </c>
      <c r="L437" s="2" t="s">
        <v>548</v>
      </c>
      <c r="M437" s="2" t="s">
        <v>175</v>
      </c>
      <c r="N437" s="2" t="s">
        <v>62</v>
      </c>
      <c r="O437" s="2" t="s">
        <v>43</v>
      </c>
      <c r="P437" s="2" t="s">
        <v>62</v>
      </c>
      <c r="Q437" s="26" t="s">
        <v>606</v>
      </c>
      <c r="R437" s="102" t="s">
        <v>614</v>
      </c>
      <c r="S437" s="88">
        <v>0.61099999999999999</v>
      </c>
      <c r="T437" s="26">
        <v>49</v>
      </c>
      <c r="U437" s="77">
        <v>1</v>
      </c>
      <c r="V437" s="26">
        <v>0</v>
      </c>
      <c r="W437" s="26">
        <v>1</v>
      </c>
      <c r="X437" s="26">
        <v>1</v>
      </c>
      <c r="Y437" s="26">
        <v>1</v>
      </c>
      <c r="Z437" s="26">
        <v>1</v>
      </c>
      <c r="AA437" s="26">
        <v>1</v>
      </c>
      <c r="AB437" s="26">
        <v>1</v>
      </c>
      <c r="AC437" s="26" t="s">
        <v>70</v>
      </c>
      <c r="AD437" s="26" t="s">
        <v>70</v>
      </c>
      <c r="AE437" s="26" t="s">
        <v>70</v>
      </c>
      <c r="AF437" s="26" t="s">
        <v>70</v>
      </c>
      <c r="AG437" s="26" t="s">
        <v>70</v>
      </c>
      <c r="AH437" s="26" t="s">
        <v>70</v>
      </c>
      <c r="AI437" s="26" t="s">
        <v>70</v>
      </c>
      <c r="AJ437" s="26" t="s">
        <v>70</v>
      </c>
      <c r="AK437" s="26" t="s">
        <v>70</v>
      </c>
      <c r="AL437" s="26" t="s">
        <v>70</v>
      </c>
      <c r="AM437" s="35" t="s">
        <v>175</v>
      </c>
      <c r="AN437" s="26" t="s">
        <v>274</v>
      </c>
      <c r="AO437" s="35" t="s">
        <v>175</v>
      </c>
      <c r="AP437" s="35" t="s">
        <v>548</v>
      </c>
      <c r="AQ437" s="35" t="s">
        <v>548</v>
      </c>
      <c r="AR437" s="35" t="s">
        <v>548</v>
      </c>
      <c r="AS437" s="26" t="s">
        <v>175</v>
      </c>
      <c r="AT437" s="26" t="s">
        <v>70</v>
      </c>
      <c r="AU437" s="26" t="s">
        <v>70</v>
      </c>
      <c r="AV437" s="26">
        <v>10</v>
      </c>
    </row>
    <row r="438" spans="1:48" ht="14" customHeight="1">
      <c r="A438" s="27">
        <v>437</v>
      </c>
      <c r="B438" s="27" t="s">
        <v>474</v>
      </c>
      <c r="C438" s="28">
        <v>2011</v>
      </c>
      <c r="D438" s="26" t="s">
        <v>69</v>
      </c>
      <c r="E438" s="26" t="s">
        <v>565</v>
      </c>
      <c r="F438" s="2" t="s">
        <v>175</v>
      </c>
      <c r="G438" s="2" t="s">
        <v>106</v>
      </c>
      <c r="H438" s="2" t="s">
        <v>30</v>
      </c>
      <c r="I438" s="2" t="s">
        <v>548</v>
      </c>
      <c r="J438" s="2" t="s">
        <v>603</v>
      </c>
      <c r="K438" s="2" t="s">
        <v>548</v>
      </c>
      <c r="L438" s="2" t="s">
        <v>548</v>
      </c>
      <c r="M438" s="2" t="s">
        <v>175</v>
      </c>
      <c r="N438" s="2" t="s">
        <v>70</v>
      </c>
      <c r="O438" s="2" t="s">
        <v>209</v>
      </c>
      <c r="P438" s="2" t="s">
        <v>612</v>
      </c>
      <c r="Q438" s="2" t="s">
        <v>42</v>
      </c>
      <c r="R438" s="102" t="s">
        <v>614</v>
      </c>
      <c r="S438" s="88">
        <v>0.39500000000000002</v>
      </c>
      <c r="T438" s="61">
        <v>177</v>
      </c>
      <c r="U438" s="2">
        <v>1</v>
      </c>
      <c r="V438" s="26">
        <v>0</v>
      </c>
      <c r="W438" s="26">
        <v>1</v>
      </c>
      <c r="X438" s="26">
        <v>1</v>
      </c>
      <c r="Y438" s="26">
        <v>1</v>
      </c>
      <c r="Z438" s="26">
        <v>0</v>
      </c>
      <c r="AA438" s="26">
        <v>0</v>
      </c>
      <c r="AB438" s="26">
        <v>0</v>
      </c>
      <c r="AC438" s="26" t="s">
        <v>70</v>
      </c>
      <c r="AD438" s="26" t="s">
        <v>70</v>
      </c>
      <c r="AE438" s="26" t="s">
        <v>70</v>
      </c>
      <c r="AF438" s="26" t="s">
        <v>70</v>
      </c>
      <c r="AG438" s="33" t="s">
        <v>70</v>
      </c>
      <c r="AH438" s="26" t="s">
        <v>70</v>
      </c>
      <c r="AI438" s="26" t="s">
        <v>70</v>
      </c>
      <c r="AJ438" s="26" t="s">
        <v>70</v>
      </c>
      <c r="AK438" s="26" t="s">
        <v>70</v>
      </c>
      <c r="AL438" s="26" t="s">
        <v>70</v>
      </c>
      <c r="AM438" s="61" t="s">
        <v>175</v>
      </c>
      <c r="AN438" s="26" t="s">
        <v>274</v>
      </c>
      <c r="AO438" s="26" t="s">
        <v>175</v>
      </c>
      <c r="AP438" s="26" t="s">
        <v>548</v>
      </c>
      <c r="AQ438" s="26" t="s">
        <v>548</v>
      </c>
      <c r="AR438" s="26" t="s">
        <v>548</v>
      </c>
      <c r="AS438" s="26" t="s">
        <v>175</v>
      </c>
      <c r="AT438" s="26" t="s">
        <v>70</v>
      </c>
      <c r="AU438" s="26" t="s">
        <v>70</v>
      </c>
      <c r="AV438" s="26">
        <v>7</v>
      </c>
    </row>
    <row r="439" spans="1:48" ht="14" customHeight="1">
      <c r="A439" s="27">
        <v>438</v>
      </c>
      <c r="B439" s="27" t="s">
        <v>474</v>
      </c>
      <c r="C439" s="28">
        <v>2011</v>
      </c>
      <c r="D439" s="26" t="s">
        <v>69</v>
      </c>
      <c r="E439" s="26" t="s">
        <v>565</v>
      </c>
      <c r="F439" s="2" t="s">
        <v>175</v>
      </c>
      <c r="G439" s="2" t="s">
        <v>106</v>
      </c>
      <c r="H439" s="2" t="s">
        <v>30</v>
      </c>
      <c r="I439" s="2" t="s">
        <v>548</v>
      </c>
      <c r="J439" s="2" t="s">
        <v>603</v>
      </c>
      <c r="K439" s="2" t="s">
        <v>548</v>
      </c>
      <c r="L439" s="2" t="s">
        <v>548</v>
      </c>
      <c r="M439" s="2" t="s">
        <v>175</v>
      </c>
      <c r="N439" s="2" t="s">
        <v>167</v>
      </c>
      <c r="O439" s="2" t="s">
        <v>60</v>
      </c>
      <c r="P439" s="2" t="s">
        <v>167</v>
      </c>
      <c r="Q439" s="2" t="s">
        <v>42</v>
      </c>
      <c r="R439" s="102" t="s">
        <v>614</v>
      </c>
      <c r="S439" s="88">
        <v>5.6000000000000001E-2</v>
      </c>
      <c r="T439" s="61">
        <v>89</v>
      </c>
      <c r="U439" s="2">
        <v>1</v>
      </c>
      <c r="V439" s="26">
        <v>0</v>
      </c>
      <c r="W439" s="26">
        <v>1</v>
      </c>
      <c r="X439" s="26">
        <v>1</v>
      </c>
      <c r="Y439" s="26">
        <v>1</v>
      </c>
      <c r="Z439" s="26">
        <v>0</v>
      </c>
      <c r="AA439" s="26">
        <v>0</v>
      </c>
      <c r="AB439" s="26">
        <v>0</v>
      </c>
      <c r="AC439" s="26" t="s">
        <v>70</v>
      </c>
      <c r="AD439" s="26" t="s">
        <v>70</v>
      </c>
      <c r="AE439" s="26" t="s">
        <v>70</v>
      </c>
      <c r="AF439" s="26" t="s">
        <v>70</v>
      </c>
      <c r="AG439" s="33" t="s">
        <v>70</v>
      </c>
      <c r="AH439" s="26" t="s">
        <v>70</v>
      </c>
      <c r="AI439" s="26" t="s">
        <v>70</v>
      </c>
      <c r="AJ439" s="26" t="s">
        <v>70</v>
      </c>
      <c r="AK439" s="26" t="s">
        <v>70</v>
      </c>
      <c r="AL439" s="26" t="s">
        <v>70</v>
      </c>
      <c r="AM439" s="61" t="s">
        <v>175</v>
      </c>
      <c r="AN439" s="26" t="s">
        <v>274</v>
      </c>
      <c r="AO439" s="26" t="s">
        <v>175</v>
      </c>
      <c r="AP439" s="26" t="s">
        <v>548</v>
      </c>
      <c r="AQ439" s="26" t="s">
        <v>548</v>
      </c>
      <c r="AR439" s="26" t="s">
        <v>548</v>
      </c>
      <c r="AS439" s="26" t="s">
        <v>175</v>
      </c>
      <c r="AT439" s="26" t="s">
        <v>70</v>
      </c>
      <c r="AU439" s="26" t="s">
        <v>70</v>
      </c>
      <c r="AV439" s="26">
        <v>7</v>
      </c>
    </row>
    <row r="440" spans="1:48" ht="14" customHeight="1">
      <c r="A440" s="27">
        <v>439</v>
      </c>
      <c r="B440" s="27" t="s">
        <v>542</v>
      </c>
      <c r="C440" s="27">
        <v>2000</v>
      </c>
      <c r="D440" s="26" t="s">
        <v>18</v>
      </c>
      <c r="E440" s="26" t="s">
        <v>566</v>
      </c>
      <c r="F440" s="77" t="s">
        <v>175</v>
      </c>
      <c r="G440" s="2" t="s">
        <v>84</v>
      </c>
      <c r="H440" s="2" t="s">
        <v>30</v>
      </c>
      <c r="I440" s="2" t="s">
        <v>548</v>
      </c>
      <c r="J440" s="2" t="s">
        <v>604</v>
      </c>
      <c r="K440" s="2" t="s">
        <v>548</v>
      </c>
      <c r="L440" s="2" t="s">
        <v>548</v>
      </c>
      <c r="M440" s="2" t="s">
        <v>548</v>
      </c>
      <c r="N440" s="2" t="s">
        <v>48</v>
      </c>
      <c r="O440" s="2" t="s">
        <v>209</v>
      </c>
      <c r="P440" s="2" t="s">
        <v>48</v>
      </c>
      <c r="Q440" s="2" t="s">
        <v>42</v>
      </c>
      <c r="R440" s="102" t="s">
        <v>614</v>
      </c>
      <c r="S440" s="88">
        <v>0</v>
      </c>
      <c r="T440" s="61">
        <v>10</v>
      </c>
      <c r="U440" s="77">
        <v>1</v>
      </c>
      <c r="V440" s="26">
        <v>0</v>
      </c>
      <c r="W440" s="26">
        <v>1</v>
      </c>
      <c r="X440" s="26">
        <v>0</v>
      </c>
      <c r="Y440" s="26">
        <v>0</v>
      </c>
      <c r="Z440" s="26">
        <v>0</v>
      </c>
      <c r="AA440" s="26">
        <v>0</v>
      </c>
      <c r="AB440" s="26">
        <v>0</v>
      </c>
      <c r="AC440" s="26" t="s">
        <v>70</v>
      </c>
      <c r="AD440" s="26" t="s">
        <v>70</v>
      </c>
      <c r="AE440" s="26" t="s">
        <v>70</v>
      </c>
      <c r="AF440" s="26" t="s">
        <v>70</v>
      </c>
      <c r="AG440" s="26" t="s">
        <v>70</v>
      </c>
      <c r="AH440" s="26" t="s">
        <v>70</v>
      </c>
      <c r="AI440" s="26" t="s">
        <v>70</v>
      </c>
      <c r="AJ440" s="26" t="s">
        <v>70</v>
      </c>
      <c r="AK440" s="26" t="s">
        <v>70</v>
      </c>
      <c r="AL440" s="26" t="s">
        <v>70</v>
      </c>
      <c r="AM440" s="61" t="s">
        <v>548</v>
      </c>
      <c r="AN440" s="26" t="s">
        <v>274</v>
      </c>
      <c r="AO440" s="26" t="s">
        <v>548</v>
      </c>
      <c r="AP440" s="26" t="s">
        <v>548</v>
      </c>
      <c r="AQ440" s="26" t="s">
        <v>548</v>
      </c>
      <c r="AR440" s="26" t="s">
        <v>548</v>
      </c>
      <c r="AS440" s="26" t="s">
        <v>175</v>
      </c>
      <c r="AT440" s="26" t="s">
        <v>70</v>
      </c>
      <c r="AU440" s="26" t="s">
        <v>70</v>
      </c>
      <c r="AV440" s="26">
        <v>3</v>
      </c>
    </row>
    <row r="441" spans="1:48" ht="14" customHeight="1">
      <c r="A441" s="27">
        <v>440</v>
      </c>
      <c r="B441" s="27" t="s">
        <v>475</v>
      </c>
      <c r="C441" s="40">
        <v>2009</v>
      </c>
      <c r="D441" s="26" t="s">
        <v>18</v>
      </c>
      <c r="E441" s="26" t="s">
        <v>566</v>
      </c>
      <c r="F441" s="2" t="s">
        <v>175</v>
      </c>
      <c r="G441" s="2" t="s">
        <v>84</v>
      </c>
      <c r="H441" s="2" t="s">
        <v>24</v>
      </c>
      <c r="I441" s="2" t="s">
        <v>175</v>
      </c>
      <c r="J441" s="2" t="s">
        <v>604</v>
      </c>
      <c r="K441" s="2" t="s">
        <v>548</v>
      </c>
      <c r="L441" s="2" t="s">
        <v>548</v>
      </c>
      <c r="M441" s="2" t="s">
        <v>548</v>
      </c>
      <c r="N441" s="2" t="s">
        <v>70</v>
      </c>
      <c r="O441" s="2" t="s">
        <v>209</v>
      </c>
      <c r="P441" s="2" t="s">
        <v>612</v>
      </c>
      <c r="Q441" s="2" t="s">
        <v>42</v>
      </c>
      <c r="R441" s="79" t="s">
        <v>613</v>
      </c>
      <c r="S441" s="88">
        <v>0.96399999999999997</v>
      </c>
      <c r="T441" s="61">
        <v>28</v>
      </c>
      <c r="U441" s="2">
        <v>1</v>
      </c>
      <c r="V441" s="26">
        <v>0</v>
      </c>
      <c r="W441" s="26">
        <v>1</v>
      </c>
      <c r="X441" s="26">
        <v>0</v>
      </c>
      <c r="Y441" s="26">
        <v>1</v>
      </c>
      <c r="Z441" s="26">
        <v>0</v>
      </c>
      <c r="AA441" s="26">
        <v>0</v>
      </c>
      <c r="AB441" s="26">
        <v>0</v>
      </c>
      <c r="AC441" s="26">
        <f>1/28</f>
        <v>3.5714285714285712E-2</v>
      </c>
      <c r="AD441" s="26">
        <f>3/28</f>
        <v>0.10714285714285714</v>
      </c>
      <c r="AE441" s="26">
        <f>7/28</f>
        <v>0.25</v>
      </c>
      <c r="AF441" s="26">
        <f>17/28</f>
        <v>0.6071428571428571</v>
      </c>
      <c r="AG441" s="33">
        <v>603</v>
      </c>
      <c r="AH441" s="33" t="s">
        <v>70</v>
      </c>
      <c r="AI441" s="33" t="s">
        <v>70</v>
      </c>
      <c r="AJ441" s="26" t="s">
        <v>164</v>
      </c>
      <c r="AK441" s="33" t="s">
        <v>70</v>
      </c>
      <c r="AL441" s="33" t="s">
        <v>70</v>
      </c>
      <c r="AM441" s="61" t="s">
        <v>175</v>
      </c>
      <c r="AN441" s="26" t="s">
        <v>615</v>
      </c>
      <c r="AO441" s="26" t="s">
        <v>548</v>
      </c>
      <c r="AP441" s="26" t="s">
        <v>548</v>
      </c>
      <c r="AQ441" s="26" t="s">
        <v>548</v>
      </c>
      <c r="AR441" s="26" t="s">
        <v>548</v>
      </c>
      <c r="AS441" s="26" t="s">
        <v>175</v>
      </c>
      <c r="AT441" s="26" t="s">
        <v>70</v>
      </c>
      <c r="AU441" s="26" t="s">
        <v>70</v>
      </c>
      <c r="AV441" s="26">
        <v>6</v>
      </c>
    </row>
    <row r="442" spans="1:48" ht="14" customHeight="1">
      <c r="A442" s="27">
        <v>441</v>
      </c>
      <c r="B442" s="27" t="s">
        <v>476</v>
      </c>
      <c r="C442" s="27">
        <v>2010</v>
      </c>
      <c r="D442" s="26" t="s">
        <v>69</v>
      </c>
      <c r="E442" s="26" t="s">
        <v>565</v>
      </c>
      <c r="F442" s="77" t="s">
        <v>175</v>
      </c>
      <c r="G442" s="2" t="s">
        <v>106</v>
      </c>
      <c r="H442" s="2" t="s">
        <v>24</v>
      </c>
      <c r="I442" s="2" t="s">
        <v>175</v>
      </c>
      <c r="J442" s="2" t="s">
        <v>604</v>
      </c>
      <c r="K442" s="2" t="s">
        <v>548</v>
      </c>
      <c r="L442" s="2" t="s">
        <v>548</v>
      </c>
      <c r="M442" s="2" t="s">
        <v>175</v>
      </c>
      <c r="N442" s="2" t="s">
        <v>51</v>
      </c>
      <c r="O442" s="2" t="s">
        <v>43</v>
      </c>
      <c r="P442" s="2" t="s">
        <v>51</v>
      </c>
      <c r="Q442" s="2" t="s">
        <v>42</v>
      </c>
      <c r="R442" s="102" t="s">
        <v>614</v>
      </c>
      <c r="S442" s="2">
        <f>20/T442</f>
        <v>0.95238095238095233</v>
      </c>
      <c r="T442" s="26">
        <v>21</v>
      </c>
      <c r="U442" s="77">
        <v>1</v>
      </c>
      <c r="V442" s="26">
        <v>1</v>
      </c>
      <c r="W442" s="26">
        <v>1</v>
      </c>
      <c r="X442" s="26">
        <v>1</v>
      </c>
      <c r="Y442" s="26">
        <v>0</v>
      </c>
      <c r="Z442" s="26">
        <v>0</v>
      </c>
      <c r="AA442" s="26">
        <v>0</v>
      </c>
      <c r="AB442" s="26">
        <v>0</v>
      </c>
      <c r="AC442" s="33" t="s">
        <v>70</v>
      </c>
      <c r="AD442" s="33" t="s">
        <v>70</v>
      </c>
      <c r="AE442" s="33" t="s">
        <v>70</v>
      </c>
      <c r="AF442" s="33" t="s">
        <v>70</v>
      </c>
      <c r="AG442" s="33" t="s">
        <v>70</v>
      </c>
      <c r="AH442" s="33" t="s">
        <v>70</v>
      </c>
      <c r="AI442" s="33" t="s">
        <v>70</v>
      </c>
      <c r="AJ442" s="33" t="s">
        <v>70</v>
      </c>
      <c r="AK442" s="33" t="s">
        <v>70</v>
      </c>
      <c r="AL442" s="33" t="s">
        <v>70</v>
      </c>
      <c r="AM442" s="35" t="s">
        <v>175</v>
      </c>
      <c r="AN442" s="32" t="s">
        <v>9</v>
      </c>
      <c r="AO442" s="35" t="s">
        <v>175</v>
      </c>
      <c r="AP442" s="35" t="s">
        <v>548</v>
      </c>
      <c r="AQ442" s="35" t="s">
        <v>548</v>
      </c>
      <c r="AR442" s="35" t="s">
        <v>548</v>
      </c>
      <c r="AS442" s="26" t="s">
        <v>175</v>
      </c>
      <c r="AT442" s="26" t="s">
        <v>70</v>
      </c>
      <c r="AU442" s="26" t="s">
        <v>70</v>
      </c>
      <c r="AV442" s="26">
        <v>8</v>
      </c>
    </row>
    <row r="443" spans="1:48" ht="14" customHeight="1">
      <c r="A443" s="27">
        <v>442</v>
      </c>
      <c r="B443" s="27" t="s">
        <v>476</v>
      </c>
      <c r="C443" s="27">
        <v>2010</v>
      </c>
      <c r="D443" s="26" t="s">
        <v>69</v>
      </c>
      <c r="E443" s="26" t="s">
        <v>565</v>
      </c>
      <c r="F443" s="77" t="s">
        <v>175</v>
      </c>
      <c r="G443" s="2" t="s">
        <v>106</v>
      </c>
      <c r="H443" s="2" t="s">
        <v>24</v>
      </c>
      <c r="I443" s="2" t="s">
        <v>175</v>
      </c>
      <c r="J443" s="2" t="s">
        <v>604</v>
      </c>
      <c r="K443" s="2" t="s">
        <v>548</v>
      </c>
      <c r="L443" s="2" t="s">
        <v>548</v>
      </c>
      <c r="M443" s="2" t="s">
        <v>175</v>
      </c>
      <c r="N443" s="2" t="s">
        <v>609</v>
      </c>
      <c r="O443" s="2" t="s">
        <v>60</v>
      </c>
      <c r="P443" s="2" t="s">
        <v>609</v>
      </c>
      <c r="Q443" s="2" t="s">
        <v>42</v>
      </c>
      <c r="R443" s="102" t="s">
        <v>614</v>
      </c>
      <c r="S443" s="2">
        <v>1</v>
      </c>
      <c r="T443" s="26">
        <v>15</v>
      </c>
      <c r="U443" s="77">
        <v>1</v>
      </c>
      <c r="V443" s="26">
        <v>1</v>
      </c>
      <c r="W443" s="26">
        <v>1</v>
      </c>
      <c r="X443" s="26">
        <v>1</v>
      </c>
      <c r="Y443" s="26">
        <v>0</v>
      </c>
      <c r="Z443" s="26">
        <v>0</v>
      </c>
      <c r="AA443" s="26">
        <v>0</v>
      </c>
      <c r="AB443" s="26">
        <v>0</v>
      </c>
      <c r="AC443" s="33" t="s">
        <v>70</v>
      </c>
      <c r="AD443" s="33" t="s">
        <v>70</v>
      </c>
      <c r="AE443" s="33" t="s">
        <v>70</v>
      </c>
      <c r="AF443" s="33" t="s">
        <v>70</v>
      </c>
      <c r="AG443" s="33" t="s">
        <v>70</v>
      </c>
      <c r="AH443" s="33" t="s">
        <v>70</v>
      </c>
      <c r="AI443" s="33" t="s">
        <v>70</v>
      </c>
      <c r="AJ443" s="33" t="s">
        <v>70</v>
      </c>
      <c r="AK443" s="33" t="s">
        <v>70</v>
      </c>
      <c r="AL443" s="33" t="s">
        <v>70</v>
      </c>
      <c r="AM443" s="35" t="s">
        <v>175</v>
      </c>
      <c r="AN443" s="32" t="s">
        <v>9</v>
      </c>
      <c r="AO443" s="35" t="s">
        <v>175</v>
      </c>
      <c r="AP443" s="35" t="s">
        <v>548</v>
      </c>
      <c r="AQ443" s="35" t="s">
        <v>548</v>
      </c>
      <c r="AR443" s="35" t="s">
        <v>548</v>
      </c>
      <c r="AS443" s="26" t="s">
        <v>175</v>
      </c>
      <c r="AT443" s="26" t="s">
        <v>70</v>
      </c>
      <c r="AU443" s="26" t="s">
        <v>70</v>
      </c>
      <c r="AV443" s="26">
        <v>8</v>
      </c>
    </row>
    <row r="444" spans="1:48" ht="14" customHeight="1">
      <c r="A444" s="27">
        <v>443</v>
      </c>
      <c r="B444" s="27" t="s">
        <v>477</v>
      </c>
      <c r="C444" s="27">
        <v>2010</v>
      </c>
      <c r="D444" s="26" t="s">
        <v>122</v>
      </c>
      <c r="E444" s="26" t="s">
        <v>566</v>
      </c>
      <c r="F444" s="82" t="s">
        <v>175</v>
      </c>
      <c r="G444" s="2" t="s">
        <v>106</v>
      </c>
      <c r="H444" s="2" t="s">
        <v>24</v>
      </c>
      <c r="I444" s="2" t="s">
        <v>548</v>
      </c>
      <c r="J444" s="2" t="s">
        <v>604</v>
      </c>
      <c r="K444" s="2" t="s">
        <v>548</v>
      </c>
      <c r="L444" s="2" t="s">
        <v>548</v>
      </c>
      <c r="M444" s="2" t="s">
        <v>175</v>
      </c>
      <c r="N444" s="2" t="s">
        <v>62</v>
      </c>
      <c r="O444" s="2" t="s">
        <v>43</v>
      </c>
      <c r="P444" s="2" t="s">
        <v>62</v>
      </c>
      <c r="Q444" s="2" t="s">
        <v>247</v>
      </c>
      <c r="R444" s="79" t="s">
        <v>613</v>
      </c>
      <c r="S444" s="88">
        <v>0.76300000000000001</v>
      </c>
      <c r="T444" s="26">
        <v>224</v>
      </c>
      <c r="U444" s="82">
        <v>1</v>
      </c>
      <c r="V444" s="26">
        <v>0</v>
      </c>
      <c r="W444" s="26">
        <v>1</v>
      </c>
      <c r="X444" s="26">
        <v>1</v>
      </c>
      <c r="Y444" s="26">
        <v>1</v>
      </c>
      <c r="Z444" s="26">
        <v>0</v>
      </c>
      <c r="AA444" s="26">
        <v>0</v>
      </c>
      <c r="AB444" s="26">
        <v>0</v>
      </c>
      <c r="AC444" s="27">
        <v>0.23699999999999999</v>
      </c>
      <c r="AD444" s="27">
        <v>0.2</v>
      </c>
      <c r="AE444" s="27">
        <v>0.3</v>
      </c>
      <c r="AF444" s="27">
        <v>0.24099999999999999</v>
      </c>
      <c r="AG444" s="33" t="s">
        <v>70</v>
      </c>
      <c r="AH444" s="33" t="s">
        <v>70</v>
      </c>
      <c r="AI444" s="33" t="s">
        <v>70</v>
      </c>
      <c r="AJ444" s="26" t="s">
        <v>70</v>
      </c>
      <c r="AK444" s="33" t="s">
        <v>70</v>
      </c>
      <c r="AL444" s="33" t="s">
        <v>70</v>
      </c>
      <c r="AM444" s="35" t="s">
        <v>175</v>
      </c>
      <c r="AN444" s="26" t="s">
        <v>617</v>
      </c>
      <c r="AO444" s="35" t="s">
        <v>548</v>
      </c>
      <c r="AP444" s="35" t="s">
        <v>548</v>
      </c>
      <c r="AQ444" s="35" t="s">
        <v>548</v>
      </c>
      <c r="AR444" s="35" t="s">
        <v>548</v>
      </c>
      <c r="AS444" s="26" t="s">
        <v>175</v>
      </c>
      <c r="AT444" s="26" t="s">
        <v>70</v>
      </c>
      <c r="AU444" s="26" t="s">
        <v>70</v>
      </c>
      <c r="AV444" s="26">
        <v>7</v>
      </c>
    </row>
    <row r="445" spans="1:48" ht="14" customHeight="1">
      <c r="A445" s="27">
        <v>444</v>
      </c>
      <c r="B445" s="27" t="s">
        <v>478</v>
      </c>
      <c r="C445" s="40">
        <v>2010</v>
      </c>
      <c r="D445" s="26" t="s">
        <v>165</v>
      </c>
      <c r="E445" s="26" t="s">
        <v>566</v>
      </c>
      <c r="F445" s="2" t="s">
        <v>175</v>
      </c>
      <c r="G445" s="2" t="s">
        <v>106</v>
      </c>
      <c r="H445" s="2" t="s">
        <v>24</v>
      </c>
      <c r="I445" s="2" t="s">
        <v>548</v>
      </c>
      <c r="J445" s="2" t="s">
        <v>604</v>
      </c>
      <c r="K445" s="2" t="s">
        <v>548</v>
      </c>
      <c r="L445" s="2" t="s">
        <v>548</v>
      </c>
      <c r="M445" s="2" t="s">
        <v>175</v>
      </c>
      <c r="N445" s="2" t="s">
        <v>62</v>
      </c>
      <c r="O445" s="2" t="s">
        <v>43</v>
      </c>
      <c r="P445" s="2" t="s">
        <v>62</v>
      </c>
      <c r="Q445" s="26" t="s">
        <v>247</v>
      </c>
      <c r="R445" s="102" t="s">
        <v>614</v>
      </c>
      <c r="S445" s="88" t="s">
        <v>70</v>
      </c>
      <c r="T445" s="61">
        <v>47</v>
      </c>
      <c r="U445" s="2">
        <v>1</v>
      </c>
      <c r="V445" s="26">
        <v>0</v>
      </c>
      <c r="W445" s="26">
        <v>1</v>
      </c>
      <c r="X445" s="26">
        <v>1</v>
      </c>
      <c r="Y445" s="26">
        <v>1</v>
      </c>
      <c r="Z445" s="26">
        <v>1</v>
      </c>
      <c r="AA445" s="26">
        <v>1</v>
      </c>
      <c r="AB445" s="26">
        <v>1</v>
      </c>
      <c r="AC445" s="33" t="s">
        <v>70</v>
      </c>
      <c r="AD445" s="33" t="s">
        <v>70</v>
      </c>
      <c r="AE445" s="33" t="s">
        <v>70</v>
      </c>
      <c r="AF445" s="33" t="s">
        <v>70</v>
      </c>
      <c r="AG445" s="33" t="s">
        <v>70</v>
      </c>
      <c r="AH445" s="33" t="s">
        <v>70</v>
      </c>
      <c r="AI445" s="33">
        <v>0</v>
      </c>
      <c r="AJ445" s="33" t="s">
        <v>70</v>
      </c>
      <c r="AK445" s="33" t="s">
        <v>70</v>
      </c>
      <c r="AL445" s="33" t="s">
        <v>70</v>
      </c>
      <c r="AM445" s="61" t="s">
        <v>548</v>
      </c>
      <c r="AN445" s="26" t="s">
        <v>274</v>
      </c>
      <c r="AO445" s="26" t="s">
        <v>548</v>
      </c>
      <c r="AP445" s="26" t="s">
        <v>548</v>
      </c>
      <c r="AQ445" s="26" t="s">
        <v>548</v>
      </c>
      <c r="AR445" s="26" t="s">
        <v>548</v>
      </c>
      <c r="AS445" s="26" t="s">
        <v>175</v>
      </c>
      <c r="AT445" s="26" t="s">
        <v>70</v>
      </c>
      <c r="AU445" s="26" t="s">
        <v>70</v>
      </c>
      <c r="AV445" s="26">
        <v>9</v>
      </c>
    </row>
    <row r="446" spans="1:48" ht="14" customHeight="1">
      <c r="A446" s="27">
        <v>445</v>
      </c>
      <c r="B446" s="27" t="s">
        <v>478</v>
      </c>
      <c r="C446" s="40">
        <v>2010</v>
      </c>
      <c r="D446" s="26" t="s">
        <v>165</v>
      </c>
      <c r="E446" s="26" t="s">
        <v>566</v>
      </c>
      <c r="F446" s="2" t="s">
        <v>175</v>
      </c>
      <c r="G446" s="2" t="s">
        <v>106</v>
      </c>
      <c r="H446" s="2" t="s">
        <v>24</v>
      </c>
      <c r="I446" s="2" t="s">
        <v>548</v>
      </c>
      <c r="J446" s="2" t="s">
        <v>604</v>
      </c>
      <c r="K446" s="2" t="s">
        <v>548</v>
      </c>
      <c r="L446" s="2" t="s">
        <v>548</v>
      </c>
      <c r="M446" s="2" t="s">
        <v>175</v>
      </c>
      <c r="N446" s="2" t="s">
        <v>167</v>
      </c>
      <c r="O446" s="2" t="s">
        <v>60</v>
      </c>
      <c r="P446" s="2" t="s">
        <v>167</v>
      </c>
      <c r="Q446" s="2" t="s">
        <v>42</v>
      </c>
      <c r="R446" s="102" t="s">
        <v>614</v>
      </c>
      <c r="S446" s="88" t="s">
        <v>70</v>
      </c>
      <c r="T446" s="61">
        <v>29</v>
      </c>
      <c r="U446" s="2">
        <v>1</v>
      </c>
      <c r="V446" s="26">
        <v>0</v>
      </c>
      <c r="W446" s="26">
        <v>1</v>
      </c>
      <c r="X446" s="26">
        <v>1</v>
      </c>
      <c r="Y446" s="26">
        <v>1</v>
      </c>
      <c r="Z446" s="26">
        <v>1</v>
      </c>
      <c r="AA446" s="26">
        <v>1</v>
      </c>
      <c r="AB446" s="26">
        <v>1</v>
      </c>
      <c r="AC446" s="33" t="s">
        <v>70</v>
      </c>
      <c r="AD446" s="33" t="s">
        <v>70</v>
      </c>
      <c r="AE446" s="33" t="s">
        <v>70</v>
      </c>
      <c r="AF446" s="33" t="s">
        <v>70</v>
      </c>
      <c r="AG446" s="33" t="s">
        <v>70</v>
      </c>
      <c r="AH446" s="33" t="s">
        <v>70</v>
      </c>
      <c r="AI446" s="33">
        <v>0</v>
      </c>
      <c r="AJ446" s="33" t="s">
        <v>70</v>
      </c>
      <c r="AK446" s="33" t="s">
        <v>70</v>
      </c>
      <c r="AL446" s="33" t="s">
        <v>70</v>
      </c>
      <c r="AM446" s="61" t="s">
        <v>548</v>
      </c>
      <c r="AN446" s="26" t="s">
        <v>274</v>
      </c>
      <c r="AO446" s="26" t="s">
        <v>548</v>
      </c>
      <c r="AP446" s="26" t="s">
        <v>548</v>
      </c>
      <c r="AQ446" s="26" t="s">
        <v>548</v>
      </c>
      <c r="AR446" s="26" t="s">
        <v>548</v>
      </c>
      <c r="AS446" s="26" t="s">
        <v>175</v>
      </c>
      <c r="AT446" s="26" t="s">
        <v>70</v>
      </c>
      <c r="AU446" s="26" t="s">
        <v>70</v>
      </c>
      <c r="AV446" s="26">
        <v>9</v>
      </c>
    </row>
    <row r="447" spans="1:48" ht="14" customHeight="1">
      <c r="A447" s="27">
        <v>446</v>
      </c>
      <c r="B447" s="27" t="s">
        <v>479</v>
      </c>
      <c r="C447" s="27">
        <v>2008</v>
      </c>
      <c r="D447" s="26" t="s">
        <v>218</v>
      </c>
      <c r="E447" s="26" t="s">
        <v>563</v>
      </c>
      <c r="F447" s="77" t="s">
        <v>175</v>
      </c>
      <c r="G447" s="2" t="s">
        <v>108</v>
      </c>
      <c r="H447" s="2" t="s">
        <v>24</v>
      </c>
      <c r="I447" s="2" t="s">
        <v>175</v>
      </c>
      <c r="J447" s="2" t="s">
        <v>603</v>
      </c>
      <c r="K447" s="2" t="s">
        <v>548</v>
      </c>
      <c r="L447" s="2" t="s">
        <v>548</v>
      </c>
      <c r="M447" s="2" t="s">
        <v>175</v>
      </c>
      <c r="N447" s="2" t="s">
        <v>210</v>
      </c>
      <c r="O447" s="2" t="s">
        <v>43</v>
      </c>
      <c r="P447" s="2" t="s">
        <v>210</v>
      </c>
      <c r="Q447" s="2" t="s">
        <v>42</v>
      </c>
      <c r="R447" s="102" t="s">
        <v>614</v>
      </c>
      <c r="S447" s="2">
        <v>0.43049999999999999</v>
      </c>
      <c r="T447" s="26">
        <v>223</v>
      </c>
      <c r="U447" s="77">
        <v>1</v>
      </c>
      <c r="V447" s="26">
        <v>1</v>
      </c>
      <c r="W447" s="26">
        <v>1</v>
      </c>
      <c r="X447" s="26">
        <v>1</v>
      </c>
      <c r="Y447" s="26">
        <v>1</v>
      </c>
      <c r="Z447" s="26">
        <v>0</v>
      </c>
      <c r="AA447" s="26">
        <v>0</v>
      </c>
      <c r="AB447" s="26">
        <v>0</v>
      </c>
      <c r="AC447" s="26" t="s">
        <v>70</v>
      </c>
      <c r="AD447" s="26" t="s">
        <v>70</v>
      </c>
      <c r="AE447" s="26" t="s">
        <v>70</v>
      </c>
      <c r="AF447" s="26" t="s">
        <v>70</v>
      </c>
      <c r="AG447" s="26" t="s">
        <v>70</v>
      </c>
      <c r="AH447" s="26" t="s">
        <v>70</v>
      </c>
      <c r="AI447" s="26" t="s">
        <v>70</v>
      </c>
      <c r="AJ447" s="26" t="s">
        <v>70</v>
      </c>
      <c r="AK447" s="26" t="s">
        <v>70</v>
      </c>
      <c r="AL447" s="26" t="s">
        <v>70</v>
      </c>
      <c r="AM447" s="35" t="s">
        <v>548</v>
      </c>
      <c r="AN447" s="26" t="s">
        <v>274</v>
      </c>
      <c r="AO447" s="35" t="s">
        <v>175</v>
      </c>
      <c r="AP447" s="35" t="s">
        <v>548</v>
      </c>
      <c r="AQ447" s="35" t="s">
        <v>548</v>
      </c>
      <c r="AR447" s="35" t="s">
        <v>548</v>
      </c>
      <c r="AS447" s="26" t="s">
        <v>548</v>
      </c>
      <c r="AT447" s="26" t="s">
        <v>70</v>
      </c>
      <c r="AU447" s="26" t="s">
        <v>70</v>
      </c>
      <c r="AV447" s="26">
        <v>7</v>
      </c>
    </row>
    <row r="448" spans="1:48" ht="14" customHeight="1">
      <c r="A448" s="27">
        <v>447</v>
      </c>
      <c r="B448" s="27" t="s">
        <v>479</v>
      </c>
      <c r="C448" s="27">
        <v>2008</v>
      </c>
      <c r="D448" s="26" t="s">
        <v>218</v>
      </c>
      <c r="E448" s="26" t="s">
        <v>563</v>
      </c>
      <c r="F448" s="77" t="s">
        <v>175</v>
      </c>
      <c r="G448" s="2" t="s">
        <v>108</v>
      </c>
      <c r="H448" s="2" t="s">
        <v>24</v>
      </c>
      <c r="I448" s="2" t="s">
        <v>175</v>
      </c>
      <c r="J448" s="2" t="s">
        <v>603</v>
      </c>
      <c r="K448" s="2" t="s">
        <v>548</v>
      </c>
      <c r="L448" s="2" t="s">
        <v>548</v>
      </c>
      <c r="M448" s="2" t="s">
        <v>175</v>
      </c>
      <c r="N448" s="2" t="s">
        <v>609</v>
      </c>
      <c r="O448" s="2" t="s">
        <v>60</v>
      </c>
      <c r="P448" s="2" t="s">
        <v>609</v>
      </c>
      <c r="Q448" s="2" t="s">
        <v>42</v>
      </c>
      <c r="R448" s="102" t="s">
        <v>614</v>
      </c>
      <c r="S448" s="2">
        <v>0.76570000000000005</v>
      </c>
      <c r="T448" s="26">
        <v>414</v>
      </c>
      <c r="U448" s="77">
        <v>1</v>
      </c>
      <c r="V448" s="26">
        <v>1</v>
      </c>
      <c r="W448" s="26">
        <v>1</v>
      </c>
      <c r="X448" s="26">
        <v>1</v>
      </c>
      <c r="Y448" s="26">
        <v>1</v>
      </c>
      <c r="Z448" s="26">
        <v>0</v>
      </c>
      <c r="AA448" s="26">
        <v>0</v>
      </c>
      <c r="AB448" s="26">
        <v>0</v>
      </c>
      <c r="AC448" s="26" t="s">
        <v>70</v>
      </c>
      <c r="AD448" s="26" t="s">
        <v>70</v>
      </c>
      <c r="AE448" s="26" t="s">
        <v>70</v>
      </c>
      <c r="AF448" s="26" t="s">
        <v>70</v>
      </c>
      <c r="AG448" s="26" t="s">
        <v>70</v>
      </c>
      <c r="AH448" s="26" t="s">
        <v>70</v>
      </c>
      <c r="AI448" s="26" t="s">
        <v>70</v>
      </c>
      <c r="AJ448" s="26" t="s">
        <v>70</v>
      </c>
      <c r="AK448" s="26" t="s">
        <v>70</v>
      </c>
      <c r="AL448" s="26" t="s">
        <v>70</v>
      </c>
      <c r="AM448" s="35" t="s">
        <v>548</v>
      </c>
      <c r="AN448" s="26" t="s">
        <v>274</v>
      </c>
      <c r="AO448" s="35" t="s">
        <v>175</v>
      </c>
      <c r="AP448" s="35" t="s">
        <v>548</v>
      </c>
      <c r="AQ448" s="35" t="s">
        <v>548</v>
      </c>
      <c r="AR448" s="35" t="s">
        <v>548</v>
      </c>
      <c r="AS448" s="26" t="s">
        <v>548</v>
      </c>
      <c r="AT448" s="26" t="s">
        <v>70</v>
      </c>
      <c r="AU448" s="26" t="s">
        <v>70</v>
      </c>
      <c r="AV448" s="26">
        <v>7</v>
      </c>
    </row>
    <row r="449" spans="1:48" ht="14" customHeight="1">
      <c r="A449" s="27">
        <v>448</v>
      </c>
      <c r="B449" s="27" t="s">
        <v>480</v>
      </c>
      <c r="C449" s="27">
        <v>2003</v>
      </c>
      <c r="D449" s="26" t="s">
        <v>69</v>
      </c>
      <c r="E449" s="26" t="s">
        <v>565</v>
      </c>
      <c r="F449" s="77" t="s">
        <v>175</v>
      </c>
      <c r="G449" s="2" t="s">
        <v>106</v>
      </c>
      <c r="H449" s="2" t="s">
        <v>30</v>
      </c>
      <c r="I449" s="2" t="s">
        <v>548</v>
      </c>
      <c r="J449" s="2" t="s">
        <v>604</v>
      </c>
      <c r="K449" s="2" t="s">
        <v>548</v>
      </c>
      <c r="L449" s="2" t="s">
        <v>548</v>
      </c>
      <c r="M449" s="2" t="s">
        <v>548</v>
      </c>
      <c r="N449" s="2" t="s">
        <v>48</v>
      </c>
      <c r="O449" s="2" t="s">
        <v>209</v>
      </c>
      <c r="P449" s="2" t="s">
        <v>48</v>
      </c>
      <c r="Q449" s="2" t="s">
        <v>42</v>
      </c>
      <c r="R449" s="102" t="s">
        <v>614</v>
      </c>
      <c r="S449" s="2">
        <f>9/T449</f>
        <v>0.20454545454545456</v>
      </c>
      <c r="T449" s="26">
        <v>44</v>
      </c>
      <c r="U449" s="77">
        <v>1</v>
      </c>
      <c r="V449" s="26">
        <v>0</v>
      </c>
      <c r="W449" s="26">
        <v>1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33" t="s">
        <v>70</v>
      </c>
      <c r="AD449" s="33" t="s">
        <v>70</v>
      </c>
      <c r="AE449" s="33" t="s">
        <v>70</v>
      </c>
      <c r="AF449" s="33" t="s">
        <v>70</v>
      </c>
      <c r="AG449" s="33" t="s">
        <v>70</v>
      </c>
      <c r="AH449" s="33" t="s">
        <v>70</v>
      </c>
      <c r="AI449" s="33" t="s">
        <v>70</v>
      </c>
      <c r="AJ449" s="33" t="s">
        <v>70</v>
      </c>
      <c r="AK449" s="33" t="s">
        <v>70</v>
      </c>
      <c r="AL449" s="33" t="s">
        <v>70</v>
      </c>
      <c r="AM449" s="35" t="s">
        <v>175</v>
      </c>
      <c r="AN449" s="26" t="s">
        <v>274</v>
      </c>
      <c r="AO449" s="35" t="s">
        <v>548</v>
      </c>
      <c r="AP449" s="35" t="s">
        <v>548</v>
      </c>
      <c r="AQ449" s="35" t="s">
        <v>548</v>
      </c>
      <c r="AR449" s="35" t="s">
        <v>548</v>
      </c>
      <c r="AS449" s="26" t="s">
        <v>175</v>
      </c>
      <c r="AT449" s="26" t="s">
        <v>70</v>
      </c>
      <c r="AU449" s="26" t="s">
        <v>70</v>
      </c>
      <c r="AV449" s="26">
        <v>4</v>
      </c>
    </row>
    <row r="450" spans="1:48" ht="14" customHeight="1">
      <c r="A450" s="27">
        <v>449</v>
      </c>
      <c r="B450" s="27" t="s">
        <v>481</v>
      </c>
      <c r="C450" s="27">
        <v>2012</v>
      </c>
      <c r="D450" s="26" t="s">
        <v>57</v>
      </c>
      <c r="E450" s="26" t="s">
        <v>566</v>
      </c>
      <c r="F450" s="77" t="s">
        <v>175</v>
      </c>
      <c r="G450" s="2" t="s">
        <v>84</v>
      </c>
      <c r="H450" s="2" t="s">
        <v>30</v>
      </c>
      <c r="I450" s="2" t="s">
        <v>548</v>
      </c>
      <c r="J450" s="2" t="s">
        <v>604</v>
      </c>
      <c r="K450" s="2" t="s">
        <v>175</v>
      </c>
      <c r="L450" s="2" t="s">
        <v>548</v>
      </c>
      <c r="M450" s="2" t="s">
        <v>175</v>
      </c>
      <c r="N450" s="2" t="s">
        <v>48</v>
      </c>
      <c r="O450" s="2" t="s">
        <v>209</v>
      </c>
      <c r="P450" s="2" t="s">
        <v>48</v>
      </c>
      <c r="Q450" s="2" t="s">
        <v>42</v>
      </c>
      <c r="R450" s="102" t="s">
        <v>614</v>
      </c>
      <c r="S450" s="90">
        <f>1/T450</f>
        <v>1.5151515151515152E-2</v>
      </c>
      <c r="T450" s="26">
        <v>66</v>
      </c>
      <c r="U450" s="77">
        <v>1</v>
      </c>
      <c r="V450" s="26">
        <v>0</v>
      </c>
      <c r="W450" s="26">
        <v>1</v>
      </c>
      <c r="X450" s="26">
        <v>0</v>
      </c>
      <c r="Y450" s="26">
        <v>0</v>
      </c>
      <c r="Z450" s="26">
        <v>0</v>
      </c>
      <c r="AA450" s="26">
        <v>0</v>
      </c>
      <c r="AB450" s="26">
        <v>0</v>
      </c>
      <c r="AC450" s="33" t="s">
        <v>70</v>
      </c>
      <c r="AD450" s="33" t="s">
        <v>70</v>
      </c>
      <c r="AE450" s="33" t="s">
        <v>70</v>
      </c>
      <c r="AF450" s="33" t="s">
        <v>70</v>
      </c>
      <c r="AG450" s="33" t="s">
        <v>70</v>
      </c>
      <c r="AH450" s="33" t="s">
        <v>70</v>
      </c>
      <c r="AI450" s="33" t="s">
        <v>70</v>
      </c>
      <c r="AJ450" s="33" t="s">
        <v>70</v>
      </c>
      <c r="AK450" s="33" t="s">
        <v>70</v>
      </c>
      <c r="AL450" s="33" t="s">
        <v>70</v>
      </c>
      <c r="AM450" s="35" t="s">
        <v>548</v>
      </c>
      <c r="AN450" s="26" t="s">
        <v>274</v>
      </c>
      <c r="AO450" s="35" t="s">
        <v>548</v>
      </c>
      <c r="AP450" s="35" t="s">
        <v>548</v>
      </c>
      <c r="AQ450" s="35" t="s">
        <v>548</v>
      </c>
      <c r="AR450" s="35" t="s">
        <v>548</v>
      </c>
      <c r="AS450" s="26" t="s">
        <v>175</v>
      </c>
      <c r="AT450" s="26" t="s">
        <v>70</v>
      </c>
      <c r="AU450" s="26" t="s">
        <v>70</v>
      </c>
      <c r="AV450" s="26">
        <v>5</v>
      </c>
    </row>
    <row r="451" spans="1:48" ht="14" customHeight="1">
      <c r="A451" s="27">
        <v>450</v>
      </c>
      <c r="B451" s="27" t="s">
        <v>482</v>
      </c>
      <c r="C451" s="26">
        <v>2002</v>
      </c>
      <c r="D451" s="26" t="s">
        <v>127</v>
      </c>
      <c r="E451" s="26" t="s">
        <v>563</v>
      </c>
      <c r="F451" s="77" t="s">
        <v>175</v>
      </c>
      <c r="G451" s="2" t="s">
        <v>84</v>
      </c>
      <c r="H451" s="2" t="s">
        <v>24</v>
      </c>
      <c r="I451" s="2" t="s">
        <v>548</v>
      </c>
      <c r="J451" s="2" t="s">
        <v>603</v>
      </c>
      <c r="K451" s="2" t="s">
        <v>548</v>
      </c>
      <c r="L451" s="2" t="s">
        <v>548</v>
      </c>
      <c r="M451" s="2" t="s">
        <v>175</v>
      </c>
      <c r="N451" s="2" t="s">
        <v>70</v>
      </c>
      <c r="O451" s="2" t="s">
        <v>209</v>
      </c>
      <c r="P451" s="2" t="s">
        <v>612</v>
      </c>
      <c r="Q451" s="2" t="s">
        <v>42</v>
      </c>
      <c r="R451" s="102" t="s">
        <v>614</v>
      </c>
      <c r="S451" s="2">
        <v>1</v>
      </c>
      <c r="T451" s="26">
        <v>24</v>
      </c>
      <c r="U451" s="77">
        <v>1</v>
      </c>
      <c r="V451" s="26">
        <v>1</v>
      </c>
      <c r="W451" s="26">
        <v>1</v>
      </c>
      <c r="X451" s="26">
        <v>1</v>
      </c>
      <c r="Y451" s="26">
        <v>1</v>
      </c>
      <c r="Z451" s="26">
        <v>0</v>
      </c>
      <c r="AA451" s="26">
        <v>0</v>
      </c>
      <c r="AB451" s="26">
        <v>0</v>
      </c>
      <c r="AC451" s="26">
        <v>9.5890410999999995E-2</v>
      </c>
      <c r="AD451" s="26">
        <v>0.20547945200000001</v>
      </c>
      <c r="AE451" s="26">
        <v>0.246575342</v>
      </c>
      <c r="AF451" s="26">
        <v>0.45205479500000001</v>
      </c>
      <c r="AG451" s="33">
        <v>393.0136986</v>
      </c>
      <c r="AH451" s="33">
        <v>51</v>
      </c>
      <c r="AI451" s="33">
        <v>72</v>
      </c>
      <c r="AJ451" s="26" t="s">
        <v>273</v>
      </c>
      <c r="AK451" s="33">
        <v>621</v>
      </c>
      <c r="AL451" s="33" t="s">
        <v>70</v>
      </c>
      <c r="AM451" s="35" t="s">
        <v>175</v>
      </c>
      <c r="AN451" s="32" t="s">
        <v>9</v>
      </c>
      <c r="AO451" s="35" t="s">
        <v>175</v>
      </c>
      <c r="AP451" s="35" t="s">
        <v>175</v>
      </c>
      <c r="AQ451" s="35" t="s">
        <v>548</v>
      </c>
      <c r="AR451" s="35" t="s">
        <v>548</v>
      </c>
      <c r="AS451" s="26" t="s">
        <v>175</v>
      </c>
      <c r="AT451" s="26" t="s">
        <v>175</v>
      </c>
      <c r="AU451" s="40" t="s">
        <v>548</v>
      </c>
      <c r="AV451" s="26">
        <v>8</v>
      </c>
    </row>
    <row r="452" spans="1:48" ht="14" customHeight="1">
      <c r="A452" s="27">
        <v>451</v>
      </c>
      <c r="B452" s="27" t="s">
        <v>482</v>
      </c>
      <c r="C452" s="26">
        <v>2002</v>
      </c>
      <c r="D452" s="26" t="s">
        <v>127</v>
      </c>
      <c r="E452" s="26" t="s">
        <v>563</v>
      </c>
      <c r="F452" s="77" t="s">
        <v>175</v>
      </c>
      <c r="G452" s="2" t="s">
        <v>84</v>
      </c>
      <c r="H452" s="2" t="s">
        <v>24</v>
      </c>
      <c r="I452" s="2" t="s">
        <v>548</v>
      </c>
      <c r="J452" s="2" t="s">
        <v>603</v>
      </c>
      <c r="K452" s="2" t="s">
        <v>548</v>
      </c>
      <c r="L452" s="2" t="s">
        <v>548</v>
      </c>
      <c r="M452" s="2" t="s">
        <v>175</v>
      </c>
      <c r="N452" s="2" t="s">
        <v>608</v>
      </c>
      <c r="O452" s="2" t="s">
        <v>43</v>
      </c>
      <c r="P452" s="2" t="s">
        <v>608</v>
      </c>
      <c r="Q452" s="2" t="s">
        <v>42</v>
      </c>
      <c r="R452" s="102" t="s">
        <v>614</v>
      </c>
      <c r="S452" s="2">
        <f>9/T452</f>
        <v>0.81818181818181823</v>
      </c>
      <c r="T452" s="26">
        <v>11</v>
      </c>
      <c r="U452" s="77">
        <v>1</v>
      </c>
      <c r="V452" s="26">
        <v>1</v>
      </c>
      <c r="W452" s="26">
        <v>1</v>
      </c>
      <c r="X452" s="26">
        <v>1</v>
      </c>
      <c r="Y452" s="26">
        <v>1</v>
      </c>
      <c r="Z452" s="26">
        <v>0</v>
      </c>
      <c r="AA452" s="26">
        <v>0</v>
      </c>
      <c r="AB452" s="26">
        <v>0</v>
      </c>
      <c r="AC452" s="26">
        <v>0.41935483899999998</v>
      </c>
      <c r="AD452" s="26">
        <v>0.16129032300000001</v>
      </c>
      <c r="AE452" s="26">
        <v>0.12903225800000001</v>
      </c>
      <c r="AF452" s="26">
        <v>0.29032258100000002</v>
      </c>
      <c r="AG452" s="33">
        <v>270.38709677419354</v>
      </c>
      <c r="AH452" s="33">
        <v>9.6999999999999993</v>
      </c>
      <c r="AI452" s="33">
        <v>2</v>
      </c>
      <c r="AJ452" s="26" t="s">
        <v>228</v>
      </c>
      <c r="AK452" s="33">
        <v>552</v>
      </c>
      <c r="AL452" s="33" t="s">
        <v>70</v>
      </c>
      <c r="AM452" s="35" t="s">
        <v>175</v>
      </c>
      <c r="AN452" s="32" t="s">
        <v>9</v>
      </c>
      <c r="AO452" s="35" t="s">
        <v>175</v>
      </c>
      <c r="AP452" s="35" t="s">
        <v>175</v>
      </c>
      <c r="AQ452" s="35" t="s">
        <v>548</v>
      </c>
      <c r="AR452" s="35" t="s">
        <v>548</v>
      </c>
      <c r="AS452" s="26" t="s">
        <v>175</v>
      </c>
      <c r="AT452" s="26" t="s">
        <v>175</v>
      </c>
      <c r="AU452" s="40" t="s">
        <v>548</v>
      </c>
      <c r="AV452" s="26">
        <v>8</v>
      </c>
    </row>
    <row r="453" spans="1:48" ht="14" customHeight="1">
      <c r="A453" s="27">
        <v>452</v>
      </c>
      <c r="B453" s="27" t="s">
        <v>482</v>
      </c>
      <c r="C453" s="26">
        <v>2002</v>
      </c>
      <c r="D453" s="26" t="s">
        <v>127</v>
      </c>
      <c r="E453" s="26" t="s">
        <v>563</v>
      </c>
      <c r="F453" s="77" t="s">
        <v>175</v>
      </c>
      <c r="G453" s="2" t="s">
        <v>84</v>
      </c>
      <c r="H453" s="2" t="s">
        <v>24</v>
      </c>
      <c r="I453" s="2" t="s">
        <v>548</v>
      </c>
      <c r="J453" s="2" t="s">
        <v>603</v>
      </c>
      <c r="K453" s="2" t="s">
        <v>548</v>
      </c>
      <c r="L453" s="2" t="s">
        <v>548</v>
      </c>
      <c r="M453" s="2" t="s">
        <v>175</v>
      </c>
      <c r="N453" s="2" t="s">
        <v>139</v>
      </c>
      <c r="O453" s="2" t="s">
        <v>60</v>
      </c>
      <c r="P453" s="2" t="s">
        <v>139</v>
      </c>
      <c r="Q453" s="2" t="s">
        <v>42</v>
      </c>
      <c r="R453" s="102" t="s">
        <v>614</v>
      </c>
      <c r="S453" s="2">
        <v>1</v>
      </c>
      <c r="T453" s="26">
        <v>17</v>
      </c>
      <c r="U453" s="77">
        <v>1</v>
      </c>
      <c r="V453" s="26">
        <v>1</v>
      </c>
      <c r="W453" s="26">
        <v>1</v>
      </c>
      <c r="X453" s="26">
        <v>1</v>
      </c>
      <c r="Y453" s="26">
        <v>1</v>
      </c>
      <c r="Z453" s="26">
        <v>0</v>
      </c>
      <c r="AA453" s="26">
        <v>0</v>
      </c>
      <c r="AB453" s="26">
        <v>0</v>
      </c>
      <c r="AC453" s="26">
        <v>0</v>
      </c>
      <c r="AD453" s="26">
        <v>2.1739129999999999E-2</v>
      </c>
      <c r="AE453" s="26">
        <v>6.5217391E-2</v>
      </c>
      <c r="AF453" s="26">
        <v>0.91304347799999996</v>
      </c>
      <c r="AG453" s="33">
        <v>650.06521740000005</v>
      </c>
      <c r="AH453" s="33">
        <v>377.63</v>
      </c>
      <c r="AI453" s="33">
        <v>400</v>
      </c>
      <c r="AJ453" s="26" t="s">
        <v>228</v>
      </c>
      <c r="AK453" s="33">
        <v>623</v>
      </c>
      <c r="AL453" s="33" t="s">
        <v>70</v>
      </c>
      <c r="AM453" s="35" t="s">
        <v>175</v>
      </c>
      <c r="AN453" s="32" t="s">
        <v>9</v>
      </c>
      <c r="AO453" s="35" t="s">
        <v>175</v>
      </c>
      <c r="AP453" s="35" t="s">
        <v>175</v>
      </c>
      <c r="AQ453" s="35" t="s">
        <v>548</v>
      </c>
      <c r="AR453" s="35" t="s">
        <v>548</v>
      </c>
      <c r="AS453" s="26" t="s">
        <v>175</v>
      </c>
      <c r="AT453" s="26" t="s">
        <v>175</v>
      </c>
      <c r="AU453" s="40" t="s">
        <v>548</v>
      </c>
      <c r="AV453" s="26">
        <v>8</v>
      </c>
    </row>
    <row r="454" spans="1:48" ht="14" customHeight="1">
      <c r="A454" s="27">
        <v>453</v>
      </c>
      <c r="B454" s="27" t="s">
        <v>483</v>
      </c>
      <c r="C454" s="27">
        <v>2011</v>
      </c>
      <c r="D454" s="26" t="s">
        <v>123</v>
      </c>
      <c r="E454" s="26" t="s">
        <v>565</v>
      </c>
      <c r="F454" s="82" t="s">
        <v>175</v>
      </c>
      <c r="G454" s="2" t="s">
        <v>147</v>
      </c>
      <c r="H454" s="2" t="s">
        <v>275</v>
      </c>
      <c r="I454" s="2" t="s">
        <v>548</v>
      </c>
      <c r="J454" s="2" t="s">
        <v>604</v>
      </c>
      <c r="K454" s="2" t="s">
        <v>175</v>
      </c>
      <c r="L454" s="2" t="s">
        <v>548</v>
      </c>
      <c r="M454" s="2" t="s">
        <v>175</v>
      </c>
      <c r="N454" s="2" t="s">
        <v>48</v>
      </c>
      <c r="O454" s="2" t="s">
        <v>209</v>
      </c>
      <c r="P454" s="2" t="s">
        <v>48</v>
      </c>
      <c r="Q454" s="2" t="s">
        <v>42</v>
      </c>
      <c r="R454" s="79" t="s">
        <v>613</v>
      </c>
      <c r="S454" s="88">
        <v>0</v>
      </c>
      <c r="T454" s="26">
        <v>32</v>
      </c>
      <c r="U454" s="82">
        <v>1</v>
      </c>
      <c r="V454" s="26">
        <v>0</v>
      </c>
      <c r="W454" s="26">
        <v>0</v>
      </c>
      <c r="X454" s="26">
        <v>1</v>
      </c>
      <c r="Y454" s="26">
        <v>1</v>
      </c>
      <c r="Z454" s="26">
        <v>0</v>
      </c>
      <c r="AA454" s="26">
        <v>0</v>
      </c>
      <c r="AB454" s="26">
        <v>0</v>
      </c>
      <c r="AC454" s="33">
        <v>1</v>
      </c>
      <c r="AD454" s="33">
        <v>0</v>
      </c>
      <c r="AE454" s="33">
        <v>0</v>
      </c>
      <c r="AF454" s="33">
        <v>0</v>
      </c>
      <c r="AG454" s="33">
        <v>0</v>
      </c>
      <c r="AH454" s="33" t="s">
        <v>70</v>
      </c>
      <c r="AI454" s="33" t="s">
        <v>70</v>
      </c>
      <c r="AJ454" s="33" t="s">
        <v>70</v>
      </c>
      <c r="AK454" s="33" t="s">
        <v>70</v>
      </c>
      <c r="AL454" s="33" t="s">
        <v>70</v>
      </c>
      <c r="AM454" s="35" t="s">
        <v>175</v>
      </c>
      <c r="AN454" s="26" t="s">
        <v>274</v>
      </c>
      <c r="AO454" s="35" t="s">
        <v>548</v>
      </c>
      <c r="AP454" s="35" t="s">
        <v>548</v>
      </c>
      <c r="AQ454" s="35" t="s">
        <v>548</v>
      </c>
      <c r="AR454" s="35" t="s">
        <v>548</v>
      </c>
      <c r="AS454" s="26" t="s">
        <v>175</v>
      </c>
      <c r="AT454" s="26" t="s">
        <v>70</v>
      </c>
      <c r="AU454" s="26" t="s">
        <v>70</v>
      </c>
      <c r="AV454" s="26">
        <v>7</v>
      </c>
    </row>
    <row r="455" spans="1:48" ht="14" customHeight="1">
      <c r="A455" s="27">
        <v>454</v>
      </c>
      <c r="B455" s="27" t="s">
        <v>484</v>
      </c>
      <c r="C455" s="27">
        <v>2013</v>
      </c>
      <c r="D455" s="26" t="s">
        <v>218</v>
      </c>
      <c r="E455" s="26" t="s">
        <v>563</v>
      </c>
      <c r="F455" s="77" t="s">
        <v>175</v>
      </c>
      <c r="G455" s="2" t="s">
        <v>108</v>
      </c>
      <c r="H455" s="2" t="s">
        <v>30</v>
      </c>
      <c r="I455" s="2" t="s">
        <v>175</v>
      </c>
      <c r="J455" s="2" t="s">
        <v>604</v>
      </c>
      <c r="K455" s="2" t="s">
        <v>175</v>
      </c>
      <c r="L455" s="2" t="s">
        <v>548</v>
      </c>
      <c r="M455" s="2" t="s">
        <v>175</v>
      </c>
      <c r="N455" s="2" t="s">
        <v>62</v>
      </c>
      <c r="O455" s="2" t="s">
        <v>43</v>
      </c>
      <c r="P455" s="2" t="s">
        <v>62</v>
      </c>
      <c r="Q455" s="26" t="s">
        <v>275</v>
      </c>
      <c r="R455" s="102" t="s">
        <v>614</v>
      </c>
      <c r="S455" s="2">
        <f>1-67/T455</f>
        <v>0.53146853146853146</v>
      </c>
      <c r="T455" s="26">
        <v>143</v>
      </c>
      <c r="U455" s="77">
        <v>1</v>
      </c>
      <c r="V455" s="26">
        <v>1</v>
      </c>
      <c r="W455" s="26">
        <v>1</v>
      </c>
      <c r="X455" s="26">
        <v>1</v>
      </c>
      <c r="Y455" s="26">
        <v>1</v>
      </c>
      <c r="Z455" s="26">
        <v>0</v>
      </c>
      <c r="AA455" s="26">
        <v>0</v>
      </c>
      <c r="AB455" s="26">
        <v>0</v>
      </c>
      <c r="AC455" s="26">
        <f>67/143</f>
        <v>0.46853146853146854</v>
      </c>
      <c r="AD455" s="26">
        <f>7/143</f>
        <v>4.8951048951048952E-2</v>
      </c>
      <c r="AE455" s="26">
        <f>35/143</f>
        <v>0.24475524475524477</v>
      </c>
      <c r="AF455" s="26">
        <f>34/143</f>
        <v>0.23776223776223776</v>
      </c>
      <c r="AG455" s="33">
        <v>520</v>
      </c>
      <c r="AH455" s="33">
        <v>120</v>
      </c>
      <c r="AI455" s="33">
        <v>10</v>
      </c>
      <c r="AJ455" s="26" t="s">
        <v>70</v>
      </c>
      <c r="AK455" s="33" t="s">
        <v>70</v>
      </c>
      <c r="AL455" s="33" t="s">
        <v>70</v>
      </c>
      <c r="AM455" s="35" t="s">
        <v>175</v>
      </c>
      <c r="AN455" s="32" t="s">
        <v>9</v>
      </c>
      <c r="AO455" s="35" t="s">
        <v>548</v>
      </c>
      <c r="AP455" s="35" t="s">
        <v>548</v>
      </c>
      <c r="AQ455" s="35" t="s">
        <v>548</v>
      </c>
      <c r="AR455" s="35" t="s">
        <v>548</v>
      </c>
      <c r="AS455" s="26" t="s">
        <v>548</v>
      </c>
      <c r="AT455" s="26" t="s">
        <v>70</v>
      </c>
      <c r="AU455" s="26" t="s">
        <v>70</v>
      </c>
      <c r="AV455" s="26">
        <v>9</v>
      </c>
    </row>
    <row r="456" spans="1:48" ht="14" customHeight="1">
      <c r="A456" s="27">
        <v>455</v>
      </c>
      <c r="B456" s="27" t="s">
        <v>484</v>
      </c>
      <c r="C456" s="27">
        <v>2013</v>
      </c>
      <c r="D456" s="26" t="s">
        <v>218</v>
      </c>
      <c r="E456" s="26" t="s">
        <v>563</v>
      </c>
      <c r="F456" s="77" t="s">
        <v>175</v>
      </c>
      <c r="G456" s="2" t="s">
        <v>108</v>
      </c>
      <c r="H456" s="2" t="s">
        <v>30</v>
      </c>
      <c r="I456" s="2" t="s">
        <v>175</v>
      </c>
      <c r="J456" s="2" t="s">
        <v>604</v>
      </c>
      <c r="K456" s="2" t="s">
        <v>175</v>
      </c>
      <c r="L456" s="2" t="s">
        <v>548</v>
      </c>
      <c r="M456" s="2" t="s">
        <v>175</v>
      </c>
      <c r="N456" s="2" t="s">
        <v>62</v>
      </c>
      <c r="O456" s="2" t="s">
        <v>43</v>
      </c>
      <c r="P456" s="2" t="s">
        <v>621</v>
      </c>
      <c r="Q456" s="2" t="s">
        <v>42</v>
      </c>
      <c r="R456" s="102" t="s">
        <v>614</v>
      </c>
      <c r="S456" s="2">
        <f>1-22/T456</f>
        <v>0.82258064516129026</v>
      </c>
      <c r="T456" s="26">
        <v>124</v>
      </c>
      <c r="U456" s="77">
        <v>1</v>
      </c>
      <c r="V456" s="26">
        <v>1</v>
      </c>
      <c r="W456" s="26">
        <v>1</v>
      </c>
      <c r="X456" s="26">
        <v>1</v>
      </c>
      <c r="Y456" s="26">
        <v>1</v>
      </c>
      <c r="Z456" s="26">
        <v>0</v>
      </c>
      <c r="AA456" s="26">
        <v>0</v>
      </c>
      <c r="AB456" s="26">
        <v>0</v>
      </c>
      <c r="AC456" s="26">
        <f>22/124</f>
        <v>0.17741935483870969</v>
      </c>
      <c r="AD456" s="26">
        <f>12/124</f>
        <v>9.6774193548387094E-2</v>
      </c>
      <c r="AE456" s="26">
        <f>33/124</f>
        <v>0.2661290322580645</v>
      </c>
      <c r="AF456" s="26">
        <f>(41+16)/124</f>
        <v>0.45967741935483869</v>
      </c>
      <c r="AG456" s="33">
        <v>1100</v>
      </c>
      <c r="AH456" s="33">
        <v>170</v>
      </c>
      <c r="AI456" s="33">
        <v>80</v>
      </c>
      <c r="AJ456" s="26" t="s">
        <v>70</v>
      </c>
      <c r="AK456" s="33" t="s">
        <v>70</v>
      </c>
      <c r="AL456" s="33" t="s">
        <v>70</v>
      </c>
      <c r="AM456" s="35" t="s">
        <v>175</v>
      </c>
      <c r="AN456" s="26" t="s">
        <v>274</v>
      </c>
      <c r="AO456" s="35" t="s">
        <v>548</v>
      </c>
      <c r="AP456" s="35" t="s">
        <v>548</v>
      </c>
      <c r="AQ456" s="35" t="s">
        <v>548</v>
      </c>
      <c r="AR456" s="35" t="s">
        <v>548</v>
      </c>
      <c r="AS456" s="26" t="s">
        <v>548</v>
      </c>
      <c r="AT456" s="26" t="s">
        <v>70</v>
      </c>
      <c r="AU456" s="26" t="s">
        <v>70</v>
      </c>
      <c r="AV456" s="26">
        <v>9</v>
      </c>
    </row>
    <row r="457" spans="1:48" ht="14" customHeight="1">
      <c r="A457" s="27">
        <v>456</v>
      </c>
      <c r="B457" s="27" t="s">
        <v>485</v>
      </c>
      <c r="C457" s="27">
        <v>2008</v>
      </c>
      <c r="D457" s="26" t="s">
        <v>49</v>
      </c>
      <c r="E457" s="26" t="s">
        <v>566</v>
      </c>
      <c r="F457" s="77" t="s">
        <v>175</v>
      </c>
      <c r="G457" s="2" t="s">
        <v>84</v>
      </c>
      <c r="H457" s="2" t="s">
        <v>30</v>
      </c>
      <c r="I457" s="2" t="s">
        <v>548</v>
      </c>
      <c r="J457" s="2" t="s">
        <v>604</v>
      </c>
      <c r="K457" s="2" t="s">
        <v>175</v>
      </c>
      <c r="L457" s="2" t="s">
        <v>548</v>
      </c>
      <c r="M457" s="2" t="s">
        <v>175</v>
      </c>
      <c r="N457" s="2" t="s">
        <v>70</v>
      </c>
      <c r="O457" s="2" t="s">
        <v>209</v>
      </c>
      <c r="P457" s="2" t="s">
        <v>612</v>
      </c>
      <c r="Q457" s="2" t="s">
        <v>42</v>
      </c>
      <c r="R457" s="79" t="s">
        <v>613</v>
      </c>
      <c r="S457" s="88">
        <v>0.76</v>
      </c>
      <c r="T457" s="26">
        <v>30</v>
      </c>
      <c r="U457" s="77">
        <v>1</v>
      </c>
      <c r="V457" s="26">
        <v>0</v>
      </c>
      <c r="W457" s="26">
        <v>1</v>
      </c>
      <c r="X457" s="26">
        <v>0</v>
      </c>
      <c r="Y457" s="26">
        <v>0</v>
      </c>
      <c r="Z457" s="26">
        <v>0</v>
      </c>
      <c r="AA457" s="26">
        <v>0</v>
      </c>
      <c r="AB457" s="26">
        <v>0</v>
      </c>
      <c r="AC457" s="26" t="s">
        <v>70</v>
      </c>
      <c r="AD457" s="26" t="s">
        <v>70</v>
      </c>
      <c r="AE457" s="26" t="s">
        <v>70</v>
      </c>
      <c r="AF457" s="26" t="s">
        <v>70</v>
      </c>
      <c r="AG457" s="26" t="s">
        <v>70</v>
      </c>
      <c r="AH457" s="26" t="s">
        <v>70</v>
      </c>
      <c r="AI457" s="26" t="s">
        <v>70</v>
      </c>
      <c r="AJ457" s="26" t="s">
        <v>70</v>
      </c>
      <c r="AK457" s="26" t="s">
        <v>70</v>
      </c>
      <c r="AL457" s="26" t="s">
        <v>70</v>
      </c>
      <c r="AM457" s="35" t="s">
        <v>548</v>
      </c>
      <c r="AN457" s="32" t="s">
        <v>274</v>
      </c>
      <c r="AO457" s="35" t="s">
        <v>548</v>
      </c>
      <c r="AP457" s="35" t="s">
        <v>548</v>
      </c>
      <c r="AQ457" s="35" t="s">
        <v>548</v>
      </c>
      <c r="AR457" s="35" t="s">
        <v>548</v>
      </c>
      <c r="AS457" s="26" t="s">
        <v>175</v>
      </c>
      <c r="AT457" s="26" t="s">
        <v>70</v>
      </c>
      <c r="AU457" s="26" t="s">
        <v>70</v>
      </c>
      <c r="AV457" s="26">
        <v>5</v>
      </c>
    </row>
    <row r="458" spans="1:48" ht="14" customHeight="1">
      <c r="A458" s="27">
        <v>457</v>
      </c>
      <c r="B458" s="27" t="s">
        <v>485</v>
      </c>
      <c r="C458" s="27">
        <v>2008</v>
      </c>
      <c r="D458" s="26" t="s">
        <v>49</v>
      </c>
      <c r="E458" s="26" t="s">
        <v>566</v>
      </c>
      <c r="F458" s="77" t="s">
        <v>175</v>
      </c>
      <c r="G458" s="2" t="s">
        <v>84</v>
      </c>
      <c r="H458" s="2" t="s">
        <v>30</v>
      </c>
      <c r="I458" s="2" t="s">
        <v>548</v>
      </c>
      <c r="J458" s="2" t="s">
        <v>604</v>
      </c>
      <c r="K458" s="2" t="s">
        <v>175</v>
      </c>
      <c r="L458" s="2" t="s">
        <v>548</v>
      </c>
      <c r="M458" s="2" t="s">
        <v>175</v>
      </c>
      <c r="N458" s="2" t="s">
        <v>62</v>
      </c>
      <c r="O458" s="2" t="s">
        <v>43</v>
      </c>
      <c r="P458" s="2" t="s">
        <v>62</v>
      </c>
      <c r="Q458" s="26" t="s">
        <v>606</v>
      </c>
      <c r="R458" s="79" t="s">
        <v>613</v>
      </c>
      <c r="S458" s="88">
        <v>0.28499999999999998</v>
      </c>
      <c r="T458" s="26">
        <v>329</v>
      </c>
      <c r="U458" s="77">
        <v>1</v>
      </c>
      <c r="V458" s="26">
        <v>0</v>
      </c>
      <c r="W458" s="26">
        <v>1</v>
      </c>
      <c r="X458" s="26">
        <v>0</v>
      </c>
      <c r="Y458" s="26">
        <v>0</v>
      </c>
      <c r="Z458" s="26">
        <v>0</v>
      </c>
      <c r="AA458" s="26">
        <v>0</v>
      </c>
      <c r="AB458" s="26">
        <v>0</v>
      </c>
      <c r="AC458" s="26" t="s">
        <v>70</v>
      </c>
      <c r="AD458" s="26" t="s">
        <v>70</v>
      </c>
      <c r="AE458" s="26" t="s">
        <v>70</v>
      </c>
      <c r="AF458" s="26" t="s">
        <v>70</v>
      </c>
      <c r="AG458" s="26" t="s">
        <v>70</v>
      </c>
      <c r="AH458" s="26" t="s">
        <v>70</v>
      </c>
      <c r="AI458" s="26" t="s">
        <v>70</v>
      </c>
      <c r="AJ458" s="26" t="s">
        <v>70</v>
      </c>
      <c r="AK458" s="26" t="s">
        <v>70</v>
      </c>
      <c r="AL458" s="26" t="s">
        <v>70</v>
      </c>
      <c r="AM458" s="35" t="s">
        <v>548</v>
      </c>
      <c r="AN458" s="26" t="s">
        <v>274</v>
      </c>
      <c r="AO458" s="35" t="s">
        <v>548</v>
      </c>
      <c r="AP458" s="35" t="s">
        <v>548</v>
      </c>
      <c r="AQ458" s="35" t="s">
        <v>548</v>
      </c>
      <c r="AR458" s="35" t="s">
        <v>548</v>
      </c>
      <c r="AS458" s="26" t="s">
        <v>175</v>
      </c>
      <c r="AT458" s="26" t="s">
        <v>70</v>
      </c>
      <c r="AU458" s="26" t="s">
        <v>70</v>
      </c>
      <c r="AV458" s="26">
        <v>5</v>
      </c>
    </row>
    <row r="459" spans="1:48" ht="14" customHeight="1">
      <c r="A459" s="27">
        <v>458</v>
      </c>
      <c r="B459" s="27" t="s">
        <v>486</v>
      </c>
      <c r="C459" s="27">
        <v>2004</v>
      </c>
      <c r="D459" s="26" t="s">
        <v>127</v>
      </c>
      <c r="E459" s="26" t="s">
        <v>563</v>
      </c>
      <c r="F459" s="77" t="s">
        <v>175</v>
      </c>
      <c r="G459" s="2" t="s">
        <v>84</v>
      </c>
      <c r="H459" s="2" t="s">
        <v>24</v>
      </c>
      <c r="I459" s="2" t="s">
        <v>548</v>
      </c>
      <c r="J459" s="2" t="s">
        <v>604</v>
      </c>
      <c r="K459" s="2" t="s">
        <v>548</v>
      </c>
      <c r="L459" s="2" t="s">
        <v>548</v>
      </c>
      <c r="M459" s="2" t="s">
        <v>548</v>
      </c>
      <c r="N459" s="2" t="s">
        <v>608</v>
      </c>
      <c r="O459" s="2" t="s">
        <v>43</v>
      </c>
      <c r="P459" s="2" t="s">
        <v>608</v>
      </c>
      <c r="Q459" s="2" t="s">
        <v>42</v>
      </c>
      <c r="R459" s="79" t="s">
        <v>613</v>
      </c>
      <c r="S459" s="2">
        <f>26/T459</f>
        <v>0.72222222222222221</v>
      </c>
      <c r="T459" s="26">
        <v>36</v>
      </c>
      <c r="U459" s="77">
        <v>1</v>
      </c>
      <c r="V459" s="26">
        <v>0</v>
      </c>
      <c r="W459" s="26">
        <v>1</v>
      </c>
      <c r="X459" s="26">
        <v>0</v>
      </c>
      <c r="Y459" s="26">
        <v>0</v>
      </c>
      <c r="Z459" s="26">
        <v>0</v>
      </c>
      <c r="AA459" s="26">
        <v>0</v>
      </c>
      <c r="AB459" s="26">
        <v>0</v>
      </c>
      <c r="AC459" s="26" t="s">
        <v>70</v>
      </c>
      <c r="AD459" s="26" t="s">
        <v>70</v>
      </c>
      <c r="AE459" s="26" t="s">
        <v>70</v>
      </c>
      <c r="AF459" s="26" t="s">
        <v>70</v>
      </c>
      <c r="AG459" s="26" t="s">
        <v>70</v>
      </c>
      <c r="AH459" s="26" t="s">
        <v>70</v>
      </c>
      <c r="AI459" s="26" t="s">
        <v>70</v>
      </c>
      <c r="AJ459" s="26" t="s">
        <v>70</v>
      </c>
      <c r="AK459" s="26" t="s">
        <v>70</v>
      </c>
      <c r="AL459" s="26" t="s">
        <v>70</v>
      </c>
      <c r="AM459" s="35" t="s">
        <v>548</v>
      </c>
      <c r="AN459" s="26" t="s">
        <v>274</v>
      </c>
      <c r="AO459" s="26" t="s">
        <v>548</v>
      </c>
      <c r="AP459" s="35" t="s">
        <v>548</v>
      </c>
      <c r="AQ459" s="35" t="s">
        <v>548</v>
      </c>
      <c r="AR459" s="35" t="s">
        <v>548</v>
      </c>
      <c r="AS459" s="26" t="s">
        <v>175</v>
      </c>
      <c r="AT459" s="26" t="s">
        <v>70</v>
      </c>
      <c r="AU459" s="26" t="s">
        <v>70</v>
      </c>
      <c r="AV459" s="26">
        <v>3</v>
      </c>
    </row>
    <row r="460" spans="1:48" ht="14" customHeight="1">
      <c r="A460" s="27">
        <v>459</v>
      </c>
      <c r="B460" s="27" t="s">
        <v>487</v>
      </c>
      <c r="C460" s="27">
        <v>2007</v>
      </c>
      <c r="D460" s="26" t="s">
        <v>49</v>
      </c>
      <c r="E460" s="26" t="s">
        <v>566</v>
      </c>
      <c r="F460" s="77" t="s">
        <v>175</v>
      </c>
      <c r="G460" s="2" t="s">
        <v>84</v>
      </c>
      <c r="H460" s="2" t="s">
        <v>30</v>
      </c>
      <c r="I460" s="2" t="s">
        <v>548</v>
      </c>
      <c r="J460" s="2" t="s">
        <v>604</v>
      </c>
      <c r="K460" s="2" t="s">
        <v>548</v>
      </c>
      <c r="L460" s="2" t="s">
        <v>548</v>
      </c>
      <c r="M460" s="2" t="s">
        <v>175</v>
      </c>
      <c r="N460" s="2" t="s">
        <v>62</v>
      </c>
      <c r="O460" s="2" t="s">
        <v>43</v>
      </c>
      <c r="P460" s="2" t="s">
        <v>62</v>
      </c>
      <c r="Q460" s="26" t="s">
        <v>607</v>
      </c>
      <c r="R460" s="102" t="s">
        <v>614</v>
      </c>
      <c r="S460" s="2">
        <v>1</v>
      </c>
      <c r="T460" s="26">
        <v>30</v>
      </c>
      <c r="U460" s="77">
        <v>1</v>
      </c>
      <c r="V460" s="26">
        <v>0</v>
      </c>
      <c r="W460" s="26">
        <v>1</v>
      </c>
      <c r="X460" s="26">
        <v>1</v>
      </c>
      <c r="Y460" s="26">
        <v>1</v>
      </c>
      <c r="Z460" s="26">
        <v>1</v>
      </c>
      <c r="AA460" s="26">
        <v>0</v>
      </c>
      <c r="AB460" s="26">
        <v>0</v>
      </c>
      <c r="AC460" s="26" t="s">
        <v>70</v>
      </c>
      <c r="AD460" s="26" t="s">
        <v>70</v>
      </c>
      <c r="AE460" s="26" t="s">
        <v>70</v>
      </c>
      <c r="AF460" s="26" t="s">
        <v>70</v>
      </c>
      <c r="AG460" s="33">
        <f>10^2.99</f>
        <v>977.23722095581138</v>
      </c>
      <c r="AH460" s="26" t="s">
        <v>70</v>
      </c>
      <c r="AI460" s="26" t="s">
        <v>70</v>
      </c>
      <c r="AJ460" s="26" t="s">
        <v>232</v>
      </c>
      <c r="AK460" s="26" t="s">
        <v>70</v>
      </c>
      <c r="AL460" s="26" t="s">
        <v>70</v>
      </c>
      <c r="AM460" s="35" t="s">
        <v>548</v>
      </c>
      <c r="AN460" s="26" t="s">
        <v>274</v>
      </c>
      <c r="AO460" s="35" t="s">
        <v>548</v>
      </c>
      <c r="AP460" s="35" t="s">
        <v>548</v>
      </c>
      <c r="AQ460" s="35" t="s">
        <v>548</v>
      </c>
      <c r="AR460" s="35" t="s">
        <v>548</v>
      </c>
      <c r="AS460" s="26" t="s">
        <v>175</v>
      </c>
      <c r="AT460" s="26" t="s">
        <v>70</v>
      </c>
      <c r="AU460" s="26" t="s">
        <v>70</v>
      </c>
      <c r="AV460" s="26">
        <v>7</v>
      </c>
    </row>
    <row r="461" spans="1:48" ht="14" customHeight="1">
      <c r="A461" s="27">
        <v>460</v>
      </c>
      <c r="B461" s="27" t="s">
        <v>487</v>
      </c>
      <c r="C461" s="37">
        <v>2009</v>
      </c>
      <c r="D461" s="26" t="s">
        <v>49</v>
      </c>
      <c r="E461" s="26" t="s">
        <v>566</v>
      </c>
      <c r="F461" s="77" t="s">
        <v>175</v>
      </c>
      <c r="G461" s="2" t="s">
        <v>84</v>
      </c>
      <c r="H461" s="2" t="s">
        <v>30</v>
      </c>
      <c r="I461" s="2" t="s">
        <v>548</v>
      </c>
      <c r="J461" s="2" t="s">
        <v>604</v>
      </c>
      <c r="K461" s="2" t="s">
        <v>548</v>
      </c>
      <c r="L461" s="2" t="s">
        <v>548</v>
      </c>
      <c r="M461" s="2" t="s">
        <v>175</v>
      </c>
      <c r="N461" s="2" t="s">
        <v>62</v>
      </c>
      <c r="O461" s="2" t="s">
        <v>43</v>
      </c>
      <c r="P461" s="2" t="s">
        <v>62</v>
      </c>
      <c r="Q461" s="26" t="s">
        <v>607</v>
      </c>
      <c r="R461" s="102" t="s">
        <v>614</v>
      </c>
      <c r="S461" s="2">
        <f>23/T461</f>
        <v>0.95833333333333337</v>
      </c>
      <c r="T461" s="26">
        <v>24</v>
      </c>
      <c r="U461" s="77">
        <v>1</v>
      </c>
      <c r="V461" s="26">
        <v>0</v>
      </c>
      <c r="W461" s="26">
        <v>1</v>
      </c>
      <c r="X461" s="26">
        <v>1</v>
      </c>
      <c r="Y461" s="26">
        <v>1</v>
      </c>
      <c r="Z461" s="26">
        <v>1</v>
      </c>
      <c r="AA461" s="26">
        <v>0</v>
      </c>
      <c r="AB461" s="26">
        <v>0</v>
      </c>
      <c r="AC461" s="38" t="s">
        <v>70</v>
      </c>
      <c r="AD461" s="38" t="s">
        <v>70</v>
      </c>
      <c r="AE461" s="38" t="s">
        <v>70</v>
      </c>
      <c r="AF461" s="38" t="s">
        <v>70</v>
      </c>
      <c r="AG461" s="38" t="s">
        <v>70</v>
      </c>
      <c r="AH461" s="38" t="s">
        <v>70</v>
      </c>
      <c r="AI461" s="38" t="s">
        <v>70</v>
      </c>
      <c r="AJ461" s="38" t="s">
        <v>70</v>
      </c>
      <c r="AK461" s="38" t="s">
        <v>70</v>
      </c>
      <c r="AL461" s="38" t="s">
        <v>70</v>
      </c>
      <c r="AM461" s="35" t="s">
        <v>548</v>
      </c>
      <c r="AN461" s="26" t="s">
        <v>274</v>
      </c>
      <c r="AO461" s="35" t="s">
        <v>548</v>
      </c>
      <c r="AP461" s="35" t="s">
        <v>548</v>
      </c>
      <c r="AQ461" s="35" t="s">
        <v>548</v>
      </c>
      <c r="AR461" s="35" t="s">
        <v>548</v>
      </c>
      <c r="AS461" s="26" t="s">
        <v>175</v>
      </c>
      <c r="AT461" s="26" t="s">
        <v>70</v>
      </c>
      <c r="AU461" s="26" t="s">
        <v>70</v>
      </c>
      <c r="AV461" s="26">
        <v>7</v>
      </c>
    </row>
    <row r="462" spans="1:48" ht="14" customHeight="1">
      <c r="A462" s="27">
        <v>461</v>
      </c>
      <c r="B462" s="27" t="s">
        <v>487</v>
      </c>
      <c r="C462" s="28">
        <v>2010</v>
      </c>
      <c r="D462" s="26" t="s">
        <v>49</v>
      </c>
      <c r="E462" s="26" t="s">
        <v>566</v>
      </c>
      <c r="F462" s="2" t="s">
        <v>175</v>
      </c>
      <c r="G462" s="2" t="s">
        <v>84</v>
      </c>
      <c r="H462" s="2" t="s">
        <v>30</v>
      </c>
      <c r="I462" s="2" t="s">
        <v>548</v>
      </c>
      <c r="J462" s="2" t="s">
        <v>604</v>
      </c>
      <c r="K462" s="2" t="s">
        <v>548</v>
      </c>
      <c r="L462" s="2" t="s">
        <v>548</v>
      </c>
      <c r="M462" s="2" t="s">
        <v>548</v>
      </c>
      <c r="N462" s="2" t="s">
        <v>210</v>
      </c>
      <c r="O462" s="2" t="s">
        <v>43</v>
      </c>
      <c r="P462" s="2" t="s">
        <v>210</v>
      </c>
      <c r="Q462" s="2" t="s">
        <v>42</v>
      </c>
      <c r="R462" s="102" t="s">
        <v>614</v>
      </c>
      <c r="S462" s="88">
        <f>3/24</f>
        <v>0.125</v>
      </c>
      <c r="T462" s="61">
        <v>24</v>
      </c>
      <c r="U462" s="2">
        <v>1</v>
      </c>
      <c r="V462" s="26">
        <v>0</v>
      </c>
      <c r="W462" s="26">
        <v>1</v>
      </c>
      <c r="X462" s="26">
        <v>1</v>
      </c>
      <c r="Y462" s="26">
        <v>1</v>
      </c>
      <c r="Z462" s="26">
        <v>1</v>
      </c>
      <c r="AA462" s="26">
        <v>0</v>
      </c>
      <c r="AB462" s="26">
        <v>0</v>
      </c>
      <c r="AC462" s="26" t="s">
        <v>70</v>
      </c>
      <c r="AD462" s="26" t="s">
        <v>70</v>
      </c>
      <c r="AE462" s="26" t="s">
        <v>70</v>
      </c>
      <c r="AF462" s="26" t="s">
        <v>70</v>
      </c>
      <c r="AG462" s="33" t="s">
        <v>70</v>
      </c>
      <c r="AH462" s="26" t="s">
        <v>70</v>
      </c>
      <c r="AI462" s="26" t="s">
        <v>70</v>
      </c>
      <c r="AJ462" s="26" t="s">
        <v>70</v>
      </c>
      <c r="AK462" s="26" t="s">
        <v>70</v>
      </c>
      <c r="AL462" s="26" t="s">
        <v>70</v>
      </c>
      <c r="AM462" s="61" t="s">
        <v>548</v>
      </c>
      <c r="AN462" s="26" t="s">
        <v>274</v>
      </c>
      <c r="AO462" s="26" t="s">
        <v>548</v>
      </c>
      <c r="AP462" s="26" t="s">
        <v>548</v>
      </c>
      <c r="AQ462" s="26" t="s">
        <v>548</v>
      </c>
      <c r="AR462" s="26" t="s">
        <v>548</v>
      </c>
      <c r="AS462" s="26" t="s">
        <v>175</v>
      </c>
      <c r="AT462" s="26" t="s">
        <v>70</v>
      </c>
      <c r="AU462" s="26" t="s">
        <v>70</v>
      </c>
      <c r="AV462" s="26">
        <v>6</v>
      </c>
    </row>
    <row r="463" spans="1:48" ht="14" customHeight="1">
      <c r="A463" s="27">
        <v>462</v>
      </c>
      <c r="B463" s="27" t="s">
        <v>487</v>
      </c>
      <c r="C463" s="28">
        <v>2010</v>
      </c>
      <c r="D463" s="26" t="s">
        <v>49</v>
      </c>
      <c r="E463" s="26" t="s">
        <v>566</v>
      </c>
      <c r="F463" s="2" t="s">
        <v>175</v>
      </c>
      <c r="G463" s="2" t="s">
        <v>84</v>
      </c>
      <c r="H463" s="2" t="s">
        <v>30</v>
      </c>
      <c r="I463" s="2" t="s">
        <v>548</v>
      </c>
      <c r="J463" s="2" t="s">
        <v>604</v>
      </c>
      <c r="K463" s="2" t="s">
        <v>548</v>
      </c>
      <c r="L463" s="2" t="s">
        <v>548</v>
      </c>
      <c r="M463" s="2" t="s">
        <v>548</v>
      </c>
      <c r="N463" s="2" t="s">
        <v>210</v>
      </c>
      <c r="O463" s="2" t="s">
        <v>43</v>
      </c>
      <c r="P463" s="2" t="s">
        <v>618</v>
      </c>
      <c r="Q463" s="2" t="s">
        <v>42</v>
      </c>
      <c r="R463" s="102" t="s">
        <v>614</v>
      </c>
      <c r="S463" s="2">
        <f>10/24</f>
        <v>0.41666666666666669</v>
      </c>
      <c r="T463" s="26">
        <v>24</v>
      </c>
      <c r="U463" s="2">
        <v>1</v>
      </c>
      <c r="V463" s="26">
        <v>0</v>
      </c>
      <c r="W463" s="26">
        <v>1</v>
      </c>
      <c r="X463" s="26">
        <v>1</v>
      </c>
      <c r="Y463" s="26">
        <v>1</v>
      </c>
      <c r="Z463" s="26">
        <v>1</v>
      </c>
      <c r="AA463" s="26">
        <v>0</v>
      </c>
      <c r="AB463" s="26">
        <v>0</v>
      </c>
      <c r="AC463" s="26" t="s">
        <v>70</v>
      </c>
      <c r="AD463" s="26" t="s">
        <v>70</v>
      </c>
      <c r="AE463" s="26" t="s">
        <v>70</v>
      </c>
      <c r="AF463" s="26" t="s">
        <v>70</v>
      </c>
      <c r="AG463" s="33" t="s">
        <v>70</v>
      </c>
      <c r="AH463" s="26" t="s">
        <v>70</v>
      </c>
      <c r="AI463" s="26" t="s">
        <v>70</v>
      </c>
      <c r="AJ463" s="26" t="s">
        <v>70</v>
      </c>
      <c r="AK463" s="26" t="s">
        <v>70</v>
      </c>
      <c r="AL463" s="26" t="s">
        <v>70</v>
      </c>
      <c r="AM463" s="61" t="s">
        <v>548</v>
      </c>
      <c r="AN463" s="26" t="s">
        <v>274</v>
      </c>
      <c r="AO463" s="26" t="s">
        <v>548</v>
      </c>
      <c r="AP463" s="26" t="s">
        <v>548</v>
      </c>
      <c r="AQ463" s="26" t="s">
        <v>548</v>
      </c>
      <c r="AR463" s="26" t="s">
        <v>548</v>
      </c>
      <c r="AS463" s="26" t="s">
        <v>175</v>
      </c>
      <c r="AT463" s="26" t="s">
        <v>70</v>
      </c>
      <c r="AU463" s="26" t="s">
        <v>70</v>
      </c>
      <c r="AV463" s="26">
        <v>6</v>
      </c>
    </row>
    <row r="464" spans="1:48" ht="14" customHeight="1">
      <c r="A464" s="27">
        <v>463</v>
      </c>
      <c r="B464" s="27" t="s">
        <v>488</v>
      </c>
      <c r="C464" s="26">
        <v>2008</v>
      </c>
      <c r="D464" s="26" t="s">
        <v>18</v>
      </c>
      <c r="E464" s="26" t="s">
        <v>566</v>
      </c>
      <c r="F464" s="2" t="s">
        <v>175</v>
      </c>
      <c r="G464" s="2" t="s">
        <v>84</v>
      </c>
      <c r="H464" s="2" t="s">
        <v>24</v>
      </c>
      <c r="I464" s="2" t="s">
        <v>548</v>
      </c>
      <c r="J464" s="2" t="s">
        <v>604</v>
      </c>
      <c r="K464" s="2" t="s">
        <v>548</v>
      </c>
      <c r="L464" s="2" t="s">
        <v>548</v>
      </c>
      <c r="M464" s="2" t="s">
        <v>548</v>
      </c>
      <c r="N464" s="2" t="s">
        <v>210</v>
      </c>
      <c r="O464" s="2" t="s">
        <v>43</v>
      </c>
      <c r="P464" s="2" t="s">
        <v>210</v>
      </c>
      <c r="Q464" s="2" t="s">
        <v>42</v>
      </c>
      <c r="R464" s="79" t="s">
        <v>613</v>
      </c>
      <c r="S464" s="88">
        <v>0.44440000000000002</v>
      </c>
      <c r="T464" s="61">
        <v>18</v>
      </c>
      <c r="U464" s="2">
        <v>1</v>
      </c>
      <c r="V464" s="26">
        <v>0</v>
      </c>
      <c r="W464" s="26">
        <v>1</v>
      </c>
      <c r="X464" s="26">
        <v>1</v>
      </c>
      <c r="Y464" s="26">
        <v>0</v>
      </c>
      <c r="Z464" s="26">
        <v>0</v>
      </c>
      <c r="AA464" s="26">
        <v>0</v>
      </c>
      <c r="AB464" s="26">
        <v>0</v>
      </c>
      <c r="AC464" s="26" t="s">
        <v>70</v>
      </c>
      <c r="AD464" s="26" t="s">
        <v>70</v>
      </c>
      <c r="AE464" s="26" t="s">
        <v>70</v>
      </c>
      <c r="AF464" s="26" t="s">
        <v>70</v>
      </c>
      <c r="AG464" s="33" t="s">
        <v>70</v>
      </c>
      <c r="AH464" s="26" t="s">
        <v>70</v>
      </c>
      <c r="AI464" s="26" t="s">
        <v>70</v>
      </c>
      <c r="AJ464" s="26" t="s">
        <v>70</v>
      </c>
      <c r="AK464" s="26" t="s">
        <v>70</v>
      </c>
      <c r="AL464" s="26" t="s">
        <v>70</v>
      </c>
      <c r="AM464" s="61" t="s">
        <v>548</v>
      </c>
      <c r="AN464" s="26" t="s">
        <v>274</v>
      </c>
      <c r="AO464" s="26" t="s">
        <v>548</v>
      </c>
      <c r="AP464" s="26" t="s">
        <v>548</v>
      </c>
      <c r="AQ464" s="26" t="s">
        <v>548</v>
      </c>
      <c r="AR464" s="26" t="s">
        <v>548</v>
      </c>
      <c r="AS464" s="26" t="s">
        <v>175</v>
      </c>
      <c r="AT464" s="26" t="s">
        <v>70</v>
      </c>
      <c r="AU464" s="26" t="s">
        <v>70</v>
      </c>
      <c r="AV464" s="26">
        <v>4</v>
      </c>
    </row>
    <row r="465" spans="1:92" ht="14" customHeight="1">
      <c r="A465" s="27">
        <v>464</v>
      </c>
      <c r="B465" s="27" t="s">
        <v>558</v>
      </c>
      <c r="C465" s="27">
        <v>2013</v>
      </c>
      <c r="D465" s="26" t="s">
        <v>127</v>
      </c>
      <c r="E465" s="26" t="s">
        <v>563</v>
      </c>
      <c r="F465" s="77" t="s">
        <v>175</v>
      </c>
      <c r="H465" s="2" t="s">
        <v>24</v>
      </c>
      <c r="I465" s="2" t="s">
        <v>548</v>
      </c>
      <c r="J465" s="2" t="s">
        <v>604</v>
      </c>
      <c r="K465" s="2" t="s">
        <v>548</v>
      </c>
      <c r="L465" s="2" t="s">
        <v>548</v>
      </c>
      <c r="M465" s="2" t="s">
        <v>175</v>
      </c>
      <c r="N465" s="2" t="s">
        <v>62</v>
      </c>
      <c r="O465" s="2" t="s">
        <v>43</v>
      </c>
      <c r="P465" s="2" t="s">
        <v>62</v>
      </c>
      <c r="Q465" s="26" t="s">
        <v>275</v>
      </c>
      <c r="R465" s="102" t="s">
        <v>614</v>
      </c>
      <c r="S465" s="88">
        <f>6/T465</f>
        <v>0.31578947368421051</v>
      </c>
      <c r="T465" s="61">
        <v>19</v>
      </c>
      <c r="U465" s="77">
        <v>1</v>
      </c>
      <c r="V465" s="26">
        <v>0</v>
      </c>
      <c r="W465" s="26">
        <v>1</v>
      </c>
      <c r="X465" s="26">
        <v>1</v>
      </c>
      <c r="Y465" s="26">
        <v>0</v>
      </c>
      <c r="Z465" s="26">
        <v>0</v>
      </c>
      <c r="AA465" s="26">
        <v>0</v>
      </c>
      <c r="AB465" s="26">
        <v>0</v>
      </c>
      <c r="AC465" s="26" t="s">
        <v>70</v>
      </c>
      <c r="AD465" s="26" t="s">
        <v>70</v>
      </c>
      <c r="AE465" s="26" t="s">
        <v>70</v>
      </c>
      <c r="AF465" s="26" t="s">
        <v>70</v>
      </c>
      <c r="AG465" s="33">
        <v>191.8</v>
      </c>
      <c r="AH465" s="33" t="s">
        <v>70</v>
      </c>
      <c r="AI465" s="33" t="s">
        <v>70</v>
      </c>
      <c r="AJ465" s="26" t="s">
        <v>559</v>
      </c>
      <c r="AK465" s="33" t="s">
        <v>70</v>
      </c>
      <c r="AL465" s="33" t="s">
        <v>70</v>
      </c>
      <c r="AM465" s="61" t="s">
        <v>548</v>
      </c>
      <c r="AN465" s="26" t="s">
        <v>274</v>
      </c>
      <c r="AO465" s="26" t="s">
        <v>548</v>
      </c>
      <c r="AP465" s="26" t="s">
        <v>548</v>
      </c>
      <c r="AQ465" s="26" t="s">
        <v>548</v>
      </c>
      <c r="AR465" s="26" t="s">
        <v>548</v>
      </c>
      <c r="AS465" s="26" t="s">
        <v>175</v>
      </c>
      <c r="AT465" s="26" t="s">
        <v>70</v>
      </c>
      <c r="AU465" s="26" t="s">
        <v>70</v>
      </c>
      <c r="AV465" s="26">
        <v>5</v>
      </c>
    </row>
    <row r="466" spans="1:92" ht="14" customHeight="1">
      <c r="A466" s="27">
        <v>465</v>
      </c>
      <c r="B466" s="27" t="s">
        <v>558</v>
      </c>
      <c r="C466" s="27">
        <v>2013</v>
      </c>
      <c r="D466" s="26" t="s">
        <v>127</v>
      </c>
      <c r="E466" s="26" t="s">
        <v>563</v>
      </c>
      <c r="F466" s="77" t="s">
        <v>175</v>
      </c>
      <c r="H466" s="2" t="s">
        <v>24</v>
      </c>
      <c r="I466" s="2" t="s">
        <v>548</v>
      </c>
      <c r="J466" s="2" t="s">
        <v>604</v>
      </c>
      <c r="K466" s="2" t="s">
        <v>548</v>
      </c>
      <c r="L466" s="2" t="s">
        <v>548</v>
      </c>
      <c r="M466" s="2" t="s">
        <v>175</v>
      </c>
      <c r="N466" s="2" t="s">
        <v>62</v>
      </c>
      <c r="O466" s="2" t="s">
        <v>43</v>
      </c>
      <c r="P466" s="2" t="s">
        <v>621</v>
      </c>
      <c r="Q466" s="2" t="s">
        <v>42</v>
      </c>
      <c r="R466" s="102" t="s">
        <v>614</v>
      </c>
      <c r="S466" s="88">
        <f>11/T466</f>
        <v>0.57894736842105265</v>
      </c>
      <c r="T466" s="61">
        <v>19</v>
      </c>
      <c r="U466" s="77">
        <v>1</v>
      </c>
      <c r="V466" s="26">
        <v>0</v>
      </c>
      <c r="W466" s="26">
        <v>1</v>
      </c>
      <c r="X466" s="26">
        <v>1</v>
      </c>
      <c r="Y466" s="26">
        <v>0</v>
      </c>
      <c r="Z466" s="26">
        <v>0</v>
      </c>
      <c r="AA466" s="26">
        <v>0</v>
      </c>
      <c r="AB466" s="26">
        <v>0</v>
      </c>
      <c r="AC466" s="26" t="s">
        <v>70</v>
      </c>
      <c r="AD466" s="26" t="s">
        <v>70</v>
      </c>
      <c r="AE466" s="26" t="s">
        <v>70</v>
      </c>
      <c r="AF466" s="26" t="s">
        <v>70</v>
      </c>
      <c r="AG466" s="33">
        <v>331.7</v>
      </c>
      <c r="AH466" s="33" t="s">
        <v>70</v>
      </c>
      <c r="AI466" s="33" t="s">
        <v>70</v>
      </c>
      <c r="AJ466" s="26" t="s">
        <v>560</v>
      </c>
      <c r="AK466" s="33" t="s">
        <v>70</v>
      </c>
      <c r="AL466" s="33" t="s">
        <v>70</v>
      </c>
      <c r="AM466" s="61" t="s">
        <v>548</v>
      </c>
      <c r="AN466" s="26" t="s">
        <v>274</v>
      </c>
      <c r="AO466" s="26" t="s">
        <v>548</v>
      </c>
      <c r="AP466" s="26" t="s">
        <v>548</v>
      </c>
      <c r="AQ466" s="26" t="s">
        <v>548</v>
      </c>
      <c r="AR466" s="26" t="s">
        <v>548</v>
      </c>
      <c r="AS466" s="26" t="s">
        <v>175</v>
      </c>
      <c r="AT466" s="26" t="s">
        <v>70</v>
      </c>
      <c r="AU466" s="26" t="s">
        <v>70</v>
      </c>
      <c r="AV466" s="26">
        <v>5</v>
      </c>
    </row>
    <row r="467" spans="1:92" ht="14" customHeight="1">
      <c r="A467" s="27">
        <v>466</v>
      </c>
      <c r="B467" s="27" t="s">
        <v>489</v>
      </c>
      <c r="C467" s="27">
        <v>2001</v>
      </c>
      <c r="D467" s="26" t="s">
        <v>69</v>
      </c>
      <c r="E467" s="26" t="s">
        <v>565</v>
      </c>
      <c r="F467" s="77" t="s">
        <v>175</v>
      </c>
      <c r="G467" s="2" t="s">
        <v>106</v>
      </c>
      <c r="H467" s="2" t="s">
        <v>30</v>
      </c>
      <c r="I467" s="2" t="s">
        <v>548</v>
      </c>
      <c r="J467" s="2" t="s">
        <v>604</v>
      </c>
      <c r="K467" s="2" t="s">
        <v>548</v>
      </c>
      <c r="L467" s="2" t="s">
        <v>548</v>
      </c>
      <c r="M467" s="2" t="s">
        <v>175</v>
      </c>
      <c r="N467" s="2" t="s">
        <v>210</v>
      </c>
      <c r="O467" s="2" t="s">
        <v>43</v>
      </c>
      <c r="P467" s="2" t="s">
        <v>210</v>
      </c>
      <c r="Q467" s="2" t="s">
        <v>42</v>
      </c>
      <c r="R467" s="79" t="s">
        <v>613</v>
      </c>
      <c r="S467" s="2">
        <v>0</v>
      </c>
      <c r="T467" s="26">
        <v>96</v>
      </c>
      <c r="U467" s="77">
        <v>1</v>
      </c>
      <c r="V467" s="26">
        <v>0</v>
      </c>
      <c r="W467" s="26">
        <v>1</v>
      </c>
      <c r="X467" s="26">
        <v>0</v>
      </c>
      <c r="Y467" s="26">
        <v>0</v>
      </c>
      <c r="Z467" s="26">
        <v>0</v>
      </c>
      <c r="AA467" s="26">
        <v>0</v>
      </c>
      <c r="AB467" s="26">
        <v>0</v>
      </c>
      <c r="AC467" s="26">
        <v>1</v>
      </c>
      <c r="AD467" s="26">
        <v>0</v>
      </c>
      <c r="AE467" s="26">
        <v>0</v>
      </c>
      <c r="AF467" s="26">
        <v>0</v>
      </c>
      <c r="AG467" s="33">
        <v>0</v>
      </c>
      <c r="AH467" s="33" t="s">
        <v>70</v>
      </c>
      <c r="AI467" s="33" t="s">
        <v>70</v>
      </c>
      <c r="AJ467" s="26" t="s">
        <v>70</v>
      </c>
      <c r="AK467" s="33" t="s">
        <v>70</v>
      </c>
      <c r="AL467" s="33" t="s">
        <v>70</v>
      </c>
      <c r="AM467" s="35" t="s">
        <v>548</v>
      </c>
      <c r="AN467" s="26" t="s">
        <v>274</v>
      </c>
      <c r="AO467" s="35" t="s">
        <v>548</v>
      </c>
      <c r="AP467" s="35" t="s">
        <v>548</v>
      </c>
      <c r="AQ467" s="35" t="s">
        <v>548</v>
      </c>
      <c r="AR467" s="35" t="s">
        <v>548</v>
      </c>
      <c r="AS467" s="26" t="s">
        <v>175</v>
      </c>
      <c r="AT467" s="26" t="s">
        <v>70</v>
      </c>
      <c r="AU467" s="26" t="s">
        <v>70</v>
      </c>
      <c r="AV467" s="26">
        <v>4</v>
      </c>
    </row>
    <row r="468" spans="1:92" ht="14" customHeight="1">
      <c r="A468" s="27">
        <v>467</v>
      </c>
      <c r="B468" s="27" t="s">
        <v>490</v>
      </c>
      <c r="C468" s="27">
        <v>1992</v>
      </c>
      <c r="D468" s="26" t="s">
        <v>77</v>
      </c>
      <c r="E468" s="26" t="s">
        <v>563</v>
      </c>
      <c r="F468" s="77" t="s">
        <v>175</v>
      </c>
      <c r="G468" s="2" t="s">
        <v>105</v>
      </c>
      <c r="H468" s="2" t="s">
        <v>24</v>
      </c>
      <c r="I468" s="2" t="s">
        <v>548</v>
      </c>
      <c r="J468" s="2" t="s">
        <v>604</v>
      </c>
      <c r="K468" s="2" t="s">
        <v>548</v>
      </c>
      <c r="L468" s="2" t="s">
        <v>548</v>
      </c>
      <c r="M468" s="2" t="s">
        <v>175</v>
      </c>
      <c r="N468" s="2" t="s">
        <v>62</v>
      </c>
      <c r="O468" s="2" t="s">
        <v>43</v>
      </c>
      <c r="P468" s="2" t="s">
        <v>62</v>
      </c>
      <c r="Q468" s="26" t="s">
        <v>247</v>
      </c>
      <c r="R468" s="102" t="s">
        <v>614</v>
      </c>
      <c r="S468" s="2">
        <v>0.28000000000000003</v>
      </c>
      <c r="T468" s="26">
        <v>43</v>
      </c>
      <c r="U468" s="77">
        <v>1</v>
      </c>
      <c r="V468" s="26">
        <v>0</v>
      </c>
      <c r="W468" s="26">
        <v>1</v>
      </c>
      <c r="X468" s="26">
        <v>1</v>
      </c>
      <c r="Y468" s="26">
        <v>1</v>
      </c>
      <c r="Z468" s="26">
        <v>1</v>
      </c>
      <c r="AA468" s="26">
        <v>0</v>
      </c>
      <c r="AB468" s="26">
        <v>0</v>
      </c>
      <c r="AC468" s="26" t="s">
        <v>70</v>
      </c>
      <c r="AD468" s="26" t="s">
        <v>70</v>
      </c>
      <c r="AE468" s="26" t="s">
        <v>70</v>
      </c>
      <c r="AF468" s="26" t="s">
        <v>70</v>
      </c>
      <c r="AG468" s="26" t="s">
        <v>70</v>
      </c>
      <c r="AH468" s="26" t="s">
        <v>70</v>
      </c>
      <c r="AI468" s="26" t="s">
        <v>70</v>
      </c>
      <c r="AJ468" s="26" t="s">
        <v>70</v>
      </c>
      <c r="AK468" s="26" t="s">
        <v>70</v>
      </c>
      <c r="AL468" s="26" t="s">
        <v>70</v>
      </c>
      <c r="AM468" s="35" t="s">
        <v>548</v>
      </c>
      <c r="AN468" s="26" t="s">
        <v>274</v>
      </c>
      <c r="AO468" s="35" t="s">
        <v>548</v>
      </c>
      <c r="AP468" s="26" t="s">
        <v>548</v>
      </c>
      <c r="AQ468" s="26" t="s">
        <v>548</v>
      </c>
      <c r="AR468" s="26" t="s">
        <v>548</v>
      </c>
      <c r="AS468" s="26" t="s">
        <v>175</v>
      </c>
      <c r="AT468" s="26" t="s">
        <v>70</v>
      </c>
      <c r="AU468" s="26" t="s">
        <v>70</v>
      </c>
      <c r="AV468" s="26">
        <v>7</v>
      </c>
    </row>
    <row r="469" spans="1:92" ht="14" customHeight="1">
      <c r="A469" s="27">
        <v>468</v>
      </c>
      <c r="B469" s="27" t="s">
        <v>490</v>
      </c>
      <c r="C469" s="27">
        <v>1992</v>
      </c>
      <c r="D469" s="26" t="s">
        <v>77</v>
      </c>
      <c r="E469" s="26" t="s">
        <v>563</v>
      </c>
      <c r="F469" s="77" t="s">
        <v>175</v>
      </c>
      <c r="G469" s="2" t="s">
        <v>105</v>
      </c>
      <c r="H469" s="2" t="s">
        <v>24</v>
      </c>
      <c r="I469" s="2" t="s">
        <v>548</v>
      </c>
      <c r="J469" s="2" t="s">
        <v>604</v>
      </c>
      <c r="K469" s="2" t="s">
        <v>548</v>
      </c>
      <c r="L469" s="2" t="s">
        <v>548</v>
      </c>
      <c r="M469" s="2" t="s">
        <v>175</v>
      </c>
      <c r="N469" s="2" t="s">
        <v>62</v>
      </c>
      <c r="O469" s="2" t="s">
        <v>43</v>
      </c>
      <c r="P469" s="2" t="s">
        <v>621</v>
      </c>
      <c r="Q469" s="2" t="s">
        <v>42</v>
      </c>
      <c r="R469" s="102" t="s">
        <v>614</v>
      </c>
      <c r="S469" s="2">
        <v>0.41</v>
      </c>
      <c r="T469" s="26">
        <v>216</v>
      </c>
      <c r="U469" s="77">
        <v>1</v>
      </c>
      <c r="V469" s="26">
        <v>0</v>
      </c>
      <c r="W469" s="26">
        <v>1</v>
      </c>
      <c r="X469" s="26">
        <v>1</v>
      </c>
      <c r="Y469" s="26">
        <v>1</v>
      </c>
      <c r="Z469" s="26">
        <v>1</v>
      </c>
      <c r="AA469" s="26">
        <v>0</v>
      </c>
      <c r="AB469" s="26">
        <v>0</v>
      </c>
      <c r="AC469" s="26" t="s">
        <v>70</v>
      </c>
      <c r="AD469" s="26" t="s">
        <v>70</v>
      </c>
      <c r="AE469" s="26" t="s">
        <v>70</v>
      </c>
      <c r="AF469" s="26" t="s">
        <v>70</v>
      </c>
      <c r="AG469" s="26" t="s">
        <v>70</v>
      </c>
      <c r="AH469" s="26" t="s">
        <v>70</v>
      </c>
      <c r="AI469" s="26" t="s">
        <v>70</v>
      </c>
      <c r="AJ469" s="26" t="s">
        <v>70</v>
      </c>
      <c r="AK469" s="26" t="s">
        <v>70</v>
      </c>
      <c r="AL469" s="26" t="s">
        <v>70</v>
      </c>
      <c r="AM469" s="35" t="s">
        <v>548</v>
      </c>
      <c r="AN469" s="26" t="s">
        <v>274</v>
      </c>
      <c r="AO469" s="35" t="s">
        <v>548</v>
      </c>
      <c r="AP469" s="26" t="s">
        <v>548</v>
      </c>
      <c r="AQ469" s="26" t="s">
        <v>548</v>
      </c>
      <c r="AR469" s="26" t="s">
        <v>548</v>
      </c>
      <c r="AS469" s="26" t="s">
        <v>175</v>
      </c>
      <c r="AT469" s="26" t="s">
        <v>70</v>
      </c>
      <c r="AU469" s="26" t="s">
        <v>70</v>
      </c>
      <c r="AV469" s="26">
        <v>7</v>
      </c>
    </row>
    <row r="470" spans="1:92" ht="14" customHeight="1">
      <c r="A470" s="27">
        <v>469</v>
      </c>
      <c r="B470" s="27" t="s">
        <v>491</v>
      </c>
      <c r="C470" s="28">
        <v>2009</v>
      </c>
      <c r="D470" s="26" t="s">
        <v>134</v>
      </c>
      <c r="E470" s="26" t="s">
        <v>563</v>
      </c>
      <c r="F470" s="2" t="s">
        <v>175</v>
      </c>
      <c r="G470" s="2" t="s">
        <v>105</v>
      </c>
      <c r="H470" s="2" t="s">
        <v>24</v>
      </c>
      <c r="I470" s="2" t="s">
        <v>548</v>
      </c>
      <c r="J470" s="2" t="s">
        <v>604</v>
      </c>
      <c r="K470" s="2" t="s">
        <v>548</v>
      </c>
      <c r="L470" s="2" t="s">
        <v>548</v>
      </c>
      <c r="M470" s="2" t="s">
        <v>175</v>
      </c>
      <c r="N470" s="2" t="s">
        <v>50</v>
      </c>
      <c r="O470" s="2" t="s">
        <v>43</v>
      </c>
      <c r="P470" s="2" t="s">
        <v>50</v>
      </c>
      <c r="Q470" s="2" t="s">
        <v>42</v>
      </c>
      <c r="R470" s="79" t="s">
        <v>613</v>
      </c>
      <c r="S470" s="88">
        <v>0.29409999999999997</v>
      </c>
      <c r="T470" s="61">
        <v>17</v>
      </c>
      <c r="U470" s="2">
        <v>1</v>
      </c>
      <c r="V470" s="26">
        <v>0</v>
      </c>
      <c r="W470" s="26">
        <v>1</v>
      </c>
      <c r="X470" s="26">
        <v>0</v>
      </c>
      <c r="Y470" s="26">
        <v>1</v>
      </c>
      <c r="Z470" s="26">
        <v>0</v>
      </c>
      <c r="AA470" s="26">
        <v>0</v>
      </c>
      <c r="AB470" s="26">
        <v>0</v>
      </c>
      <c r="AC470" s="26" t="s">
        <v>70</v>
      </c>
      <c r="AD470" s="26" t="s">
        <v>70</v>
      </c>
      <c r="AE470" s="26" t="s">
        <v>70</v>
      </c>
      <c r="AF470" s="26" t="s">
        <v>70</v>
      </c>
      <c r="AG470" s="33" t="s">
        <v>70</v>
      </c>
      <c r="AH470" s="26" t="s">
        <v>70</v>
      </c>
      <c r="AI470" s="26" t="s">
        <v>70</v>
      </c>
      <c r="AJ470" s="26" t="s">
        <v>70</v>
      </c>
      <c r="AK470" s="26" t="s">
        <v>70</v>
      </c>
      <c r="AL470" s="26" t="s">
        <v>70</v>
      </c>
      <c r="AM470" s="61" t="s">
        <v>548</v>
      </c>
      <c r="AN470" s="26" t="s">
        <v>274</v>
      </c>
      <c r="AO470" s="26" t="s">
        <v>548</v>
      </c>
      <c r="AP470" s="26" t="s">
        <v>548</v>
      </c>
      <c r="AQ470" s="26" t="s">
        <v>548</v>
      </c>
      <c r="AR470" s="26" t="s">
        <v>548</v>
      </c>
      <c r="AS470" s="26" t="s">
        <v>175</v>
      </c>
      <c r="AT470" s="26" t="s">
        <v>70</v>
      </c>
      <c r="AU470" s="26" t="s">
        <v>70</v>
      </c>
      <c r="AV470" s="26">
        <v>5</v>
      </c>
    </row>
    <row r="471" spans="1:92" ht="14" customHeight="1">
      <c r="A471" s="27">
        <v>470</v>
      </c>
      <c r="B471" s="27" t="s">
        <v>491</v>
      </c>
      <c r="C471" s="28">
        <v>2009</v>
      </c>
      <c r="D471" s="26" t="s">
        <v>134</v>
      </c>
      <c r="E471" s="26" t="s">
        <v>563</v>
      </c>
      <c r="F471" s="2" t="s">
        <v>175</v>
      </c>
      <c r="G471" s="2" t="s">
        <v>105</v>
      </c>
      <c r="H471" s="2" t="s">
        <v>24</v>
      </c>
      <c r="I471" s="2" t="s">
        <v>548</v>
      </c>
      <c r="J471" s="2" t="s">
        <v>604</v>
      </c>
      <c r="K471" s="2" t="s">
        <v>548</v>
      </c>
      <c r="L471" s="2" t="s">
        <v>548</v>
      </c>
      <c r="M471" s="2" t="s">
        <v>175</v>
      </c>
      <c r="N471" s="2" t="s">
        <v>139</v>
      </c>
      <c r="O471" s="2" t="s">
        <v>60</v>
      </c>
      <c r="P471" s="2" t="s">
        <v>139</v>
      </c>
      <c r="Q471" s="2" t="s">
        <v>42</v>
      </c>
      <c r="R471" s="79" t="s">
        <v>613</v>
      </c>
      <c r="S471" s="88">
        <v>0.2727</v>
      </c>
      <c r="T471" s="61">
        <v>11</v>
      </c>
      <c r="U471" s="2">
        <v>1</v>
      </c>
      <c r="V471" s="26">
        <v>0</v>
      </c>
      <c r="W471" s="26">
        <v>1</v>
      </c>
      <c r="X471" s="26">
        <v>0</v>
      </c>
      <c r="Y471" s="26">
        <v>1</v>
      </c>
      <c r="Z471" s="26">
        <v>0</v>
      </c>
      <c r="AA471" s="26">
        <v>0</v>
      </c>
      <c r="AB471" s="26">
        <v>0</v>
      </c>
      <c r="AC471" s="26" t="s">
        <v>70</v>
      </c>
      <c r="AD471" s="26" t="s">
        <v>70</v>
      </c>
      <c r="AE471" s="26" t="s">
        <v>70</v>
      </c>
      <c r="AF471" s="26" t="s">
        <v>70</v>
      </c>
      <c r="AG471" s="33" t="s">
        <v>70</v>
      </c>
      <c r="AH471" s="26" t="s">
        <v>70</v>
      </c>
      <c r="AI471" s="26" t="s">
        <v>70</v>
      </c>
      <c r="AJ471" s="26" t="s">
        <v>70</v>
      </c>
      <c r="AK471" s="26" t="s">
        <v>70</v>
      </c>
      <c r="AL471" s="26" t="s">
        <v>70</v>
      </c>
      <c r="AM471" s="61" t="s">
        <v>548</v>
      </c>
      <c r="AN471" s="26" t="s">
        <v>274</v>
      </c>
      <c r="AO471" s="26" t="s">
        <v>548</v>
      </c>
      <c r="AP471" s="26" t="s">
        <v>548</v>
      </c>
      <c r="AQ471" s="26" t="s">
        <v>548</v>
      </c>
      <c r="AR471" s="26" t="s">
        <v>548</v>
      </c>
      <c r="AS471" s="26" t="s">
        <v>175</v>
      </c>
      <c r="AT471" s="26" t="s">
        <v>70</v>
      </c>
      <c r="AU471" s="26" t="s">
        <v>70</v>
      </c>
      <c r="AV471" s="26">
        <v>5</v>
      </c>
    </row>
    <row r="472" spans="1:92" ht="14" customHeight="1">
      <c r="A472" s="27">
        <v>471</v>
      </c>
      <c r="B472" s="27" t="s">
        <v>492</v>
      </c>
      <c r="C472" s="27">
        <v>1993</v>
      </c>
      <c r="D472" s="26" t="s">
        <v>18</v>
      </c>
      <c r="E472" s="26" t="s">
        <v>566</v>
      </c>
      <c r="F472" s="77" t="s">
        <v>175</v>
      </c>
      <c r="G472" s="2" t="s">
        <v>84</v>
      </c>
      <c r="H472" s="2" t="s">
        <v>24</v>
      </c>
      <c r="I472" s="2" t="s">
        <v>548</v>
      </c>
      <c r="J472" s="2" t="s">
        <v>604</v>
      </c>
      <c r="K472" s="2" t="s">
        <v>548</v>
      </c>
      <c r="L472" s="2" t="s">
        <v>548</v>
      </c>
      <c r="M472" s="2" t="s">
        <v>175</v>
      </c>
      <c r="N472" s="2" t="s">
        <v>210</v>
      </c>
      <c r="O472" s="2" t="s">
        <v>43</v>
      </c>
      <c r="P472" s="2" t="s">
        <v>210</v>
      </c>
      <c r="Q472" s="2" t="s">
        <v>42</v>
      </c>
      <c r="R472" s="79" t="s">
        <v>613</v>
      </c>
      <c r="S472" s="2">
        <v>0.28599999999999998</v>
      </c>
      <c r="T472" s="26">
        <v>24</v>
      </c>
      <c r="U472" s="77">
        <v>1</v>
      </c>
      <c r="V472" s="26">
        <v>0</v>
      </c>
      <c r="W472" s="26">
        <v>1</v>
      </c>
      <c r="X472" s="26">
        <v>0</v>
      </c>
      <c r="Y472" s="26">
        <v>1</v>
      </c>
      <c r="Z472" s="26">
        <v>1</v>
      </c>
      <c r="AA472" s="26">
        <v>0</v>
      </c>
      <c r="AB472" s="26">
        <v>0</v>
      </c>
      <c r="AC472" s="26" t="s">
        <v>70</v>
      </c>
      <c r="AD472" s="26" t="s">
        <v>70</v>
      </c>
      <c r="AE472" s="26" t="s">
        <v>70</v>
      </c>
      <c r="AF472" s="26" t="s">
        <v>70</v>
      </c>
      <c r="AG472" s="26" t="s">
        <v>70</v>
      </c>
      <c r="AH472" s="26" t="s">
        <v>70</v>
      </c>
      <c r="AI472" s="26" t="s">
        <v>70</v>
      </c>
      <c r="AJ472" s="26" t="s">
        <v>70</v>
      </c>
      <c r="AK472" s="26" t="s">
        <v>70</v>
      </c>
      <c r="AL472" s="26" t="s">
        <v>70</v>
      </c>
      <c r="AM472" s="35" t="s">
        <v>548</v>
      </c>
      <c r="AN472" s="26" t="s">
        <v>274</v>
      </c>
      <c r="AO472" s="26" t="s">
        <v>548</v>
      </c>
      <c r="AP472" s="26" t="s">
        <v>548</v>
      </c>
      <c r="AQ472" s="26" t="s">
        <v>548</v>
      </c>
      <c r="AR472" s="26" t="s">
        <v>548</v>
      </c>
      <c r="AS472" s="26" t="s">
        <v>175</v>
      </c>
      <c r="AT472" s="26" t="s">
        <v>70</v>
      </c>
      <c r="AU472" s="26" t="s">
        <v>70</v>
      </c>
      <c r="AV472" s="26">
        <v>6</v>
      </c>
    </row>
    <row r="473" spans="1:92" ht="14" customHeight="1">
      <c r="A473" s="27">
        <v>472</v>
      </c>
      <c r="B473" s="27" t="s">
        <v>492</v>
      </c>
      <c r="C473" s="27">
        <v>1993</v>
      </c>
      <c r="D473" s="26" t="s">
        <v>18</v>
      </c>
      <c r="E473" s="26" t="s">
        <v>566</v>
      </c>
      <c r="F473" s="77" t="s">
        <v>175</v>
      </c>
      <c r="G473" s="2" t="s">
        <v>84</v>
      </c>
      <c r="H473" s="2" t="s">
        <v>24</v>
      </c>
      <c r="I473" s="2" t="s">
        <v>548</v>
      </c>
      <c r="J473" s="2" t="s">
        <v>604</v>
      </c>
      <c r="K473" s="2" t="s">
        <v>548</v>
      </c>
      <c r="L473" s="2" t="s">
        <v>548</v>
      </c>
      <c r="M473" s="2" t="s">
        <v>175</v>
      </c>
      <c r="N473" s="2" t="s">
        <v>70</v>
      </c>
      <c r="O473" s="2" t="s">
        <v>209</v>
      </c>
      <c r="P473" s="2" t="s">
        <v>612</v>
      </c>
      <c r="Q473" s="2" t="s">
        <v>42</v>
      </c>
      <c r="R473" s="79" t="s">
        <v>613</v>
      </c>
      <c r="S473" s="2">
        <v>0.81799999999999995</v>
      </c>
      <c r="T473" s="26">
        <v>77</v>
      </c>
      <c r="U473" s="77">
        <v>1</v>
      </c>
      <c r="V473" s="26">
        <v>0</v>
      </c>
      <c r="W473" s="26">
        <v>1</v>
      </c>
      <c r="X473" s="26">
        <v>0</v>
      </c>
      <c r="Y473" s="26">
        <v>0</v>
      </c>
      <c r="Z473" s="26">
        <v>1</v>
      </c>
      <c r="AA473" s="26">
        <v>0</v>
      </c>
      <c r="AB473" s="26">
        <v>0</v>
      </c>
      <c r="AC473" s="26" t="s">
        <v>70</v>
      </c>
      <c r="AD473" s="26" t="s">
        <v>70</v>
      </c>
      <c r="AE473" s="26" t="s">
        <v>70</v>
      </c>
      <c r="AF473" s="26" t="s">
        <v>70</v>
      </c>
      <c r="AG473" s="26" t="s">
        <v>70</v>
      </c>
      <c r="AH473" s="26" t="s">
        <v>70</v>
      </c>
      <c r="AI473" s="26" t="s">
        <v>70</v>
      </c>
      <c r="AJ473" s="26" t="s">
        <v>70</v>
      </c>
      <c r="AK473" s="26" t="s">
        <v>70</v>
      </c>
      <c r="AL473" s="26" t="s">
        <v>70</v>
      </c>
      <c r="AM473" s="35" t="s">
        <v>548</v>
      </c>
      <c r="AN473" s="32" t="s">
        <v>274</v>
      </c>
      <c r="AO473" s="26" t="s">
        <v>548</v>
      </c>
      <c r="AP473" s="26" t="s">
        <v>548</v>
      </c>
      <c r="AQ473" s="26" t="s">
        <v>548</v>
      </c>
      <c r="AR473" s="26" t="s">
        <v>548</v>
      </c>
      <c r="AS473" s="26" t="s">
        <v>175</v>
      </c>
      <c r="AT473" s="26" t="s">
        <v>70</v>
      </c>
      <c r="AU473" s="26" t="s">
        <v>70</v>
      </c>
      <c r="AV473" s="26">
        <v>5</v>
      </c>
    </row>
    <row r="474" spans="1:92" ht="14" customHeight="1">
      <c r="A474" s="27">
        <v>473</v>
      </c>
      <c r="B474" s="27" t="s">
        <v>493</v>
      </c>
      <c r="C474" s="37">
        <v>1994</v>
      </c>
      <c r="D474" s="26" t="s">
        <v>199</v>
      </c>
      <c r="E474" s="26" t="s">
        <v>565</v>
      </c>
      <c r="F474" s="77" t="s">
        <v>175</v>
      </c>
      <c r="G474" s="2" t="s">
        <v>105</v>
      </c>
      <c r="H474" s="2" t="s">
        <v>24</v>
      </c>
      <c r="I474" s="2" t="s">
        <v>548</v>
      </c>
      <c r="J474" s="2" t="s">
        <v>604</v>
      </c>
      <c r="K474" s="2" t="s">
        <v>548</v>
      </c>
      <c r="L474" s="2" t="s">
        <v>548</v>
      </c>
      <c r="M474" s="2" t="s">
        <v>548</v>
      </c>
      <c r="N474" s="2" t="s">
        <v>62</v>
      </c>
      <c r="O474" s="2" t="s">
        <v>43</v>
      </c>
      <c r="P474" s="2" t="s">
        <v>62</v>
      </c>
      <c r="Q474" s="26" t="s">
        <v>607</v>
      </c>
      <c r="R474" s="79" t="s">
        <v>613</v>
      </c>
      <c r="S474" s="2">
        <f>25/T474</f>
        <v>0.86206896551724133</v>
      </c>
      <c r="T474" s="26">
        <v>29</v>
      </c>
      <c r="U474" s="77">
        <v>1</v>
      </c>
      <c r="V474" s="26">
        <v>0</v>
      </c>
      <c r="W474" s="26">
        <v>0</v>
      </c>
      <c r="X474" s="26">
        <v>0</v>
      </c>
      <c r="Y474" s="26">
        <v>0</v>
      </c>
      <c r="Z474" s="26">
        <v>0</v>
      </c>
      <c r="AA474" s="26">
        <v>0</v>
      </c>
      <c r="AB474" s="26">
        <v>0</v>
      </c>
      <c r="AC474" s="26">
        <f>4/T474</f>
        <v>0.13793103448275862</v>
      </c>
      <c r="AD474" s="26">
        <f>10/T474</f>
        <v>0.34482758620689657</v>
      </c>
      <c r="AE474" s="26">
        <f>1-AF474-AD474-AC474</f>
        <v>0.27724137931034482</v>
      </c>
      <c r="AF474" s="26">
        <v>0.24</v>
      </c>
      <c r="AG474" s="26" t="s">
        <v>70</v>
      </c>
      <c r="AH474" s="26" t="s">
        <v>70</v>
      </c>
      <c r="AI474" s="26" t="s">
        <v>70</v>
      </c>
      <c r="AJ474" s="26" t="s">
        <v>70</v>
      </c>
      <c r="AK474" s="26" t="s">
        <v>70</v>
      </c>
      <c r="AL474" s="26" t="s">
        <v>70</v>
      </c>
      <c r="AM474" s="35" t="s">
        <v>175</v>
      </c>
      <c r="AN474" s="26" t="s">
        <v>274</v>
      </c>
      <c r="AO474" s="35" t="s">
        <v>548</v>
      </c>
      <c r="AP474" s="35" t="s">
        <v>548</v>
      </c>
      <c r="AQ474" s="35" t="s">
        <v>548</v>
      </c>
      <c r="AR474" s="35" t="s">
        <v>548</v>
      </c>
      <c r="AS474" s="26" t="s">
        <v>175</v>
      </c>
      <c r="AT474" s="26" t="s">
        <v>70</v>
      </c>
      <c r="AU474" s="26" t="s">
        <v>70</v>
      </c>
      <c r="AV474" s="26">
        <v>3</v>
      </c>
    </row>
    <row r="475" spans="1:92" ht="14" customHeight="1">
      <c r="A475" s="27">
        <v>474</v>
      </c>
      <c r="B475" s="27" t="s">
        <v>493</v>
      </c>
      <c r="C475" s="37">
        <v>1994</v>
      </c>
      <c r="D475" s="26" t="s">
        <v>199</v>
      </c>
      <c r="E475" s="26" t="s">
        <v>565</v>
      </c>
      <c r="F475" s="77" t="s">
        <v>175</v>
      </c>
      <c r="G475" s="2" t="s">
        <v>105</v>
      </c>
      <c r="H475" s="2" t="s">
        <v>24</v>
      </c>
      <c r="I475" s="2" t="s">
        <v>548</v>
      </c>
      <c r="J475" s="2" t="s">
        <v>604</v>
      </c>
      <c r="K475" s="2" t="s">
        <v>548</v>
      </c>
      <c r="L475" s="2" t="s">
        <v>548</v>
      </c>
      <c r="M475" s="2" t="s">
        <v>548</v>
      </c>
      <c r="N475" s="2" t="s">
        <v>210</v>
      </c>
      <c r="O475" s="2" t="s">
        <v>43</v>
      </c>
      <c r="P475" s="2" t="s">
        <v>210</v>
      </c>
      <c r="Q475" s="2" t="s">
        <v>42</v>
      </c>
      <c r="R475" s="79" t="s">
        <v>613</v>
      </c>
      <c r="S475" s="2">
        <f>1-AC475</f>
        <v>0.80645161290322576</v>
      </c>
      <c r="T475" s="26">
        <v>31</v>
      </c>
      <c r="U475" s="77">
        <v>1</v>
      </c>
      <c r="V475" s="26">
        <v>0</v>
      </c>
      <c r="W475" s="26">
        <v>0</v>
      </c>
      <c r="X475" s="26">
        <v>0</v>
      </c>
      <c r="Y475" s="26">
        <v>0</v>
      </c>
      <c r="Z475" s="26">
        <v>0</v>
      </c>
      <c r="AA475" s="26">
        <v>0</v>
      </c>
      <c r="AB475" s="26">
        <v>0</v>
      </c>
      <c r="AC475" s="26">
        <f>6/T475</f>
        <v>0.19354838709677419</v>
      </c>
      <c r="AD475" s="26">
        <f>11/T475</f>
        <v>0.35483870967741937</v>
      </c>
      <c r="AE475" s="26">
        <f>1-AF475-AD475-AC475</f>
        <v>0.35161290322580646</v>
      </c>
      <c r="AF475" s="26">
        <v>0.1</v>
      </c>
      <c r="AG475" s="26" t="s">
        <v>70</v>
      </c>
      <c r="AH475" s="26" t="s">
        <v>70</v>
      </c>
      <c r="AI475" s="26" t="s">
        <v>70</v>
      </c>
      <c r="AJ475" s="26" t="s">
        <v>70</v>
      </c>
      <c r="AK475" s="26" t="s">
        <v>70</v>
      </c>
      <c r="AL475" s="26" t="s">
        <v>70</v>
      </c>
      <c r="AM475" s="35" t="s">
        <v>175</v>
      </c>
      <c r="AN475" s="26" t="s">
        <v>274</v>
      </c>
      <c r="AO475" s="35" t="s">
        <v>548</v>
      </c>
      <c r="AP475" s="35" t="s">
        <v>548</v>
      </c>
      <c r="AQ475" s="35" t="s">
        <v>548</v>
      </c>
      <c r="AR475" s="35" t="s">
        <v>548</v>
      </c>
      <c r="AS475" s="26" t="s">
        <v>175</v>
      </c>
      <c r="AT475" s="26" t="s">
        <v>70</v>
      </c>
      <c r="AU475" s="26" t="s">
        <v>70</v>
      </c>
      <c r="AV475" s="26">
        <v>3</v>
      </c>
    </row>
    <row r="476" spans="1:92" ht="14" customHeight="1">
      <c r="A476" s="27">
        <v>475</v>
      </c>
      <c r="B476" s="27" t="s">
        <v>494</v>
      </c>
      <c r="C476" s="37">
        <v>2006</v>
      </c>
      <c r="D476" s="26" t="s">
        <v>69</v>
      </c>
      <c r="E476" s="26" t="s">
        <v>565</v>
      </c>
      <c r="F476" s="77" t="s">
        <v>175</v>
      </c>
      <c r="G476" s="2" t="s">
        <v>106</v>
      </c>
      <c r="H476" s="2" t="s">
        <v>24</v>
      </c>
      <c r="I476" s="2" t="s">
        <v>548</v>
      </c>
      <c r="J476" s="2" t="s">
        <v>604</v>
      </c>
      <c r="K476" s="2" t="s">
        <v>548</v>
      </c>
      <c r="L476" s="2" t="s">
        <v>548</v>
      </c>
      <c r="M476" s="2" t="s">
        <v>175</v>
      </c>
      <c r="N476" s="2" t="s">
        <v>70</v>
      </c>
      <c r="O476" s="2" t="s">
        <v>209</v>
      </c>
      <c r="P476" s="2" t="s">
        <v>612</v>
      </c>
      <c r="Q476" s="2" t="s">
        <v>42</v>
      </c>
      <c r="R476" s="79" t="s">
        <v>613</v>
      </c>
      <c r="S476" s="2">
        <v>0.82</v>
      </c>
      <c r="T476" s="26">
        <v>50</v>
      </c>
      <c r="U476" s="77">
        <v>1</v>
      </c>
      <c r="V476" s="26">
        <v>0</v>
      </c>
      <c r="W476" s="26">
        <v>1</v>
      </c>
      <c r="X476" s="26">
        <v>0</v>
      </c>
      <c r="Y476" s="26">
        <v>1</v>
      </c>
      <c r="Z476" s="26">
        <v>0</v>
      </c>
      <c r="AA476" s="26">
        <v>0</v>
      </c>
      <c r="AB476" s="26">
        <v>1</v>
      </c>
      <c r="AC476" s="26" t="s">
        <v>70</v>
      </c>
      <c r="AD476" s="26" t="s">
        <v>70</v>
      </c>
      <c r="AE476" s="26" t="s">
        <v>70</v>
      </c>
      <c r="AF476" s="26" t="s">
        <v>70</v>
      </c>
      <c r="AG476" s="26" t="s">
        <v>70</v>
      </c>
      <c r="AH476" s="26" t="s">
        <v>70</v>
      </c>
      <c r="AI476" s="26" t="s">
        <v>70</v>
      </c>
      <c r="AJ476" s="26" t="s">
        <v>70</v>
      </c>
      <c r="AK476" s="26" t="s">
        <v>70</v>
      </c>
      <c r="AL476" s="26" t="s">
        <v>70</v>
      </c>
      <c r="AM476" s="35" t="s">
        <v>175</v>
      </c>
      <c r="AN476" s="26" t="s">
        <v>274</v>
      </c>
      <c r="AO476" s="35" t="s">
        <v>548</v>
      </c>
      <c r="AP476" s="35" t="s">
        <v>175</v>
      </c>
      <c r="AQ476" s="35" t="s">
        <v>548</v>
      </c>
      <c r="AR476" s="35" t="s">
        <v>175</v>
      </c>
      <c r="AS476" s="26" t="s">
        <v>175</v>
      </c>
      <c r="AT476" s="26" t="s">
        <v>548</v>
      </c>
      <c r="AU476" s="40" t="s">
        <v>548</v>
      </c>
      <c r="AV476" s="26">
        <v>7</v>
      </c>
    </row>
    <row r="477" spans="1:92" ht="14" customHeight="1">
      <c r="A477" s="27">
        <v>476</v>
      </c>
      <c r="B477" s="27" t="s">
        <v>494</v>
      </c>
      <c r="C477" s="37">
        <v>2006</v>
      </c>
      <c r="D477" s="26" t="s">
        <v>69</v>
      </c>
      <c r="E477" s="26" t="s">
        <v>565</v>
      </c>
      <c r="F477" s="77" t="s">
        <v>175</v>
      </c>
      <c r="G477" s="2" t="s">
        <v>106</v>
      </c>
      <c r="H477" s="2" t="s">
        <v>275</v>
      </c>
      <c r="I477" s="2" t="s">
        <v>548</v>
      </c>
      <c r="J477" s="2" t="s">
        <v>604</v>
      </c>
      <c r="K477" s="2" t="s">
        <v>548</v>
      </c>
      <c r="L477" s="2" t="s">
        <v>548</v>
      </c>
      <c r="M477" s="2" t="s">
        <v>175</v>
      </c>
      <c r="N477" s="2" t="s">
        <v>62</v>
      </c>
      <c r="O477" s="2" t="s">
        <v>43</v>
      </c>
      <c r="P477" s="2" t="s">
        <v>62</v>
      </c>
      <c r="Q477" s="26" t="s">
        <v>606</v>
      </c>
      <c r="R477" s="102" t="s">
        <v>614</v>
      </c>
      <c r="S477" s="2">
        <v>0.14280000000000001</v>
      </c>
      <c r="T477" s="26">
        <v>28</v>
      </c>
      <c r="U477" s="77">
        <v>1</v>
      </c>
      <c r="V477" s="26">
        <v>0</v>
      </c>
      <c r="W477" s="26">
        <v>1</v>
      </c>
      <c r="X477" s="26">
        <v>1</v>
      </c>
      <c r="Y477" s="26">
        <v>1</v>
      </c>
      <c r="Z477" s="26">
        <v>0</v>
      </c>
      <c r="AA477" s="26">
        <v>0</v>
      </c>
      <c r="AB477" s="26">
        <v>0</v>
      </c>
      <c r="AC477" s="26" t="s">
        <v>70</v>
      </c>
      <c r="AD477" s="26" t="s">
        <v>70</v>
      </c>
      <c r="AE477" s="26" t="s">
        <v>70</v>
      </c>
      <c r="AF477" s="26" t="s">
        <v>70</v>
      </c>
      <c r="AG477" s="26" t="s">
        <v>70</v>
      </c>
      <c r="AH477" s="26" t="s">
        <v>70</v>
      </c>
      <c r="AI477" s="26" t="s">
        <v>70</v>
      </c>
      <c r="AJ477" s="26" t="s">
        <v>70</v>
      </c>
      <c r="AK477" s="26" t="s">
        <v>70</v>
      </c>
      <c r="AL477" s="26" t="s">
        <v>70</v>
      </c>
      <c r="AM477" s="35" t="s">
        <v>175</v>
      </c>
      <c r="AN477" s="26" t="s">
        <v>274</v>
      </c>
      <c r="AO477" s="35" t="s">
        <v>548</v>
      </c>
      <c r="AP477" s="35" t="s">
        <v>548</v>
      </c>
      <c r="AQ477" s="35" t="s">
        <v>548</v>
      </c>
      <c r="AR477" s="35" t="s">
        <v>548</v>
      </c>
      <c r="AS477" s="26" t="s">
        <v>175</v>
      </c>
      <c r="AT477" s="26" t="s">
        <v>70</v>
      </c>
      <c r="AU477" s="26" t="s">
        <v>70</v>
      </c>
      <c r="AV477" s="26">
        <v>7</v>
      </c>
    </row>
    <row r="478" spans="1:92" s="40" customFormat="1" ht="14" customHeight="1">
      <c r="A478" s="27">
        <v>477</v>
      </c>
      <c r="B478" s="27" t="s">
        <v>495</v>
      </c>
      <c r="C478" s="27">
        <v>2010</v>
      </c>
      <c r="D478" s="26" t="s">
        <v>69</v>
      </c>
      <c r="E478" s="26" t="s">
        <v>565</v>
      </c>
      <c r="F478" s="77" t="s">
        <v>175</v>
      </c>
      <c r="G478" s="2" t="s">
        <v>106</v>
      </c>
      <c r="H478" s="2" t="s">
        <v>30</v>
      </c>
      <c r="I478" s="2" t="s">
        <v>548</v>
      </c>
      <c r="J478" s="2" t="s">
        <v>603</v>
      </c>
      <c r="K478" s="2" t="s">
        <v>548</v>
      </c>
      <c r="L478" s="2" t="s">
        <v>548</v>
      </c>
      <c r="M478" s="2" t="s">
        <v>175</v>
      </c>
      <c r="N478" s="2" t="s">
        <v>48</v>
      </c>
      <c r="O478" s="2" t="s">
        <v>209</v>
      </c>
      <c r="P478" s="2" t="s">
        <v>48</v>
      </c>
      <c r="Q478" s="2" t="s">
        <v>42</v>
      </c>
      <c r="R478" s="79" t="s">
        <v>613</v>
      </c>
      <c r="S478" s="90">
        <f>10%</f>
        <v>0.1</v>
      </c>
      <c r="T478" s="26">
        <v>120</v>
      </c>
      <c r="U478" s="77">
        <v>1</v>
      </c>
      <c r="V478" s="26">
        <v>0</v>
      </c>
      <c r="W478" s="26">
        <v>1</v>
      </c>
      <c r="X478" s="26">
        <v>1</v>
      </c>
      <c r="Y478" s="26">
        <v>1</v>
      </c>
      <c r="Z478" s="26">
        <v>1</v>
      </c>
      <c r="AA478" s="26">
        <v>0</v>
      </c>
      <c r="AB478" s="26">
        <v>0</v>
      </c>
      <c r="AC478" s="33" t="s">
        <v>70</v>
      </c>
      <c r="AD478" s="33" t="s">
        <v>70</v>
      </c>
      <c r="AE478" s="33" t="s">
        <v>70</v>
      </c>
      <c r="AF478" s="33" t="s">
        <v>70</v>
      </c>
      <c r="AG478" s="33" t="s">
        <v>70</v>
      </c>
      <c r="AH478" s="33" t="s">
        <v>70</v>
      </c>
      <c r="AI478" s="33" t="s">
        <v>70</v>
      </c>
      <c r="AJ478" s="33" t="s">
        <v>70</v>
      </c>
      <c r="AK478" s="33" t="s">
        <v>70</v>
      </c>
      <c r="AL478" s="33" t="s">
        <v>70</v>
      </c>
      <c r="AM478" s="35" t="s">
        <v>175</v>
      </c>
      <c r="AN478" s="32" t="s">
        <v>9</v>
      </c>
      <c r="AO478" s="35" t="s">
        <v>175</v>
      </c>
      <c r="AP478" s="26" t="s">
        <v>548</v>
      </c>
      <c r="AQ478" s="26" t="s">
        <v>548</v>
      </c>
      <c r="AR478" s="26" t="s">
        <v>548</v>
      </c>
      <c r="AS478" s="26" t="s">
        <v>548</v>
      </c>
      <c r="AT478" s="26" t="s">
        <v>70</v>
      </c>
      <c r="AU478" s="26" t="s">
        <v>70</v>
      </c>
      <c r="AV478" s="26">
        <v>7</v>
      </c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</row>
    <row r="479" spans="1:92" s="40" customFormat="1" ht="14" customHeight="1">
      <c r="A479" s="27">
        <v>478</v>
      </c>
      <c r="B479" s="27" t="s">
        <v>496</v>
      </c>
      <c r="C479" s="27">
        <v>2012</v>
      </c>
      <c r="D479" s="26" t="s">
        <v>38</v>
      </c>
      <c r="E479" s="26" t="s">
        <v>566</v>
      </c>
      <c r="F479" s="77" t="s">
        <v>175</v>
      </c>
      <c r="G479" s="2" t="s">
        <v>105</v>
      </c>
      <c r="H479" s="2" t="s">
        <v>30</v>
      </c>
      <c r="I479" s="2" t="s">
        <v>548</v>
      </c>
      <c r="J479" s="2" t="s">
        <v>604</v>
      </c>
      <c r="K479" s="2" t="s">
        <v>548</v>
      </c>
      <c r="L479" s="2" t="s">
        <v>548</v>
      </c>
      <c r="M479" s="2" t="s">
        <v>548</v>
      </c>
      <c r="N479" s="2" t="s">
        <v>62</v>
      </c>
      <c r="O479" s="2" t="s">
        <v>43</v>
      </c>
      <c r="P479" s="2" t="s">
        <v>62</v>
      </c>
      <c r="Q479" s="26" t="s">
        <v>606</v>
      </c>
      <c r="R479" s="102" t="s">
        <v>614</v>
      </c>
      <c r="S479" s="2" t="s">
        <v>70</v>
      </c>
      <c r="T479" s="26">
        <v>15</v>
      </c>
      <c r="U479" s="77">
        <v>1</v>
      </c>
      <c r="V479" s="26">
        <v>0</v>
      </c>
      <c r="W479" s="26">
        <v>0</v>
      </c>
      <c r="X479" s="26">
        <v>1</v>
      </c>
      <c r="Y479" s="26">
        <v>0</v>
      </c>
      <c r="Z479" s="26">
        <v>0</v>
      </c>
      <c r="AA479" s="26">
        <v>0</v>
      </c>
      <c r="AB479" s="26">
        <v>0</v>
      </c>
      <c r="AC479" s="26" t="s">
        <v>70</v>
      </c>
      <c r="AD479" s="26" t="s">
        <v>70</v>
      </c>
      <c r="AE479" s="26" t="s">
        <v>70</v>
      </c>
      <c r="AF479" s="26" t="s">
        <v>70</v>
      </c>
      <c r="AG479" s="33">
        <v>5.7</v>
      </c>
      <c r="AH479" s="33" t="s">
        <v>70</v>
      </c>
      <c r="AI479" s="33" t="s">
        <v>70</v>
      </c>
      <c r="AJ479" s="26" t="s">
        <v>227</v>
      </c>
      <c r="AK479" s="33" t="s">
        <v>226</v>
      </c>
      <c r="AL479" s="33" t="s">
        <v>70</v>
      </c>
      <c r="AM479" s="35" t="s">
        <v>175</v>
      </c>
      <c r="AN479" s="26" t="s">
        <v>274</v>
      </c>
      <c r="AO479" s="35" t="s">
        <v>548</v>
      </c>
      <c r="AP479" s="35" t="s">
        <v>548</v>
      </c>
      <c r="AQ479" s="35" t="s">
        <v>548</v>
      </c>
      <c r="AR479" s="35" t="s">
        <v>548</v>
      </c>
      <c r="AS479" s="26" t="s">
        <v>175</v>
      </c>
      <c r="AT479" s="26" t="s">
        <v>70</v>
      </c>
      <c r="AU479" s="26" t="s">
        <v>70</v>
      </c>
      <c r="AV479" s="26">
        <v>4</v>
      </c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</row>
    <row r="480" spans="1:92" ht="14" customHeight="1">
      <c r="A480" s="27">
        <v>479</v>
      </c>
      <c r="B480" s="27" t="s">
        <v>496</v>
      </c>
      <c r="C480" s="27">
        <v>2012</v>
      </c>
      <c r="D480" s="26" t="s">
        <v>38</v>
      </c>
      <c r="E480" s="26" t="s">
        <v>566</v>
      </c>
      <c r="F480" s="77" t="s">
        <v>175</v>
      </c>
      <c r="G480" s="2" t="s">
        <v>105</v>
      </c>
      <c r="H480" s="2" t="s">
        <v>30</v>
      </c>
      <c r="I480" s="2" t="s">
        <v>548</v>
      </c>
      <c r="J480" s="2" t="s">
        <v>604</v>
      </c>
      <c r="K480" s="2" t="s">
        <v>548</v>
      </c>
      <c r="L480" s="2" t="s">
        <v>548</v>
      </c>
      <c r="M480" s="2" t="s">
        <v>548</v>
      </c>
      <c r="N480" s="2" t="s">
        <v>62</v>
      </c>
      <c r="O480" s="2" t="s">
        <v>43</v>
      </c>
      <c r="P480" s="2" t="s">
        <v>621</v>
      </c>
      <c r="Q480" s="2" t="s">
        <v>42</v>
      </c>
      <c r="R480" s="102" t="s">
        <v>614</v>
      </c>
      <c r="S480" s="2" t="s">
        <v>70</v>
      </c>
      <c r="T480" s="26">
        <v>15</v>
      </c>
      <c r="U480" s="77">
        <v>1</v>
      </c>
      <c r="V480" s="26">
        <v>0</v>
      </c>
      <c r="W480" s="26">
        <v>0</v>
      </c>
      <c r="X480" s="26">
        <v>1</v>
      </c>
      <c r="Y480" s="26">
        <v>0</v>
      </c>
      <c r="Z480" s="26">
        <v>0</v>
      </c>
      <c r="AA480" s="26">
        <v>0</v>
      </c>
      <c r="AB480" s="26">
        <v>0</v>
      </c>
      <c r="AC480" s="26" t="s">
        <v>70</v>
      </c>
      <c r="AD480" s="26" t="s">
        <v>70</v>
      </c>
      <c r="AE480" s="26" t="s">
        <v>70</v>
      </c>
      <c r="AF480" s="26" t="s">
        <v>70</v>
      </c>
      <c r="AG480" s="33">
        <v>50.5</v>
      </c>
      <c r="AH480" s="33" t="s">
        <v>70</v>
      </c>
      <c r="AI480" s="33" t="s">
        <v>70</v>
      </c>
      <c r="AJ480" s="26" t="s">
        <v>203</v>
      </c>
      <c r="AK480" s="33" t="s">
        <v>225</v>
      </c>
      <c r="AL480" s="33" t="s">
        <v>70</v>
      </c>
      <c r="AM480" s="35" t="s">
        <v>175</v>
      </c>
      <c r="AN480" s="26" t="s">
        <v>274</v>
      </c>
      <c r="AO480" s="35" t="s">
        <v>548</v>
      </c>
      <c r="AP480" s="35" t="s">
        <v>548</v>
      </c>
      <c r="AQ480" s="35" t="s">
        <v>548</v>
      </c>
      <c r="AR480" s="35" t="s">
        <v>548</v>
      </c>
      <c r="AS480" s="26" t="s">
        <v>175</v>
      </c>
      <c r="AT480" s="26" t="s">
        <v>70</v>
      </c>
      <c r="AU480" s="26" t="s">
        <v>70</v>
      </c>
      <c r="AV480" s="26">
        <v>4</v>
      </c>
    </row>
    <row r="481" spans="1:92" ht="14" customHeight="1">
      <c r="A481" s="27">
        <v>480</v>
      </c>
      <c r="B481" s="27" t="s">
        <v>496</v>
      </c>
      <c r="C481" s="27">
        <v>2012</v>
      </c>
      <c r="D481" s="26" t="s">
        <v>38</v>
      </c>
      <c r="E481" s="26" t="s">
        <v>566</v>
      </c>
      <c r="F481" s="77" t="s">
        <v>175</v>
      </c>
      <c r="G481" s="2" t="s">
        <v>105</v>
      </c>
      <c r="H481" s="2" t="s">
        <v>30</v>
      </c>
      <c r="I481" s="2" t="s">
        <v>548</v>
      </c>
      <c r="J481" s="2" t="s">
        <v>604</v>
      </c>
      <c r="K481" s="2" t="s">
        <v>548</v>
      </c>
      <c r="L481" s="2" t="s">
        <v>548</v>
      </c>
      <c r="M481" s="2" t="s">
        <v>548</v>
      </c>
      <c r="N481" s="2" t="s">
        <v>70</v>
      </c>
      <c r="O481" s="2" t="s">
        <v>209</v>
      </c>
      <c r="P481" s="2" t="s">
        <v>61</v>
      </c>
      <c r="Q481" s="2" t="s">
        <v>42</v>
      </c>
      <c r="R481" s="102" t="s">
        <v>614</v>
      </c>
      <c r="S481" s="2" t="s">
        <v>70</v>
      </c>
      <c r="T481" s="26">
        <v>10</v>
      </c>
      <c r="U481" s="77">
        <v>1</v>
      </c>
      <c r="V481" s="26">
        <v>0</v>
      </c>
      <c r="W481" s="26">
        <v>0</v>
      </c>
      <c r="X481" s="26">
        <v>1</v>
      </c>
      <c r="Y481" s="26">
        <v>0</v>
      </c>
      <c r="Z481" s="26">
        <v>0</v>
      </c>
      <c r="AA481" s="26">
        <v>0</v>
      </c>
      <c r="AB481" s="26">
        <v>0</v>
      </c>
      <c r="AC481" s="26" t="s">
        <v>70</v>
      </c>
      <c r="AD481" s="26" t="s">
        <v>70</v>
      </c>
      <c r="AE481" s="26" t="s">
        <v>70</v>
      </c>
      <c r="AF481" s="26" t="s">
        <v>70</v>
      </c>
      <c r="AG481" s="33" t="s">
        <v>70</v>
      </c>
      <c r="AH481" s="33" t="s">
        <v>70</v>
      </c>
      <c r="AI481" s="33" t="s">
        <v>70</v>
      </c>
      <c r="AJ481" s="26" t="s">
        <v>70</v>
      </c>
      <c r="AK481" s="33" t="s">
        <v>70</v>
      </c>
      <c r="AL481" s="33" t="s">
        <v>70</v>
      </c>
      <c r="AM481" s="35" t="s">
        <v>175</v>
      </c>
      <c r="AN481" s="26" t="s">
        <v>274</v>
      </c>
      <c r="AO481" s="35" t="s">
        <v>548</v>
      </c>
      <c r="AP481" s="35" t="s">
        <v>548</v>
      </c>
      <c r="AQ481" s="35" t="s">
        <v>548</v>
      </c>
      <c r="AR481" s="35" t="s">
        <v>548</v>
      </c>
      <c r="AS481" s="26" t="s">
        <v>175</v>
      </c>
      <c r="AT481" s="26" t="s">
        <v>70</v>
      </c>
      <c r="AU481" s="26" t="s">
        <v>70</v>
      </c>
      <c r="AV481" s="26">
        <v>4</v>
      </c>
    </row>
    <row r="482" spans="1:92" ht="14" customHeight="1">
      <c r="A482" s="27">
        <v>481</v>
      </c>
      <c r="B482" s="27" t="s">
        <v>497</v>
      </c>
      <c r="C482" s="27">
        <v>2002</v>
      </c>
      <c r="D482" s="26" t="s">
        <v>246</v>
      </c>
      <c r="E482" s="26" t="s">
        <v>566</v>
      </c>
      <c r="F482" s="77" t="s">
        <v>175</v>
      </c>
      <c r="G482" s="2" t="s">
        <v>105</v>
      </c>
      <c r="H482" s="2" t="s">
        <v>24</v>
      </c>
      <c r="I482" s="2" t="s">
        <v>548</v>
      </c>
      <c r="J482" s="2" t="s">
        <v>604</v>
      </c>
      <c r="K482" s="2" t="s">
        <v>548</v>
      </c>
      <c r="L482" s="2" t="s">
        <v>548</v>
      </c>
      <c r="M482" s="2" t="s">
        <v>548</v>
      </c>
      <c r="N482" s="2" t="s">
        <v>70</v>
      </c>
      <c r="O482" s="2" t="s">
        <v>209</v>
      </c>
      <c r="P482" s="2" t="s">
        <v>612</v>
      </c>
      <c r="Q482" s="2" t="s">
        <v>42</v>
      </c>
      <c r="R482" s="79" t="s">
        <v>613</v>
      </c>
      <c r="S482" s="2">
        <v>0.5</v>
      </c>
      <c r="T482" s="26">
        <v>598</v>
      </c>
      <c r="U482" s="77">
        <v>1</v>
      </c>
      <c r="V482" s="26">
        <v>1</v>
      </c>
      <c r="W482" s="26">
        <v>0</v>
      </c>
      <c r="X482" s="26">
        <v>0</v>
      </c>
      <c r="Y482" s="26">
        <v>0</v>
      </c>
      <c r="Z482" s="26">
        <v>1</v>
      </c>
      <c r="AA482" s="26">
        <v>1</v>
      </c>
      <c r="AB482" s="26">
        <v>0</v>
      </c>
      <c r="AC482" s="26" t="s">
        <v>70</v>
      </c>
      <c r="AD482" s="26" t="s">
        <v>70</v>
      </c>
      <c r="AE482" s="26" t="s">
        <v>70</v>
      </c>
      <c r="AF482" s="26" t="s">
        <v>70</v>
      </c>
      <c r="AG482" s="58" t="s">
        <v>70</v>
      </c>
      <c r="AH482" s="58" t="s">
        <v>70</v>
      </c>
      <c r="AI482" s="58" t="s">
        <v>70</v>
      </c>
      <c r="AJ482" s="58" t="s">
        <v>70</v>
      </c>
      <c r="AK482" s="58" t="s">
        <v>70</v>
      </c>
      <c r="AL482" s="58" t="s">
        <v>70</v>
      </c>
      <c r="AM482" s="35" t="s">
        <v>548</v>
      </c>
      <c r="AN482" s="32" t="s">
        <v>274</v>
      </c>
      <c r="AO482" s="35" t="s">
        <v>548</v>
      </c>
      <c r="AP482" s="35" t="s">
        <v>548</v>
      </c>
      <c r="AQ482" s="35" t="s">
        <v>548</v>
      </c>
      <c r="AR482" s="35" t="s">
        <v>548</v>
      </c>
      <c r="AS482" s="26" t="s">
        <v>548</v>
      </c>
      <c r="AT482" s="26" t="s">
        <v>70</v>
      </c>
      <c r="AU482" s="26" t="s">
        <v>70</v>
      </c>
      <c r="AV482" s="26">
        <v>4</v>
      </c>
    </row>
    <row r="483" spans="1:92" ht="14" customHeight="1">
      <c r="A483" s="27">
        <v>482</v>
      </c>
      <c r="B483" s="27" t="s">
        <v>497</v>
      </c>
      <c r="C483" s="27">
        <v>2002</v>
      </c>
      <c r="D483" s="26" t="s">
        <v>246</v>
      </c>
      <c r="E483" s="26" t="s">
        <v>566</v>
      </c>
      <c r="F483" s="77" t="s">
        <v>175</v>
      </c>
      <c r="G483" s="2" t="s">
        <v>105</v>
      </c>
      <c r="H483" s="2" t="s">
        <v>24</v>
      </c>
      <c r="I483" s="2" t="s">
        <v>548</v>
      </c>
      <c r="J483" s="2" t="s">
        <v>604</v>
      </c>
      <c r="K483" s="2" t="s">
        <v>548</v>
      </c>
      <c r="L483" s="2" t="s">
        <v>548</v>
      </c>
      <c r="M483" s="2" t="s">
        <v>548</v>
      </c>
      <c r="N483" s="2" t="s">
        <v>51</v>
      </c>
      <c r="O483" s="2" t="s">
        <v>43</v>
      </c>
      <c r="P483" s="2" t="s">
        <v>51</v>
      </c>
      <c r="Q483" s="2" t="s">
        <v>42</v>
      </c>
      <c r="R483" s="79" t="s">
        <v>613</v>
      </c>
      <c r="S483" s="2">
        <f>1-0.63</f>
        <v>0.37</v>
      </c>
      <c r="T483" s="26">
        <v>1970</v>
      </c>
      <c r="U483" s="77">
        <v>1</v>
      </c>
      <c r="V483" s="26">
        <v>1</v>
      </c>
      <c r="W483" s="26">
        <v>0</v>
      </c>
      <c r="X483" s="26">
        <v>0</v>
      </c>
      <c r="Y483" s="26">
        <v>0</v>
      </c>
      <c r="Z483" s="26">
        <v>1</v>
      </c>
      <c r="AA483" s="26">
        <v>1</v>
      </c>
      <c r="AB483" s="26">
        <v>0</v>
      </c>
      <c r="AC483" s="26" t="s">
        <v>70</v>
      </c>
      <c r="AD483" s="26" t="s">
        <v>70</v>
      </c>
      <c r="AE483" s="26" t="s">
        <v>70</v>
      </c>
      <c r="AF483" s="26" t="s">
        <v>70</v>
      </c>
      <c r="AG483" s="33" t="s">
        <v>70</v>
      </c>
      <c r="AH483" s="33" t="s">
        <v>70</v>
      </c>
      <c r="AI483" s="33" t="s">
        <v>70</v>
      </c>
      <c r="AJ483" s="33" t="s">
        <v>70</v>
      </c>
      <c r="AK483" s="33" t="s">
        <v>70</v>
      </c>
      <c r="AL483" s="33" t="s">
        <v>70</v>
      </c>
      <c r="AM483" s="35" t="s">
        <v>548</v>
      </c>
      <c r="AN483" s="26" t="s">
        <v>274</v>
      </c>
      <c r="AO483" s="35" t="s">
        <v>548</v>
      </c>
      <c r="AP483" s="35" t="s">
        <v>548</v>
      </c>
      <c r="AQ483" s="35" t="s">
        <v>548</v>
      </c>
      <c r="AR483" s="35" t="s">
        <v>548</v>
      </c>
      <c r="AS483" s="26" t="s">
        <v>548</v>
      </c>
      <c r="AT483" s="26" t="s">
        <v>70</v>
      </c>
      <c r="AU483" s="26" t="s">
        <v>70</v>
      </c>
      <c r="AV483" s="40">
        <v>4</v>
      </c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</row>
    <row r="484" spans="1:92" ht="14" customHeight="1">
      <c r="A484" s="27">
        <v>483</v>
      </c>
      <c r="B484" s="27" t="s">
        <v>497</v>
      </c>
      <c r="C484" s="27">
        <v>2002</v>
      </c>
      <c r="D484" s="26" t="s">
        <v>246</v>
      </c>
      <c r="E484" s="26" t="s">
        <v>566</v>
      </c>
      <c r="F484" s="77" t="s">
        <v>175</v>
      </c>
      <c r="G484" s="2" t="s">
        <v>105</v>
      </c>
      <c r="H484" s="2" t="s">
        <v>24</v>
      </c>
      <c r="I484" s="2" t="s">
        <v>548</v>
      </c>
      <c r="J484" s="2" t="s">
        <v>604</v>
      </c>
      <c r="K484" s="2" t="s">
        <v>548</v>
      </c>
      <c r="L484" s="2" t="s">
        <v>548</v>
      </c>
      <c r="M484" s="2" t="s">
        <v>548</v>
      </c>
      <c r="N484" s="2" t="s">
        <v>609</v>
      </c>
      <c r="O484" s="2" t="s">
        <v>60</v>
      </c>
      <c r="P484" s="2" t="s">
        <v>609</v>
      </c>
      <c r="Q484" s="2" t="s">
        <v>42</v>
      </c>
      <c r="R484" s="79" t="s">
        <v>613</v>
      </c>
      <c r="S484" s="2">
        <v>0.87</v>
      </c>
      <c r="T484" s="26">
        <v>338</v>
      </c>
      <c r="U484" s="77">
        <v>1</v>
      </c>
      <c r="V484" s="26">
        <v>1</v>
      </c>
      <c r="W484" s="26">
        <v>0</v>
      </c>
      <c r="X484" s="26">
        <v>0</v>
      </c>
      <c r="Y484" s="26">
        <v>0</v>
      </c>
      <c r="Z484" s="26">
        <v>1</v>
      </c>
      <c r="AA484" s="26">
        <v>1</v>
      </c>
      <c r="AB484" s="26">
        <v>0</v>
      </c>
      <c r="AC484" s="26" t="s">
        <v>70</v>
      </c>
      <c r="AD484" s="26" t="s">
        <v>70</v>
      </c>
      <c r="AE484" s="26" t="s">
        <v>70</v>
      </c>
      <c r="AF484" s="26" t="s">
        <v>70</v>
      </c>
      <c r="AG484" s="33" t="s">
        <v>70</v>
      </c>
      <c r="AH484" s="33" t="s">
        <v>70</v>
      </c>
      <c r="AI484" s="33" t="s">
        <v>70</v>
      </c>
      <c r="AJ484" s="33" t="s">
        <v>70</v>
      </c>
      <c r="AK484" s="33" t="s">
        <v>70</v>
      </c>
      <c r="AL484" s="33" t="s">
        <v>70</v>
      </c>
      <c r="AM484" s="35" t="s">
        <v>548</v>
      </c>
      <c r="AN484" s="26" t="s">
        <v>274</v>
      </c>
      <c r="AO484" s="35" t="s">
        <v>548</v>
      </c>
      <c r="AP484" s="35" t="s">
        <v>548</v>
      </c>
      <c r="AQ484" s="35" t="s">
        <v>548</v>
      </c>
      <c r="AR484" s="35" t="s">
        <v>548</v>
      </c>
      <c r="AS484" s="26" t="s">
        <v>548</v>
      </c>
      <c r="AT484" s="26" t="s">
        <v>70</v>
      </c>
      <c r="AU484" s="26" t="s">
        <v>70</v>
      </c>
      <c r="AV484" s="40">
        <v>4</v>
      </c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</row>
    <row r="485" spans="1:92" ht="14" customHeight="1">
      <c r="A485" s="27">
        <v>484</v>
      </c>
      <c r="B485" s="27" t="s">
        <v>497</v>
      </c>
      <c r="C485" s="40">
        <v>2012</v>
      </c>
      <c r="D485" s="26" t="s">
        <v>10</v>
      </c>
      <c r="E485" s="26" t="s">
        <v>563</v>
      </c>
      <c r="F485" s="2" t="s">
        <v>175</v>
      </c>
      <c r="G485" s="2" t="s">
        <v>105</v>
      </c>
      <c r="H485" s="2" t="s">
        <v>24</v>
      </c>
      <c r="I485" s="2" t="s">
        <v>548</v>
      </c>
      <c r="J485" s="2" t="s">
        <v>604</v>
      </c>
      <c r="K485" s="2" t="s">
        <v>548</v>
      </c>
      <c r="L485" s="2" t="s">
        <v>548</v>
      </c>
      <c r="M485" s="2" t="s">
        <v>175</v>
      </c>
      <c r="N485" s="2" t="s">
        <v>210</v>
      </c>
      <c r="O485" s="2" t="s">
        <v>43</v>
      </c>
      <c r="P485" s="2" t="s">
        <v>210</v>
      </c>
      <c r="Q485" s="2" t="s">
        <v>42</v>
      </c>
      <c r="R485" s="79" t="s">
        <v>613</v>
      </c>
      <c r="S485" s="88">
        <v>0.41</v>
      </c>
      <c r="T485" s="61">
        <v>37</v>
      </c>
      <c r="U485" s="2">
        <v>1</v>
      </c>
      <c r="V485" s="26">
        <v>0</v>
      </c>
      <c r="W485" s="26">
        <v>0</v>
      </c>
      <c r="X485" s="26">
        <v>0</v>
      </c>
      <c r="Y485" s="26">
        <v>0</v>
      </c>
      <c r="Z485" s="26">
        <v>0</v>
      </c>
      <c r="AA485" s="26">
        <v>1</v>
      </c>
      <c r="AB485" s="26">
        <v>1</v>
      </c>
      <c r="AC485" s="26" t="s">
        <v>70</v>
      </c>
      <c r="AD485" s="26" t="s">
        <v>70</v>
      </c>
      <c r="AE485" s="26" t="s">
        <v>70</v>
      </c>
      <c r="AF485" s="26" t="s">
        <v>70</v>
      </c>
      <c r="AG485" s="33" t="s">
        <v>70</v>
      </c>
      <c r="AH485" s="26" t="s">
        <v>70</v>
      </c>
      <c r="AI485" s="26" t="s">
        <v>70</v>
      </c>
      <c r="AJ485" s="26" t="s">
        <v>70</v>
      </c>
      <c r="AK485" s="26" t="s">
        <v>70</v>
      </c>
      <c r="AL485" s="26" t="s">
        <v>70</v>
      </c>
      <c r="AM485" s="61" t="s">
        <v>175</v>
      </c>
      <c r="AN485" s="32" t="s">
        <v>9</v>
      </c>
      <c r="AO485" s="26" t="s">
        <v>548</v>
      </c>
      <c r="AP485" s="26" t="s">
        <v>175</v>
      </c>
      <c r="AQ485" s="26" t="s">
        <v>548</v>
      </c>
      <c r="AR485" s="26" t="s">
        <v>548</v>
      </c>
      <c r="AS485" s="26" t="s">
        <v>548</v>
      </c>
      <c r="AT485" s="26" t="s">
        <v>175</v>
      </c>
      <c r="AU485" s="40" t="s">
        <v>548</v>
      </c>
      <c r="AV485" s="26">
        <v>5</v>
      </c>
    </row>
    <row r="486" spans="1:92" ht="14" customHeight="1">
      <c r="A486" s="27">
        <v>485</v>
      </c>
      <c r="B486" s="27" t="s">
        <v>497</v>
      </c>
      <c r="C486" s="40">
        <v>2012</v>
      </c>
      <c r="D486" s="26" t="s">
        <v>10</v>
      </c>
      <c r="E486" s="26" t="s">
        <v>563</v>
      </c>
      <c r="F486" s="2" t="s">
        <v>175</v>
      </c>
      <c r="G486" s="2" t="s">
        <v>105</v>
      </c>
      <c r="H486" s="2" t="s">
        <v>24</v>
      </c>
      <c r="I486" s="2" t="s">
        <v>548</v>
      </c>
      <c r="J486" s="2" t="s">
        <v>604</v>
      </c>
      <c r="K486" s="2" t="s">
        <v>548</v>
      </c>
      <c r="L486" s="2" t="s">
        <v>548</v>
      </c>
      <c r="M486" s="2" t="s">
        <v>175</v>
      </c>
      <c r="N486" s="80" t="s">
        <v>70</v>
      </c>
      <c r="O486" s="2" t="s">
        <v>209</v>
      </c>
      <c r="P486" s="2" t="s">
        <v>612</v>
      </c>
      <c r="Q486" s="2" t="s">
        <v>42</v>
      </c>
      <c r="R486" s="79" t="s">
        <v>613</v>
      </c>
      <c r="S486" s="88">
        <v>0.74596938775510213</v>
      </c>
      <c r="T486" s="61">
        <v>196</v>
      </c>
      <c r="U486" s="2">
        <v>1</v>
      </c>
      <c r="V486" s="26">
        <v>0</v>
      </c>
      <c r="W486" s="26">
        <v>0</v>
      </c>
      <c r="X486" s="26">
        <v>0</v>
      </c>
      <c r="Y486" s="26">
        <v>0</v>
      </c>
      <c r="Z486" s="26">
        <v>0</v>
      </c>
      <c r="AA486" s="26">
        <v>1</v>
      </c>
      <c r="AB486" s="26">
        <v>1</v>
      </c>
      <c r="AC486" s="26" t="s">
        <v>70</v>
      </c>
      <c r="AD486" s="26" t="s">
        <v>70</v>
      </c>
      <c r="AE486" s="26" t="s">
        <v>70</v>
      </c>
      <c r="AF486" s="26" t="s">
        <v>70</v>
      </c>
      <c r="AG486" s="33" t="s">
        <v>70</v>
      </c>
      <c r="AH486" s="26" t="s">
        <v>70</v>
      </c>
      <c r="AI486" s="26" t="s">
        <v>70</v>
      </c>
      <c r="AJ486" s="26" t="s">
        <v>70</v>
      </c>
      <c r="AK486" s="26" t="s">
        <v>70</v>
      </c>
      <c r="AL486" s="26" t="s">
        <v>70</v>
      </c>
      <c r="AM486" s="61" t="s">
        <v>175</v>
      </c>
      <c r="AN486" s="32" t="s">
        <v>9</v>
      </c>
      <c r="AO486" s="26" t="s">
        <v>548</v>
      </c>
      <c r="AP486" s="26" t="s">
        <v>175</v>
      </c>
      <c r="AQ486" s="26" t="s">
        <v>548</v>
      </c>
      <c r="AR486" s="26" t="s">
        <v>548</v>
      </c>
      <c r="AS486" s="26" t="s">
        <v>548</v>
      </c>
      <c r="AT486" s="26" t="s">
        <v>175</v>
      </c>
      <c r="AU486" s="40" t="s">
        <v>548</v>
      </c>
      <c r="AV486" s="26">
        <v>5</v>
      </c>
    </row>
    <row r="487" spans="1:92" ht="14" customHeight="1">
      <c r="A487" s="27">
        <v>486</v>
      </c>
      <c r="B487" s="27" t="s">
        <v>497</v>
      </c>
      <c r="C487" s="40">
        <v>2012</v>
      </c>
      <c r="D487" s="26" t="s">
        <v>10</v>
      </c>
      <c r="E487" s="26" t="s">
        <v>563</v>
      </c>
      <c r="F487" s="2" t="s">
        <v>175</v>
      </c>
      <c r="G487" s="2" t="s">
        <v>105</v>
      </c>
      <c r="H487" s="2" t="s">
        <v>24</v>
      </c>
      <c r="I487" s="2" t="s">
        <v>548</v>
      </c>
      <c r="J487" s="2" t="s">
        <v>604</v>
      </c>
      <c r="K487" s="2" t="s">
        <v>548</v>
      </c>
      <c r="L487" s="2" t="s">
        <v>548</v>
      </c>
      <c r="M487" s="2" t="s">
        <v>175</v>
      </c>
      <c r="N487" s="2" t="s">
        <v>51</v>
      </c>
      <c r="O487" s="2" t="s">
        <v>43</v>
      </c>
      <c r="P487" s="2" t="s">
        <v>51</v>
      </c>
      <c r="Q487" s="2" t="s">
        <v>42</v>
      </c>
      <c r="R487" s="79" t="s">
        <v>613</v>
      </c>
      <c r="S487" s="88">
        <v>0.62</v>
      </c>
      <c r="T487" s="61">
        <v>25</v>
      </c>
      <c r="U487" s="2">
        <v>1</v>
      </c>
      <c r="V487" s="26">
        <v>0</v>
      </c>
      <c r="W487" s="26">
        <v>0</v>
      </c>
      <c r="X487" s="26">
        <v>0</v>
      </c>
      <c r="Y487" s="26">
        <v>0</v>
      </c>
      <c r="Z487" s="26">
        <v>0</v>
      </c>
      <c r="AA487" s="26">
        <v>1</v>
      </c>
      <c r="AB487" s="26">
        <v>1</v>
      </c>
      <c r="AC487" s="26" t="s">
        <v>70</v>
      </c>
      <c r="AD487" s="26" t="s">
        <v>70</v>
      </c>
      <c r="AE487" s="26" t="s">
        <v>70</v>
      </c>
      <c r="AF487" s="26" t="s">
        <v>70</v>
      </c>
      <c r="AG487" s="33" t="s">
        <v>70</v>
      </c>
      <c r="AH487" s="26" t="s">
        <v>70</v>
      </c>
      <c r="AI487" s="26" t="s">
        <v>70</v>
      </c>
      <c r="AJ487" s="26" t="s">
        <v>70</v>
      </c>
      <c r="AK487" s="26" t="s">
        <v>70</v>
      </c>
      <c r="AL487" s="26" t="s">
        <v>70</v>
      </c>
      <c r="AM487" s="61" t="s">
        <v>175</v>
      </c>
      <c r="AN487" s="32" t="s">
        <v>9</v>
      </c>
      <c r="AO487" s="26" t="s">
        <v>548</v>
      </c>
      <c r="AP487" s="26" t="s">
        <v>175</v>
      </c>
      <c r="AQ487" s="26" t="s">
        <v>548</v>
      </c>
      <c r="AR487" s="26" t="s">
        <v>548</v>
      </c>
      <c r="AS487" s="26" t="s">
        <v>548</v>
      </c>
      <c r="AT487" s="26" t="s">
        <v>175</v>
      </c>
      <c r="AU487" s="40" t="s">
        <v>548</v>
      </c>
      <c r="AV487" s="26">
        <v>5</v>
      </c>
    </row>
    <row r="488" spans="1:92" ht="14" customHeight="1">
      <c r="A488" s="27">
        <v>487</v>
      </c>
      <c r="B488" s="27" t="s">
        <v>497</v>
      </c>
      <c r="C488" s="40">
        <v>2012</v>
      </c>
      <c r="D488" s="26" t="s">
        <v>10</v>
      </c>
      <c r="E488" s="26" t="s">
        <v>563</v>
      </c>
      <c r="F488" s="2" t="s">
        <v>175</v>
      </c>
      <c r="G488" s="2" t="s">
        <v>105</v>
      </c>
      <c r="H488" s="2" t="s">
        <v>24</v>
      </c>
      <c r="I488" s="2" t="s">
        <v>548</v>
      </c>
      <c r="J488" s="2" t="s">
        <v>604</v>
      </c>
      <c r="K488" s="2" t="s">
        <v>548</v>
      </c>
      <c r="L488" s="2" t="s">
        <v>548</v>
      </c>
      <c r="M488" s="2" t="s">
        <v>175</v>
      </c>
      <c r="N488" s="2" t="s">
        <v>609</v>
      </c>
      <c r="O488" s="2" t="s">
        <v>60</v>
      </c>
      <c r="P488" s="2" t="s">
        <v>609</v>
      </c>
      <c r="Q488" s="2" t="s">
        <v>42</v>
      </c>
      <c r="R488" s="79" t="s">
        <v>613</v>
      </c>
      <c r="S488" s="88">
        <v>0.95</v>
      </c>
      <c r="T488" s="61">
        <v>229</v>
      </c>
      <c r="U488" s="2">
        <v>1</v>
      </c>
      <c r="V488" s="26">
        <v>0</v>
      </c>
      <c r="W488" s="26">
        <v>0</v>
      </c>
      <c r="X488" s="26">
        <v>0</v>
      </c>
      <c r="Y488" s="26">
        <v>0</v>
      </c>
      <c r="Z488" s="26">
        <v>0</v>
      </c>
      <c r="AA488" s="26">
        <v>1</v>
      </c>
      <c r="AB488" s="26">
        <v>1</v>
      </c>
      <c r="AC488" s="26" t="s">
        <v>70</v>
      </c>
      <c r="AD488" s="26" t="s">
        <v>70</v>
      </c>
      <c r="AE488" s="26" t="s">
        <v>70</v>
      </c>
      <c r="AF488" s="26" t="s">
        <v>70</v>
      </c>
      <c r="AG488" s="33" t="s">
        <v>70</v>
      </c>
      <c r="AH488" s="26" t="s">
        <v>70</v>
      </c>
      <c r="AI488" s="26" t="s">
        <v>70</v>
      </c>
      <c r="AJ488" s="26" t="s">
        <v>70</v>
      </c>
      <c r="AK488" s="26" t="s">
        <v>70</v>
      </c>
      <c r="AL488" s="26" t="s">
        <v>70</v>
      </c>
      <c r="AM488" s="61" t="s">
        <v>175</v>
      </c>
      <c r="AN488" s="32" t="s">
        <v>9</v>
      </c>
      <c r="AO488" s="26" t="s">
        <v>548</v>
      </c>
      <c r="AP488" s="26" t="s">
        <v>175</v>
      </c>
      <c r="AQ488" s="26" t="s">
        <v>548</v>
      </c>
      <c r="AR488" s="26" t="s">
        <v>548</v>
      </c>
      <c r="AS488" s="26" t="s">
        <v>548</v>
      </c>
      <c r="AT488" s="26" t="s">
        <v>175</v>
      </c>
      <c r="AU488" s="40" t="s">
        <v>548</v>
      </c>
      <c r="AV488" s="26">
        <v>5</v>
      </c>
    </row>
    <row r="489" spans="1:92" ht="14" customHeight="1">
      <c r="A489" s="27">
        <v>488</v>
      </c>
      <c r="B489" s="27" t="s">
        <v>498</v>
      </c>
      <c r="C489" s="26">
        <v>2011</v>
      </c>
      <c r="D489" s="26" t="s">
        <v>10</v>
      </c>
      <c r="E489" s="26" t="s">
        <v>563</v>
      </c>
      <c r="F489" s="2" t="s">
        <v>175</v>
      </c>
      <c r="G489" s="2" t="s">
        <v>105</v>
      </c>
      <c r="H489" s="2" t="s">
        <v>30</v>
      </c>
      <c r="I489" s="2" t="s">
        <v>175</v>
      </c>
      <c r="J489" s="2" t="s">
        <v>604</v>
      </c>
      <c r="K489" s="2" t="s">
        <v>175</v>
      </c>
      <c r="L489" s="2" t="s">
        <v>548</v>
      </c>
      <c r="M489" s="2" t="s">
        <v>175</v>
      </c>
      <c r="N489" s="2" t="s">
        <v>62</v>
      </c>
      <c r="O489" s="2" t="s">
        <v>43</v>
      </c>
      <c r="P489" s="2" t="s">
        <v>62</v>
      </c>
      <c r="Q489" s="26" t="s">
        <v>606</v>
      </c>
      <c r="R489" s="79" t="s">
        <v>613</v>
      </c>
      <c r="S489" s="88">
        <v>0.4</v>
      </c>
      <c r="T489" s="61">
        <v>35</v>
      </c>
      <c r="U489" s="2">
        <v>1</v>
      </c>
      <c r="V489" s="26">
        <v>0</v>
      </c>
      <c r="W489" s="26">
        <v>1</v>
      </c>
      <c r="X489" s="26">
        <v>1</v>
      </c>
      <c r="Y489" s="26">
        <v>0</v>
      </c>
      <c r="Z489" s="26">
        <v>0</v>
      </c>
      <c r="AA489" s="26">
        <v>0</v>
      </c>
      <c r="AB489" s="26">
        <v>0</v>
      </c>
      <c r="AC489" s="26">
        <f>19/35</f>
        <v>0.54285714285714282</v>
      </c>
      <c r="AD489" s="26">
        <f>8/35</f>
        <v>0.22857142857142856</v>
      </c>
      <c r="AE489" s="26">
        <f>8/35</f>
        <v>0.22857142857142856</v>
      </c>
      <c r="AF489" s="26">
        <v>0</v>
      </c>
      <c r="AG489" s="33" t="s">
        <v>70</v>
      </c>
      <c r="AH489" s="26" t="s">
        <v>70</v>
      </c>
      <c r="AI489" s="26" t="s">
        <v>70</v>
      </c>
      <c r="AJ489" s="26" t="s">
        <v>70</v>
      </c>
      <c r="AK489" s="26" t="s">
        <v>70</v>
      </c>
      <c r="AL489" s="26" t="s">
        <v>70</v>
      </c>
      <c r="AM489" s="61" t="s">
        <v>175</v>
      </c>
      <c r="AN489" s="26" t="s">
        <v>274</v>
      </c>
      <c r="AO489" s="26" t="s">
        <v>548</v>
      </c>
      <c r="AP489" s="26" t="s">
        <v>175</v>
      </c>
      <c r="AQ489" s="26" t="s">
        <v>548</v>
      </c>
      <c r="AR489" s="26" t="s">
        <v>548</v>
      </c>
      <c r="AS489" s="26" t="s">
        <v>175</v>
      </c>
      <c r="AT489" s="26" t="s">
        <v>175</v>
      </c>
      <c r="AU489" s="40" t="s">
        <v>548</v>
      </c>
      <c r="AV489" s="26">
        <v>8</v>
      </c>
    </row>
    <row r="490" spans="1:92" ht="14" customHeight="1">
      <c r="A490" s="27">
        <v>489</v>
      </c>
      <c r="B490" s="27" t="s">
        <v>499</v>
      </c>
      <c r="C490" s="27">
        <v>2010</v>
      </c>
      <c r="D490" s="26" t="s">
        <v>10</v>
      </c>
      <c r="E490" s="26" t="s">
        <v>563</v>
      </c>
      <c r="F490" s="77" t="s">
        <v>175</v>
      </c>
      <c r="G490" s="2" t="s">
        <v>105</v>
      </c>
      <c r="H490" s="2" t="s">
        <v>275</v>
      </c>
      <c r="I490" s="2" t="s">
        <v>175</v>
      </c>
      <c r="J490" s="2" t="s">
        <v>604</v>
      </c>
      <c r="K490" s="2" t="s">
        <v>175</v>
      </c>
      <c r="L490" s="2" t="s">
        <v>175</v>
      </c>
      <c r="M490" s="2" t="s">
        <v>175</v>
      </c>
      <c r="N490" s="2" t="s">
        <v>210</v>
      </c>
      <c r="O490" s="2" t="s">
        <v>43</v>
      </c>
      <c r="P490" s="2" t="s">
        <v>210</v>
      </c>
      <c r="Q490" s="2" t="s">
        <v>42</v>
      </c>
      <c r="R490" s="79" t="s">
        <v>613</v>
      </c>
      <c r="S490" s="88">
        <v>0.32100000000000001</v>
      </c>
      <c r="T490" s="26">
        <v>290</v>
      </c>
      <c r="U490" s="77">
        <v>1</v>
      </c>
      <c r="V490" s="26">
        <v>1</v>
      </c>
      <c r="W490" s="26">
        <v>1</v>
      </c>
      <c r="X490" s="26">
        <v>1</v>
      </c>
      <c r="Y490" s="26">
        <v>1</v>
      </c>
      <c r="Z490" s="26">
        <v>1</v>
      </c>
      <c r="AA490" s="26">
        <v>0</v>
      </c>
      <c r="AB490" s="26">
        <v>1</v>
      </c>
      <c r="AC490" s="26">
        <f>(76+111+10)/T490</f>
        <v>0.67931034482758623</v>
      </c>
      <c r="AD490" s="26">
        <f>(6+16+3)/T490</f>
        <v>8.6206896551724144E-2</v>
      </c>
      <c r="AE490" s="26">
        <f>(8+28+12)/T490</f>
        <v>0.16551724137931034</v>
      </c>
      <c r="AF490" s="26">
        <f>(4+13+1)/T490</f>
        <v>6.2068965517241378E-2</v>
      </c>
      <c r="AG490" s="26" t="s">
        <v>70</v>
      </c>
      <c r="AH490" s="26" t="s">
        <v>70</v>
      </c>
      <c r="AI490" s="26" t="s">
        <v>70</v>
      </c>
      <c r="AJ490" s="26" t="s">
        <v>70</v>
      </c>
      <c r="AK490" s="26" t="s">
        <v>70</v>
      </c>
      <c r="AL490" s="26" t="s">
        <v>70</v>
      </c>
      <c r="AM490" s="35" t="s">
        <v>175</v>
      </c>
      <c r="AN490" s="26" t="s">
        <v>274</v>
      </c>
      <c r="AO490" s="35" t="s">
        <v>548</v>
      </c>
      <c r="AP490" s="35" t="s">
        <v>175</v>
      </c>
      <c r="AQ490" s="35" t="s">
        <v>548</v>
      </c>
      <c r="AR490" s="35" t="s">
        <v>548</v>
      </c>
      <c r="AS490" s="26" t="s">
        <v>548</v>
      </c>
      <c r="AT490" s="26" t="s">
        <v>175</v>
      </c>
      <c r="AU490" s="40" t="s">
        <v>175</v>
      </c>
      <c r="AV490" s="26">
        <v>12</v>
      </c>
    </row>
    <row r="491" spans="1:92" ht="14" customHeight="1">
      <c r="A491" s="27">
        <v>490</v>
      </c>
      <c r="B491" s="27" t="s">
        <v>499</v>
      </c>
      <c r="C491" s="27">
        <v>2010</v>
      </c>
      <c r="D491" s="26" t="s">
        <v>10</v>
      </c>
      <c r="E491" s="26" t="s">
        <v>563</v>
      </c>
      <c r="F491" s="77" t="s">
        <v>175</v>
      </c>
      <c r="G491" s="2" t="s">
        <v>105</v>
      </c>
      <c r="H491" s="2" t="s">
        <v>275</v>
      </c>
      <c r="I491" s="2" t="s">
        <v>175</v>
      </c>
      <c r="J491" s="2" t="s">
        <v>604</v>
      </c>
      <c r="K491" s="2" t="s">
        <v>175</v>
      </c>
      <c r="L491" s="2" t="s">
        <v>175</v>
      </c>
      <c r="M491" s="2" t="s">
        <v>175</v>
      </c>
      <c r="N491" s="2" t="s">
        <v>62</v>
      </c>
      <c r="O491" s="2" t="s">
        <v>43</v>
      </c>
      <c r="P491" s="2" t="s">
        <v>62</v>
      </c>
      <c r="Q491" s="26" t="s">
        <v>606</v>
      </c>
      <c r="R491" s="79" t="s">
        <v>613</v>
      </c>
      <c r="S491" s="88">
        <v>0.124</v>
      </c>
      <c r="T491" s="26">
        <v>838</v>
      </c>
      <c r="U491" s="77">
        <v>1</v>
      </c>
      <c r="V491" s="26">
        <v>1</v>
      </c>
      <c r="W491" s="26">
        <v>1</v>
      </c>
      <c r="X491" s="26">
        <v>1</v>
      </c>
      <c r="Y491" s="26">
        <v>1</v>
      </c>
      <c r="Z491" s="26">
        <v>1</v>
      </c>
      <c r="AA491" s="26">
        <v>0</v>
      </c>
      <c r="AB491" s="26">
        <v>1</v>
      </c>
      <c r="AC491" s="26">
        <f>(288+375+69)/T491</f>
        <v>0.87350835322195708</v>
      </c>
      <c r="AD491" s="26">
        <f>(7+20+6+2)/T491</f>
        <v>4.1766109785202864E-2</v>
      </c>
      <c r="AE491" s="26">
        <f>(20+22+11)/T491</f>
        <v>6.3245823389021474E-2</v>
      </c>
      <c r="AF491" s="26">
        <f>(5+7+3)/T491</f>
        <v>1.7899761336515514E-2</v>
      </c>
      <c r="AG491" s="26" t="s">
        <v>70</v>
      </c>
      <c r="AH491" s="26" t="s">
        <v>70</v>
      </c>
      <c r="AI491" s="26" t="s">
        <v>70</v>
      </c>
      <c r="AJ491" s="26" t="s">
        <v>70</v>
      </c>
      <c r="AK491" s="26" t="s">
        <v>70</v>
      </c>
      <c r="AL491" s="26" t="s">
        <v>70</v>
      </c>
      <c r="AM491" s="35" t="s">
        <v>175</v>
      </c>
      <c r="AN491" s="26" t="s">
        <v>274</v>
      </c>
      <c r="AO491" s="35" t="s">
        <v>548</v>
      </c>
      <c r="AP491" s="35" t="s">
        <v>175</v>
      </c>
      <c r="AQ491" s="35" t="s">
        <v>548</v>
      </c>
      <c r="AR491" s="35" t="s">
        <v>548</v>
      </c>
      <c r="AS491" s="26" t="s">
        <v>548</v>
      </c>
      <c r="AT491" s="26" t="s">
        <v>175</v>
      </c>
      <c r="AU491" s="40" t="s">
        <v>175</v>
      </c>
      <c r="AV491" s="26">
        <v>12</v>
      </c>
    </row>
    <row r="492" spans="1:92" ht="14" customHeight="1">
      <c r="A492" s="27">
        <v>491</v>
      </c>
      <c r="B492" s="27" t="s">
        <v>499</v>
      </c>
      <c r="C492" s="27">
        <v>2010</v>
      </c>
      <c r="D492" s="26" t="s">
        <v>10</v>
      </c>
      <c r="E492" s="26" t="s">
        <v>563</v>
      </c>
      <c r="F492" s="77" t="s">
        <v>175</v>
      </c>
      <c r="G492" s="2" t="s">
        <v>105</v>
      </c>
      <c r="H492" s="2" t="s">
        <v>275</v>
      </c>
      <c r="I492" s="2" t="s">
        <v>175</v>
      </c>
      <c r="J492" s="2" t="s">
        <v>604</v>
      </c>
      <c r="K492" s="2" t="s">
        <v>175</v>
      </c>
      <c r="L492" s="2" t="s">
        <v>175</v>
      </c>
      <c r="M492" s="2" t="s">
        <v>175</v>
      </c>
      <c r="N492" s="2" t="s">
        <v>50</v>
      </c>
      <c r="O492" s="2" t="s">
        <v>43</v>
      </c>
      <c r="P492" s="2" t="s">
        <v>50</v>
      </c>
      <c r="Q492" s="2" t="s">
        <v>42</v>
      </c>
      <c r="R492" s="79" t="s">
        <v>613</v>
      </c>
      <c r="S492" s="88">
        <v>0.56699999999999995</v>
      </c>
      <c r="T492" s="26">
        <v>319</v>
      </c>
      <c r="U492" s="77">
        <v>1</v>
      </c>
      <c r="V492" s="26">
        <v>1</v>
      </c>
      <c r="W492" s="26">
        <v>1</v>
      </c>
      <c r="X492" s="26">
        <v>1</v>
      </c>
      <c r="Y492" s="26">
        <v>1</v>
      </c>
      <c r="Z492" s="26">
        <v>1</v>
      </c>
      <c r="AA492" s="26">
        <v>0</v>
      </c>
      <c r="AB492" s="26">
        <v>1</v>
      </c>
      <c r="AC492" s="26">
        <v>0.433</v>
      </c>
      <c r="AD492" s="26">
        <v>0.1</v>
      </c>
      <c r="AE492" s="26">
        <f>0.824-0.533</f>
        <v>0.29099999999999993</v>
      </c>
      <c r="AF492" s="26">
        <f>1-0.824</f>
        <v>0.17600000000000005</v>
      </c>
      <c r="AG492" s="26" t="s">
        <v>70</v>
      </c>
      <c r="AH492" s="26" t="s">
        <v>70</v>
      </c>
      <c r="AI492" s="26" t="s">
        <v>70</v>
      </c>
      <c r="AJ492" s="26" t="s">
        <v>70</v>
      </c>
      <c r="AK492" s="26" t="s">
        <v>70</v>
      </c>
      <c r="AL492" s="26" t="s">
        <v>70</v>
      </c>
      <c r="AM492" s="35" t="s">
        <v>175</v>
      </c>
      <c r="AN492" s="26" t="s">
        <v>274</v>
      </c>
      <c r="AO492" s="35" t="s">
        <v>548</v>
      </c>
      <c r="AP492" s="35" t="s">
        <v>175</v>
      </c>
      <c r="AQ492" s="35" t="s">
        <v>548</v>
      </c>
      <c r="AR492" s="35" t="s">
        <v>548</v>
      </c>
      <c r="AS492" s="26" t="s">
        <v>548</v>
      </c>
      <c r="AT492" s="26" t="s">
        <v>175</v>
      </c>
      <c r="AU492" s="40" t="s">
        <v>175</v>
      </c>
      <c r="AV492" s="26">
        <v>12</v>
      </c>
    </row>
    <row r="493" spans="1:92" ht="14" customHeight="1">
      <c r="A493" s="27">
        <v>492</v>
      </c>
      <c r="B493" s="27" t="s">
        <v>499</v>
      </c>
      <c r="C493" s="27">
        <v>2010</v>
      </c>
      <c r="D493" s="26" t="s">
        <v>10</v>
      </c>
      <c r="E493" s="26" t="s">
        <v>563</v>
      </c>
      <c r="F493" s="77" t="s">
        <v>175</v>
      </c>
      <c r="G493" s="2" t="s">
        <v>105</v>
      </c>
      <c r="H493" s="2" t="s">
        <v>275</v>
      </c>
      <c r="I493" s="2" t="s">
        <v>175</v>
      </c>
      <c r="J493" s="2" t="s">
        <v>604</v>
      </c>
      <c r="K493" s="2" t="s">
        <v>548</v>
      </c>
      <c r="L493" s="2" t="s">
        <v>548</v>
      </c>
      <c r="M493" s="2" t="s">
        <v>175</v>
      </c>
      <c r="N493" s="2" t="s">
        <v>62</v>
      </c>
      <c r="O493" s="2" t="s">
        <v>43</v>
      </c>
      <c r="P493" s="2" t="s">
        <v>621</v>
      </c>
      <c r="Q493" s="2" t="s">
        <v>42</v>
      </c>
      <c r="R493" s="79" t="s">
        <v>613</v>
      </c>
      <c r="S493" s="88">
        <v>0.14599999999999999</v>
      </c>
      <c r="T493" s="26">
        <v>398</v>
      </c>
      <c r="U493" s="77">
        <v>1</v>
      </c>
      <c r="V493" s="26">
        <v>1</v>
      </c>
      <c r="W493" s="26">
        <v>1</v>
      </c>
      <c r="X493" s="26">
        <v>1</v>
      </c>
      <c r="Y493" s="26">
        <v>1</v>
      </c>
      <c r="Z493" s="26">
        <v>1</v>
      </c>
      <c r="AA493" s="26">
        <v>0</v>
      </c>
      <c r="AB493" s="26">
        <v>1</v>
      </c>
      <c r="AC493" s="26" t="s">
        <v>70</v>
      </c>
      <c r="AD493" s="26" t="s">
        <v>70</v>
      </c>
      <c r="AE493" s="26" t="s">
        <v>70</v>
      </c>
      <c r="AF493" s="26" t="s">
        <v>70</v>
      </c>
      <c r="AG493" s="33" t="s">
        <v>70</v>
      </c>
      <c r="AH493" s="33" t="s">
        <v>70</v>
      </c>
      <c r="AI493" s="26" t="s">
        <v>70</v>
      </c>
      <c r="AJ493" s="26" t="s">
        <v>70</v>
      </c>
      <c r="AK493" s="26" t="s">
        <v>70</v>
      </c>
      <c r="AL493" s="26" t="s">
        <v>70</v>
      </c>
      <c r="AM493" s="26" t="s">
        <v>175</v>
      </c>
      <c r="AN493" s="26" t="s">
        <v>274</v>
      </c>
      <c r="AO493" s="35" t="s">
        <v>548</v>
      </c>
      <c r="AP493" s="26" t="s">
        <v>175</v>
      </c>
      <c r="AQ493" s="26" t="s">
        <v>548</v>
      </c>
      <c r="AR493" s="26" t="s">
        <v>548</v>
      </c>
      <c r="AS493" s="26" t="s">
        <v>548</v>
      </c>
      <c r="AT493" s="26" t="s">
        <v>175</v>
      </c>
      <c r="AU493" s="40" t="s">
        <v>175</v>
      </c>
      <c r="AV493" s="26">
        <v>10</v>
      </c>
    </row>
    <row r="494" spans="1:92" ht="14" customHeight="1">
      <c r="A494" s="27">
        <v>493</v>
      </c>
      <c r="B494" s="27" t="s">
        <v>499</v>
      </c>
      <c r="C494" s="27">
        <v>2010</v>
      </c>
      <c r="D494" s="26" t="s">
        <v>10</v>
      </c>
      <c r="E494" s="26" t="s">
        <v>563</v>
      </c>
      <c r="F494" s="77" t="s">
        <v>175</v>
      </c>
      <c r="G494" s="2" t="s">
        <v>105</v>
      </c>
      <c r="H494" s="2" t="s">
        <v>275</v>
      </c>
      <c r="I494" s="2" t="s">
        <v>175</v>
      </c>
      <c r="J494" s="2" t="s">
        <v>604</v>
      </c>
      <c r="K494" s="2" t="s">
        <v>175</v>
      </c>
      <c r="L494" s="2" t="s">
        <v>175</v>
      </c>
      <c r="M494" s="2" t="s">
        <v>175</v>
      </c>
      <c r="N494" s="2" t="s">
        <v>51</v>
      </c>
      <c r="O494" s="2" t="s">
        <v>43</v>
      </c>
      <c r="P494" s="2" t="s">
        <v>51</v>
      </c>
      <c r="Q494" s="2" t="s">
        <v>42</v>
      </c>
      <c r="R494" s="79" t="s">
        <v>613</v>
      </c>
      <c r="S494" s="88">
        <v>0.45200000000000001</v>
      </c>
      <c r="T494" s="26">
        <v>155</v>
      </c>
      <c r="U494" s="77">
        <v>1</v>
      </c>
      <c r="V494" s="26">
        <v>1</v>
      </c>
      <c r="W494" s="26">
        <v>1</v>
      </c>
      <c r="X494" s="26">
        <v>1</v>
      </c>
      <c r="Y494" s="26">
        <v>1</v>
      </c>
      <c r="Z494" s="26">
        <v>1</v>
      </c>
      <c r="AA494" s="26">
        <v>0</v>
      </c>
      <c r="AB494" s="26">
        <v>1</v>
      </c>
      <c r="AC494" s="26">
        <f>(46+32+7)/T494</f>
        <v>0.54838709677419351</v>
      </c>
      <c r="AD494" s="26">
        <f>(5+9+3)/T494</f>
        <v>0.10967741935483871</v>
      </c>
      <c r="AE494" s="26">
        <f>(4+22+7)/T494</f>
        <v>0.2129032258064516</v>
      </c>
      <c r="AF494" s="26">
        <f>(4+9+7)/T494</f>
        <v>0.12903225806451613</v>
      </c>
      <c r="AG494" s="26" t="s">
        <v>70</v>
      </c>
      <c r="AH494" s="26" t="s">
        <v>70</v>
      </c>
      <c r="AI494" s="26" t="s">
        <v>70</v>
      </c>
      <c r="AJ494" s="26" t="s">
        <v>70</v>
      </c>
      <c r="AK494" s="26" t="s">
        <v>70</v>
      </c>
      <c r="AL494" s="26" t="s">
        <v>70</v>
      </c>
      <c r="AM494" s="35" t="s">
        <v>175</v>
      </c>
      <c r="AN494" s="26" t="s">
        <v>274</v>
      </c>
      <c r="AO494" s="35" t="s">
        <v>548</v>
      </c>
      <c r="AP494" s="35" t="s">
        <v>175</v>
      </c>
      <c r="AQ494" s="35" t="s">
        <v>548</v>
      </c>
      <c r="AR494" s="35" t="s">
        <v>548</v>
      </c>
      <c r="AS494" s="26" t="s">
        <v>548</v>
      </c>
      <c r="AT494" s="26" t="s">
        <v>175</v>
      </c>
      <c r="AU494" s="40" t="s">
        <v>175</v>
      </c>
      <c r="AV494" s="26">
        <v>12</v>
      </c>
    </row>
    <row r="495" spans="1:92" ht="14" customHeight="1">
      <c r="A495" s="27">
        <v>494</v>
      </c>
      <c r="B495" s="27" t="s">
        <v>500</v>
      </c>
      <c r="C495" s="27">
        <v>2007</v>
      </c>
      <c r="D495" s="26" t="s">
        <v>18</v>
      </c>
      <c r="E495" s="26" t="s">
        <v>566</v>
      </c>
      <c r="F495" s="77" t="s">
        <v>548</v>
      </c>
      <c r="G495" s="2" t="s">
        <v>84</v>
      </c>
      <c r="H495" s="2" t="s">
        <v>275</v>
      </c>
      <c r="I495" s="2" t="s">
        <v>548</v>
      </c>
      <c r="J495" s="2" t="s">
        <v>183</v>
      </c>
      <c r="K495" s="2" t="s">
        <v>548</v>
      </c>
      <c r="L495" s="2" t="s">
        <v>548</v>
      </c>
      <c r="M495" s="2" t="s">
        <v>548</v>
      </c>
      <c r="N495" s="2" t="s">
        <v>210</v>
      </c>
      <c r="O495" s="2" t="s">
        <v>43</v>
      </c>
      <c r="P495" s="2" t="s">
        <v>210</v>
      </c>
      <c r="Q495" s="2" t="s">
        <v>42</v>
      </c>
      <c r="R495" s="79" t="s">
        <v>613</v>
      </c>
      <c r="S495" s="2">
        <f>37/T495</f>
        <v>0.10422535211267606</v>
      </c>
      <c r="T495" s="26">
        <v>355</v>
      </c>
      <c r="U495" s="77">
        <v>0</v>
      </c>
      <c r="V495" s="26">
        <v>0</v>
      </c>
      <c r="W495" s="26">
        <v>1</v>
      </c>
      <c r="X495" s="26">
        <v>0</v>
      </c>
      <c r="Y495" s="26">
        <v>0</v>
      </c>
      <c r="Z495" s="26">
        <v>0</v>
      </c>
      <c r="AA495" s="26">
        <v>0</v>
      </c>
      <c r="AB495" s="26">
        <v>0</v>
      </c>
      <c r="AC495" s="26" t="s">
        <v>70</v>
      </c>
      <c r="AD495" s="26" t="s">
        <v>70</v>
      </c>
      <c r="AE495" s="26" t="s">
        <v>70</v>
      </c>
      <c r="AF495" s="26" t="s">
        <v>70</v>
      </c>
      <c r="AG495" s="26" t="s">
        <v>70</v>
      </c>
      <c r="AH495" s="26" t="s">
        <v>70</v>
      </c>
      <c r="AI495" s="26" t="s">
        <v>70</v>
      </c>
      <c r="AJ495" s="26" t="s">
        <v>70</v>
      </c>
      <c r="AK495" s="26" t="s">
        <v>70</v>
      </c>
      <c r="AL495" s="26" t="s">
        <v>70</v>
      </c>
      <c r="AM495" s="35" t="s">
        <v>548</v>
      </c>
      <c r="AN495" s="26" t="s">
        <v>274</v>
      </c>
      <c r="AO495" s="35" t="s">
        <v>548</v>
      </c>
      <c r="AP495" s="35" t="s">
        <v>548</v>
      </c>
      <c r="AQ495" s="35" t="s">
        <v>548</v>
      </c>
      <c r="AR495" s="35" t="s">
        <v>548</v>
      </c>
      <c r="AS495" s="26" t="s">
        <v>175</v>
      </c>
      <c r="AT495" s="26" t="s">
        <v>70</v>
      </c>
      <c r="AU495" s="26" t="s">
        <v>70</v>
      </c>
      <c r="AV495" s="26">
        <v>2</v>
      </c>
    </row>
    <row r="496" spans="1:92" ht="14" customHeight="1">
      <c r="A496" s="27">
        <v>495</v>
      </c>
      <c r="B496" s="27" t="s">
        <v>500</v>
      </c>
      <c r="C496" s="27">
        <v>2007</v>
      </c>
      <c r="D496" s="26" t="s">
        <v>18</v>
      </c>
      <c r="E496" s="26" t="s">
        <v>566</v>
      </c>
      <c r="F496" s="77" t="s">
        <v>548</v>
      </c>
      <c r="G496" s="2" t="s">
        <v>84</v>
      </c>
      <c r="H496" s="2" t="s">
        <v>275</v>
      </c>
      <c r="I496" s="2" t="s">
        <v>548</v>
      </c>
      <c r="J496" s="2" t="s">
        <v>183</v>
      </c>
      <c r="K496" s="2" t="s">
        <v>548</v>
      </c>
      <c r="L496" s="2" t="s">
        <v>548</v>
      </c>
      <c r="M496" s="2" t="s">
        <v>548</v>
      </c>
      <c r="N496" s="2" t="s">
        <v>609</v>
      </c>
      <c r="O496" s="2" t="s">
        <v>60</v>
      </c>
      <c r="P496" s="2" t="s">
        <v>609</v>
      </c>
      <c r="Q496" s="2" t="s">
        <v>42</v>
      </c>
      <c r="R496" s="79" t="s">
        <v>613</v>
      </c>
      <c r="S496" s="2">
        <f>69/T496</f>
        <v>0.19436619718309858</v>
      </c>
      <c r="T496" s="26">
        <v>355</v>
      </c>
      <c r="U496" s="77">
        <v>0</v>
      </c>
      <c r="V496" s="26">
        <v>0</v>
      </c>
      <c r="W496" s="26">
        <v>1</v>
      </c>
      <c r="X496" s="26">
        <v>0</v>
      </c>
      <c r="Y496" s="26">
        <v>0</v>
      </c>
      <c r="Z496" s="26">
        <v>0</v>
      </c>
      <c r="AA496" s="26">
        <v>0</v>
      </c>
      <c r="AB496" s="26">
        <v>0</v>
      </c>
      <c r="AC496" s="26" t="s">
        <v>70</v>
      </c>
      <c r="AD496" s="26" t="s">
        <v>70</v>
      </c>
      <c r="AE496" s="26" t="s">
        <v>70</v>
      </c>
      <c r="AF496" s="26" t="s">
        <v>70</v>
      </c>
      <c r="AG496" s="26" t="s">
        <v>70</v>
      </c>
      <c r="AH496" s="26" t="s">
        <v>70</v>
      </c>
      <c r="AI496" s="26" t="s">
        <v>70</v>
      </c>
      <c r="AJ496" s="26" t="s">
        <v>70</v>
      </c>
      <c r="AK496" s="26" t="s">
        <v>70</v>
      </c>
      <c r="AL496" s="26" t="s">
        <v>70</v>
      </c>
      <c r="AM496" s="35" t="s">
        <v>548</v>
      </c>
      <c r="AN496" s="26" t="s">
        <v>274</v>
      </c>
      <c r="AO496" s="35" t="s">
        <v>548</v>
      </c>
      <c r="AP496" s="35" t="s">
        <v>548</v>
      </c>
      <c r="AQ496" s="35" t="s">
        <v>548</v>
      </c>
      <c r="AR496" s="35" t="s">
        <v>548</v>
      </c>
      <c r="AS496" s="26" t="s">
        <v>175</v>
      </c>
      <c r="AT496" s="26" t="s">
        <v>70</v>
      </c>
      <c r="AU496" s="26" t="s">
        <v>70</v>
      </c>
      <c r="AV496" s="26">
        <v>2</v>
      </c>
    </row>
    <row r="497" spans="1:48" ht="14" customHeight="1">
      <c r="A497" s="27">
        <v>496</v>
      </c>
      <c r="B497" s="27" t="s">
        <v>500</v>
      </c>
      <c r="C497" s="26">
        <v>2012</v>
      </c>
      <c r="D497" s="26" t="s">
        <v>18</v>
      </c>
      <c r="E497" s="26" t="s">
        <v>566</v>
      </c>
      <c r="F497" s="77" t="s">
        <v>175</v>
      </c>
      <c r="G497" s="2" t="s">
        <v>84</v>
      </c>
      <c r="H497" s="2" t="s">
        <v>24</v>
      </c>
      <c r="I497" s="2" t="s">
        <v>548</v>
      </c>
      <c r="J497" s="2" t="s">
        <v>604</v>
      </c>
      <c r="K497" s="2" t="s">
        <v>548</v>
      </c>
      <c r="L497" s="2" t="s">
        <v>548</v>
      </c>
      <c r="M497" s="2" t="s">
        <v>548</v>
      </c>
      <c r="N497" s="2" t="s">
        <v>210</v>
      </c>
      <c r="O497" s="2" t="s">
        <v>43</v>
      </c>
      <c r="P497" s="2" t="s">
        <v>210</v>
      </c>
      <c r="Q497" s="2" t="s">
        <v>42</v>
      </c>
      <c r="R497" s="79" t="s">
        <v>613</v>
      </c>
      <c r="S497" s="2">
        <f>15/T497</f>
        <v>0.12605042016806722</v>
      </c>
      <c r="T497" s="26">
        <v>119</v>
      </c>
      <c r="U497" s="77">
        <v>1</v>
      </c>
      <c r="V497" s="26">
        <v>0</v>
      </c>
      <c r="W497" s="26">
        <v>1</v>
      </c>
      <c r="X497" s="26">
        <v>0</v>
      </c>
      <c r="Y497" s="26">
        <v>0</v>
      </c>
      <c r="Z497" s="26">
        <v>0</v>
      </c>
      <c r="AA497" s="26">
        <v>0</v>
      </c>
      <c r="AB497" s="26">
        <v>0</v>
      </c>
      <c r="AC497" s="26" t="s">
        <v>70</v>
      </c>
      <c r="AD497" s="26" t="s">
        <v>70</v>
      </c>
      <c r="AE497" s="26" t="s">
        <v>70</v>
      </c>
      <c r="AF497" s="26" t="s">
        <v>70</v>
      </c>
      <c r="AG497" s="26" t="s">
        <v>70</v>
      </c>
      <c r="AH497" s="26" t="s">
        <v>70</v>
      </c>
      <c r="AI497" s="26" t="s">
        <v>70</v>
      </c>
      <c r="AJ497" s="26" t="s">
        <v>70</v>
      </c>
      <c r="AK497" s="26" t="s">
        <v>70</v>
      </c>
      <c r="AL497" s="26" t="s">
        <v>70</v>
      </c>
      <c r="AM497" s="35" t="s">
        <v>175</v>
      </c>
      <c r="AN497" s="26" t="s">
        <v>274</v>
      </c>
      <c r="AO497" s="35" t="s">
        <v>548</v>
      </c>
      <c r="AP497" s="35" t="s">
        <v>548</v>
      </c>
      <c r="AQ497" s="35" t="s">
        <v>548</v>
      </c>
      <c r="AR497" s="35" t="s">
        <v>548</v>
      </c>
      <c r="AS497" s="26" t="s">
        <v>175</v>
      </c>
      <c r="AT497" s="26" t="s">
        <v>70</v>
      </c>
      <c r="AU497" s="26" t="s">
        <v>70</v>
      </c>
      <c r="AV497" s="26">
        <v>4</v>
      </c>
    </row>
    <row r="498" spans="1:48" ht="14" customHeight="1">
      <c r="A498" s="27">
        <v>497</v>
      </c>
      <c r="B498" s="27" t="s">
        <v>500</v>
      </c>
      <c r="C498" s="26">
        <v>2012</v>
      </c>
      <c r="D498" s="26" t="s">
        <v>18</v>
      </c>
      <c r="E498" s="26" t="s">
        <v>566</v>
      </c>
      <c r="F498" s="77" t="s">
        <v>175</v>
      </c>
      <c r="G498" s="2" t="s">
        <v>84</v>
      </c>
      <c r="H498" s="2" t="s">
        <v>24</v>
      </c>
      <c r="I498" s="2" t="s">
        <v>548</v>
      </c>
      <c r="J498" s="2" t="s">
        <v>604</v>
      </c>
      <c r="K498" s="2" t="s">
        <v>548</v>
      </c>
      <c r="L498" s="2" t="s">
        <v>548</v>
      </c>
      <c r="M498" s="2" t="s">
        <v>548</v>
      </c>
      <c r="N498" s="2" t="s">
        <v>609</v>
      </c>
      <c r="O498" s="2" t="s">
        <v>60</v>
      </c>
      <c r="P498" s="2" t="s">
        <v>609</v>
      </c>
      <c r="Q498" s="2" t="s">
        <v>42</v>
      </c>
      <c r="R498" s="79" t="s">
        <v>613</v>
      </c>
      <c r="S498" s="2">
        <f>30/T498</f>
        <v>0.32608695652173914</v>
      </c>
      <c r="T498" s="26">
        <v>92</v>
      </c>
      <c r="U498" s="77">
        <v>1</v>
      </c>
      <c r="V498" s="26">
        <v>0</v>
      </c>
      <c r="W498" s="26">
        <v>1</v>
      </c>
      <c r="X498" s="26">
        <v>0</v>
      </c>
      <c r="Y498" s="26">
        <v>0</v>
      </c>
      <c r="Z498" s="26">
        <v>0</v>
      </c>
      <c r="AA498" s="26">
        <v>0</v>
      </c>
      <c r="AB498" s="26">
        <v>0</v>
      </c>
      <c r="AC498" s="26" t="s">
        <v>70</v>
      </c>
      <c r="AD498" s="26" t="s">
        <v>70</v>
      </c>
      <c r="AE498" s="26" t="s">
        <v>70</v>
      </c>
      <c r="AF498" s="26" t="s">
        <v>70</v>
      </c>
      <c r="AG498" s="26" t="s">
        <v>70</v>
      </c>
      <c r="AH498" s="26" t="s">
        <v>70</v>
      </c>
      <c r="AI498" s="26" t="s">
        <v>70</v>
      </c>
      <c r="AJ498" s="26" t="s">
        <v>70</v>
      </c>
      <c r="AK498" s="26" t="s">
        <v>70</v>
      </c>
      <c r="AL498" s="26" t="s">
        <v>70</v>
      </c>
      <c r="AM498" s="35" t="s">
        <v>175</v>
      </c>
      <c r="AN498" s="26" t="s">
        <v>274</v>
      </c>
      <c r="AO498" s="35" t="s">
        <v>548</v>
      </c>
      <c r="AP498" s="35" t="s">
        <v>548</v>
      </c>
      <c r="AQ498" s="35" t="s">
        <v>548</v>
      </c>
      <c r="AR498" s="35" t="s">
        <v>548</v>
      </c>
      <c r="AS498" s="26" t="s">
        <v>175</v>
      </c>
      <c r="AT498" s="26" t="s">
        <v>70</v>
      </c>
      <c r="AU498" s="26" t="s">
        <v>70</v>
      </c>
      <c r="AV498" s="26">
        <v>4</v>
      </c>
    </row>
    <row r="499" spans="1:48" ht="14" customHeight="1">
      <c r="A499" s="27">
        <v>498</v>
      </c>
      <c r="B499" s="27" t="s">
        <v>501</v>
      </c>
      <c r="C499" s="26">
        <v>2012</v>
      </c>
      <c r="D499" s="26" t="s">
        <v>111</v>
      </c>
      <c r="E499" s="26" t="s">
        <v>563</v>
      </c>
      <c r="F499" s="2" t="s">
        <v>175</v>
      </c>
      <c r="G499" s="2" t="s">
        <v>105</v>
      </c>
      <c r="H499" s="2" t="s">
        <v>24</v>
      </c>
      <c r="I499" s="2" t="s">
        <v>175</v>
      </c>
      <c r="J499" s="2" t="s">
        <v>604</v>
      </c>
      <c r="K499" s="2" t="s">
        <v>548</v>
      </c>
      <c r="L499" s="2" t="s">
        <v>548</v>
      </c>
      <c r="M499" s="2" t="s">
        <v>175</v>
      </c>
      <c r="N499" s="2" t="s">
        <v>210</v>
      </c>
      <c r="O499" s="2" t="s">
        <v>43</v>
      </c>
      <c r="P499" s="2" t="s">
        <v>210</v>
      </c>
      <c r="Q499" s="2" t="s">
        <v>42</v>
      </c>
      <c r="R499" s="79" t="s">
        <v>613</v>
      </c>
      <c r="S499" s="88" t="s">
        <v>70</v>
      </c>
      <c r="T499" s="61">
        <v>129</v>
      </c>
      <c r="U499" s="2">
        <v>1</v>
      </c>
      <c r="V499" s="26">
        <v>1</v>
      </c>
      <c r="W499" s="26">
        <v>1</v>
      </c>
      <c r="X499" s="26">
        <v>1</v>
      </c>
      <c r="Y499" s="26">
        <v>1</v>
      </c>
      <c r="Z499" s="26">
        <v>0</v>
      </c>
      <c r="AA499" s="26">
        <v>0</v>
      </c>
      <c r="AB499" s="26">
        <v>0</v>
      </c>
      <c r="AC499" s="26" t="s">
        <v>70</v>
      </c>
      <c r="AD499" s="26" t="s">
        <v>70</v>
      </c>
      <c r="AE499" s="26" t="s">
        <v>70</v>
      </c>
      <c r="AF499" s="26" t="s">
        <v>70</v>
      </c>
      <c r="AG499" s="33">
        <v>90</v>
      </c>
      <c r="AH499" s="26" t="s">
        <v>70</v>
      </c>
      <c r="AI499" s="26" t="s">
        <v>70</v>
      </c>
      <c r="AJ499" s="26" t="s">
        <v>70</v>
      </c>
      <c r="AK499" s="26" t="s">
        <v>70</v>
      </c>
      <c r="AL499" s="26" t="s">
        <v>70</v>
      </c>
      <c r="AM499" s="61" t="s">
        <v>175</v>
      </c>
      <c r="AN499" s="32" t="s">
        <v>9</v>
      </c>
      <c r="AO499" s="26" t="s">
        <v>548</v>
      </c>
      <c r="AP499" s="26" t="s">
        <v>175</v>
      </c>
      <c r="AQ499" s="26" t="s">
        <v>548</v>
      </c>
      <c r="AR499" s="26" t="s">
        <v>548</v>
      </c>
      <c r="AS499" s="26" t="s">
        <v>548</v>
      </c>
      <c r="AT499" s="26" t="s">
        <v>175</v>
      </c>
      <c r="AU499" s="40" t="s">
        <v>548</v>
      </c>
      <c r="AV499" s="26">
        <v>8</v>
      </c>
    </row>
    <row r="500" spans="1:48" ht="14" customHeight="1">
      <c r="A500" s="27">
        <v>499</v>
      </c>
      <c r="B500" s="27" t="s">
        <v>501</v>
      </c>
      <c r="C500" s="26">
        <v>2012</v>
      </c>
      <c r="D500" s="26" t="s">
        <v>111</v>
      </c>
      <c r="E500" s="26" t="s">
        <v>563</v>
      </c>
      <c r="F500" s="2" t="s">
        <v>175</v>
      </c>
      <c r="G500" s="2" t="s">
        <v>105</v>
      </c>
      <c r="H500" s="2" t="s">
        <v>24</v>
      </c>
      <c r="I500" s="2" t="s">
        <v>175</v>
      </c>
      <c r="J500" s="2" t="s">
        <v>604</v>
      </c>
      <c r="K500" s="2" t="s">
        <v>548</v>
      </c>
      <c r="L500" s="2" t="s">
        <v>548</v>
      </c>
      <c r="M500" s="2" t="s">
        <v>175</v>
      </c>
      <c r="N500" s="2" t="s">
        <v>70</v>
      </c>
      <c r="O500" s="2" t="s">
        <v>209</v>
      </c>
      <c r="P500" s="2" t="s">
        <v>612</v>
      </c>
      <c r="Q500" s="2" t="s">
        <v>42</v>
      </c>
      <c r="R500" s="79" t="s">
        <v>613</v>
      </c>
      <c r="S500" s="88" t="s">
        <v>70</v>
      </c>
      <c r="T500" s="61">
        <v>71</v>
      </c>
      <c r="U500" s="2">
        <v>1</v>
      </c>
      <c r="V500" s="26">
        <v>1</v>
      </c>
      <c r="W500" s="26">
        <v>1</v>
      </c>
      <c r="X500" s="26">
        <v>1</v>
      </c>
      <c r="Y500" s="26">
        <v>1</v>
      </c>
      <c r="Z500" s="26">
        <v>0</v>
      </c>
      <c r="AA500" s="26">
        <v>0</v>
      </c>
      <c r="AB500" s="26">
        <v>0</v>
      </c>
      <c r="AC500" s="26" t="s">
        <v>70</v>
      </c>
      <c r="AD500" s="26" t="s">
        <v>70</v>
      </c>
      <c r="AE500" s="26" t="s">
        <v>70</v>
      </c>
      <c r="AF500" s="26" t="s">
        <v>70</v>
      </c>
      <c r="AG500" s="33">
        <v>105</v>
      </c>
      <c r="AH500" s="26" t="s">
        <v>70</v>
      </c>
      <c r="AI500" s="26" t="s">
        <v>70</v>
      </c>
      <c r="AJ500" s="26" t="s">
        <v>70</v>
      </c>
      <c r="AK500" s="26" t="s">
        <v>70</v>
      </c>
      <c r="AL500" s="26" t="s">
        <v>70</v>
      </c>
      <c r="AM500" s="61" t="s">
        <v>175</v>
      </c>
      <c r="AN500" s="32" t="s">
        <v>9</v>
      </c>
      <c r="AO500" s="26" t="s">
        <v>548</v>
      </c>
      <c r="AP500" s="26" t="s">
        <v>175</v>
      </c>
      <c r="AQ500" s="26" t="s">
        <v>548</v>
      </c>
      <c r="AR500" s="26" t="s">
        <v>548</v>
      </c>
      <c r="AS500" s="26" t="s">
        <v>548</v>
      </c>
      <c r="AT500" s="26" t="s">
        <v>175</v>
      </c>
      <c r="AU500" s="40" t="s">
        <v>548</v>
      </c>
      <c r="AV500" s="26">
        <v>8</v>
      </c>
    </row>
    <row r="501" spans="1:48" ht="14" customHeight="1">
      <c r="A501" s="27">
        <v>500</v>
      </c>
      <c r="B501" s="27" t="s">
        <v>501</v>
      </c>
      <c r="C501" s="26">
        <v>2012</v>
      </c>
      <c r="D501" s="26" t="s">
        <v>111</v>
      </c>
      <c r="E501" s="26" t="s">
        <v>563</v>
      </c>
      <c r="F501" s="2" t="s">
        <v>175</v>
      </c>
      <c r="G501" s="2" t="s">
        <v>105</v>
      </c>
      <c r="H501" s="2" t="s">
        <v>24</v>
      </c>
      <c r="I501" s="2" t="s">
        <v>175</v>
      </c>
      <c r="J501" s="2" t="s">
        <v>604</v>
      </c>
      <c r="K501" s="2" t="s">
        <v>548</v>
      </c>
      <c r="L501" s="2" t="s">
        <v>548</v>
      </c>
      <c r="M501" s="2" t="s">
        <v>175</v>
      </c>
      <c r="N501" s="2" t="s">
        <v>51</v>
      </c>
      <c r="O501" s="2" t="s">
        <v>43</v>
      </c>
      <c r="P501" s="2" t="s">
        <v>51</v>
      </c>
      <c r="Q501" s="2" t="s">
        <v>42</v>
      </c>
      <c r="R501" s="79" t="s">
        <v>613</v>
      </c>
      <c r="S501" s="88" t="s">
        <v>70</v>
      </c>
      <c r="T501" s="61">
        <v>664</v>
      </c>
      <c r="U501" s="2">
        <v>1</v>
      </c>
      <c r="V501" s="26">
        <v>1</v>
      </c>
      <c r="W501" s="26">
        <v>1</v>
      </c>
      <c r="X501" s="26">
        <v>1</v>
      </c>
      <c r="Y501" s="26">
        <v>1</v>
      </c>
      <c r="Z501" s="26">
        <v>0</v>
      </c>
      <c r="AA501" s="26">
        <v>0</v>
      </c>
      <c r="AB501" s="26">
        <v>0</v>
      </c>
      <c r="AC501" s="26" t="s">
        <v>70</v>
      </c>
      <c r="AD501" s="26" t="s">
        <v>70</v>
      </c>
      <c r="AE501" s="26" t="s">
        <v>70</v>
      </c>
      <c r="AF501" s="26" t="s">
        <v>70</v>
      </c>
      <c r="AG501" s="33">
        <v>200</v>
      </c>
      <c r="AH501" s="26" t="s">
        <v>70</v>
      </c>
      <c r="AI501" s="26" t="s">
        <v>70</v>
      </c>
      <c r="AJ501" s="26" t="s">
        <v>70</v>
      </c>
      <c r="AK501" s="26" t="s">
        <v>70</v>
      </c>
      <c r="AL501" s="26" t="s">
        <v>70</v>
      </c>
      <c r="AM501" s="61" t="s">
        <v>175</v>
      </c>
      <c r="AN501" s="32" t="s">
        <v>9</v>
      </c>
      <c r="AO501" s="26" t="s">
        <v>548</v>
      </c>
      <c r="AP501" s="26" t="s">
        <v>175</v>
      </c>
      <c r="AQ501" s="26" t="s">
        <v>548</v>
      </c>
      <c r="AR501" s="26" t="s">
        <v>548</v>
      </c>
      <c r="AS501" s="26" t="s">
        <v>548</v>
      </c>
      <c r="AT501" s="26" t="s">
        <v>175</v>
      </c>
      <c r="AU501" s="40" t="s">
        <v>548</v>
      </c>
      <c r="AV501" s="26">
        <v>8</v>
      </c>
    </row>
    <row r="502" spans="1:48" ht="14" customHeight="1">
      <c r="A502" s="27">
        <v>501</v>
      </c>
      <c r="B502" s="27" t="s">
        <v>501</v>
      </c>
      <c r="C502" s="26">
        <v>2012</v>
      </c>
      <c r="D502" s="26" t="s">
        <v>111</v>
      </c>
      <c r="E502" s="26" t="s">
        <v>563</v>
      </c>
      <c r="F502" s="2" t="s">
        <v>175</v>
      </c>
      <c r="G502" s="2" t="s">
        <v>105</v>
      </c>
      <c r="H502" s="2" t="s">
        <v>24</v>
      </c>
      <c r="I502" s="2" t="s">
        <v>175</v>
      </c>
      <c r="J502" s="2" t="s">
        <v>604</v>
      </c>
      <c r="K502" s="2" t="s">
        <v>548</v>
      </c>
      <c r="L502" s="2" t="s">
        <v>548</v>
      </c>
      <c r="M502" s="2" t="s">
        <v>175</v>
      </c>
      <c r="N502" s="2" t="s">
        <v>609</v>
      </c>
      <c r="O502" s="2" t="s">
        <v>60</v>
      </c>
      <c r="P502" s="2" t="s">
        <v>609</v>
      </c>
      <c r="Q502" s="2" t="s">
        <v>42</v>
      </c>
      <c r="R502" s="79" t="s">
        <v>613</v>
      </c>
      <c r="S502" s="88" t="s">
        <v>70</v>
      </c>
      <c r="T502" s="61">
        <v>17</v>
      </c>
      <c r="U502" s="2">
        <v>1</v>
      </c>
      <c r="V502" s="26">
        <v>1</v>
      </c>
      <c r="W502" s="26">
        <v>1</v>
      </c>
      <c r="X502" s="26">
        <v>1</v>
      </c>
      <c r="Y502" s="26">
        <v>1</v>
      </c>
      <c r="Z502" s="26">
        <v>0</v>
      </c>
      <c r="AA502" s="26">
        <v>0</v>
      </c>
      <c r="AB502" s="26">
        <v>0</v>
      </c>
      <c r="AC502" s="26" t="s">
        <v>70</v>
      </c>
      <c r="AD502" s="26" t="s">
        <v>70</v>
      </c>
      <c r="AE502" s="26" t="s">
        <v>70</v>
      </c>
      <c r="AF502" s="26" t="s">
        <v>70</v>
      </c>
      <c r="AG502" s="33">
        <v>705</v>
      </c>
      <c r="AH502" s="26" t="s">
        <v>70</v>
      </c>
      <c r="AI502" s="26" t="s">
        <v>70</v>
      </c>
      <c r="AJ502" s="26" t="s">
        <v>70</v>
      </c>
      <c r="AK502" s="26" t="s">
        <v>70</v>
      </c>
      <c r="AL502" s="26" t="s">
        <v>70</v>
      </c>
      <c r="AM502" s="61" t="s">
        <v>175</v>
      </c>
      <c r="AN502" s="32" t="s">
        <v>9</v>
      </c>
      <c r="AO502" s="26" t="s">
        <v>548</v>
      </c>
      <c r="AP502" s="26" t="s">
        <v>175</v>
      </c>
      <c r="AQ502" s="26" t="s">
        <v>548</v>
      </c>
      <c r="AR502" s="26" t="s">
        <v>548</v>
      </c>
      <c r="AS502" s="26" t="s">
        <v>548</v>
      </c>
      <c r="AT502" s="26" t="s">
        <v>175</v>
      </c>
      <c r="AU502" s="40" t="s">
        <v>548</v>
      </c>
      <c r="AV502" s="26">
        <v>8</v>
      </c>
    </row>
    <row r="503" spans="1:48" ht="14" customHeight="1">
      <c r="A503" s="27">
        <v>502</v>
      </c>
      <c r="B503" s="27" t="s">
        <v>502</v>
      </c>
      <c r="C503" s="27">
        <v>2003</v>
      </c>
      <c r="D503" s="26" t="s">
        <v>18</v>
      </c>
      <c r="E503" s="26" t="s">
        <v>566</v>
      </c>
      <c r="F503" s="77" t="s">
        <v>175</v>
      </c>
      <c r="G503" s="2" t="s">
        <v>84</v>
      </c>
      <c r="H503" s="2" t="s">
        <v>275</v>
      </c>
      <c r="I503" s="2" t="s">
        <v>548</v>
      </c>
      <c r="J503" s="2" t="s">
        <v>604</v>
      </c>
      <c r="K503" s="2" t="s">
        <v>548</v>
      </c>
      <c r="L503" s="2" t="s">
        <v>548</v>
      </c>
      <c r="M503" s="2" t="s">
        <v>548</v>
      </c>
      <c r="N503" s="2" t="s">
        <v>210</v>
      </c>
      <c r="O503" s="2" t="s">
        <v>43</v>
      </c>
      <c r="P503" s="2" t="s">
        <v>210</v>
      </c>
      <c r="Q503" s="2" t="s">
        <v>42</v>
      </c>
      <c r="R503" s="102" t="s">
        <v>614</v>
      </c>
      <c r="S503" s="88">
        <f>23/T503</f>
        <v>0.85185185185185186</v>
      </c>
      <c r="T503" s="26">
        <v>27</v>
      </c>
      <c r="U503" s="77">
        <v>1</v>
      </c>
      <c r="V503" s="26">
        <v>0</v>
      </c>
      <c r="W503" s="26">
        <v>1</v>
      </c>
      <c r="X503" s="26">
        <v>0</v>
      </c>
      <c r="Y503" s="26">
        <v>1</v>
      </c>
      <c r="Z503" s="26">
        <v>0</v>
      </c>
      <c r="AA503" s="26">
        <v>0</v>
      </c>
      <c r="AB503" s="26">
        <v>0</v>
      </c>
      <c r="AC503" s="26" t="s">
        <v>70</v>
      </c>
      <c r="AD503" s="26" t="s">
        <v>70</v>
      </c>
      <c r="AE503" s="26" t="s">
        <v>70</v>
      </c>
      <c r="AF503" s="26" t="s">
        <v>70</v>
      </c>
      <c r="AG503" s="26" t="s">
        <v>70</v>
      </c>
      <c r="AH503" s="26" t="s">
        <v>70</v>
      </c>
      <c r="AI503" s="26" t="s">
        <v>70</v>
      </c>
      <c r="AJ503" s="26" t="s">
        <v>70</v>
      </c>
      <c r="AK503" s="26" t="s">
        <v>70</v>
      </c>
      <c r="AL503" s="26" t="s">
        <v>70</v>
      </c>
      <c r="AM503" s="35" t="s">
        <v>548</v>
      </c>
      <c r="AN503" s="26" t="s">
        <v>274</v>
      </c>
      <c r="AO503" s="35" t="s">
        <v>548</v>
      </c>
      <c r="AP503" s="35" t="s">
        <v>548</v>
      </c>
      <c r="AQ503" s="35" t="s">
        <v>548</v>
      </c>
      <c r="AR503" s="35" t="s">
        <v>548</v>
      </c>
      <c r="AS503" s="26" t="s">
        <v>175</v>
      </c>
      <c r="AT503" s="26" t="s">
        <v>70</v>
      </c>
      <c r="AU503" s="26" t="s">
        <v>70</v>
      </c>
      <c r="AV503" s="26">
        <v>4</v>
      </c>
    </row>
    <row r="504" spans="1:48" ht="14" customHeight="1">
      <c r="A504" s="27">
        <v>503</v>
      </c>
      <c r="B504" s="27" t="s">
        <v>502</v>
      </c>
      <c r="C504" s="27">
        <v>2003</v>
      </c>
      <c r="D504" s="26" t="s">
        <v>18</v>
      </c>
      <c r="E504" s="26" t="s">
        <v>566</v>
      </c>
      <c r="F504" s="77" t="s">
        <v>175</v>
      </c>
      <c r="G504" s="2" t="s">
        <v>84</v>
      </c>
      <c r="H504" s="2" t="s">
        <v>275</v>
      </c>
      <c r="I504" s="2" t="s">
        <v>548</v>
      </c>
      <c r="J504" s="2" t="s">
        <v>604</v>
      </c>
      <c r="K504" s="2" t="s">
        <v>548</v>
      </c>
      <c r="L504" s="2" t="s">
        <v>548</v>
      </c>
      <c r="M504" s="2" t="s">
        <v>548</v>
      </c>
      <c r="N504" s="2" t="s">
        <v>62</v>
      </c>
      <c r="O504" s="2" t="s">
        <v>43</v>
      </c>
      <c r="P504" s="2" t="s">
        <v>62</v>
      </c>
      <c r="Q504" s="26" t="s">
        <v>247</v>
      </c>
      <c r="R504" s="102" t="s">
        <v>614</v>
      </c>
      <c r="S504" s="88">
        <f>38/T504</f>
        <v>0.69090909090909092</v>
      </c>
      <c r="T504" s="26">
        <v>55</v>
      </c>
      <c r="U504" s="77">
        <v>1</v>
      </c>
      <c r="V504" s="26">
        <v>0</v>
      </c>
      <c r="W504" s="26">
        <v>1</v>
      </c>
      <c r="X504" s="26">
        <v>0</v>
      </c>
      <c r="Y504" s="26">
        <v>1</v>
      </c>
      <c r="Z504" s="26">
        <v>0</v>
      </c>
      <c r="AA504" s="26">
        <v>0</v>
      </c>
      <c r="AB504" s="26">
        <v>0</v>
      </c>
      <c r="AC504" s="26" t="s">
        <v>70</v>
      </c>
      <c r="AD504" s="26" t="s">
        <v>70</v>
      </c>
      <c r="AE504" s="26" t="s">
        <v>70</v>
      </c>
      <c r="AF504" s="26" t="s">
        <v>70</v>
      </c>
      <c r="AG504" s="26" t="s">
        <v>70</v>
      </c>
      <c r="AH504" s="26" t="s">
        <v>70</v>
      </c>
      <c r="AI504" s="26" t="s">
        <v>70</v>
      </c>
      <c r="AJ504" s="26" t="s">
        <v>70</v>
      </c>
      <c r="AK504" s="26" t="s">
        <v>70</v>
      </c>
      <c r="AL504" s="26" t="s">
        <v>70</v>
      </c>
      <c r="AM504" s="35" t="s">
        <v>548</v>
      </c>
      <c r="AN504" s="26" t="s">
        <v>274</v>
      </c>
      <c r="AO504" s="35" t="s">
        <v>548</v>
      </c>
      <c r="AP504" s="35" t="s">
        <v>548</v>
      </c>
      <c r="AQ504" s="35" t="s">
        <v>548</v>
      </c>
      <c r="AR504" s="35" t="s">
        <v>548</v>
      </c>
      <c r="AS504" s="26" t="s">
        <v>175</v>
      </c>
      <c r="AT504" s="26" t="s">
        <v>70</v>
      </c>
      <c r="AU504" s="26" t="s">
        <v>70</v>
      </c>
      <c r="AV504" s="26">
        <v>4</v>
      </c>
    </row>
    <row r="505" spans="1:48" ht="14" customHeight="1">
      <c r="A505" s="27">
        <v>504</v>
      </c>
      <c r="B505" s="27" t="s">
        <v>502</v>
      </c>
      <c r="C505" s="27">
        <v>2003</v>
      </c>
      <c r="D505" s="26" t="s">
        <v>18</v>
      </c>
      <c r="E505" s="26" t="s">
        <v>566</v>
      </c>
      <c r="F505" s="77" t="s">
        <v>175</v>
      </c>
      <c r="G505" s="2" t="s">
        <v>84</v>
      </c>
      <c r="H505" s="2" t="s">
        <v>275</v>
      </c>
      <c r="I505" s="2" t="s">
        <v>548</v>
      </c>
      <c r="J505" s="2" t="s">
        <v>604</v>
      </c>
      <c r="K505" s="2" t="s">
        <v>548</v>
      </c>
      <c r="L505" s="2" t="s">
        <v>548</v>
      </c>
      <c r="M505" s="2" t="s">
        <v>548</v>
      </c>
      <c r="N505" s="2" t="s">
        <v>70</v>
      </c>
      <c r="O505" s="2" t="s">
        <v>209</v>
      </c>
      <c r="P505" s="2" t="s">
        <v>612</v>
      </c>
      <c r="Q505" s="2" t="s">
        <v>42</v>
      </c>
      <c r="R505" s="102" t="s">
        <v>614</v>
      </c>
      <c r="S505" s="90">
        <f>28/T505</f>
        <v>0.5490196078431373</v>
      </c>
      <c r="T505" s="26">
        <v>51</v>
      </c>
      <c r="U505" s="77">
        <v>1</v>
      </c>
      <c r="V505" s="26">
        <v>0</v>
      </c>
      <c r="W505" s="26">
        <v>1</v>
      </c>
      <c r="X505" s="26">
        <v>0</v>
      </c>
      <c r="Y505" s="26">
        <v>1</v>
      </c>
      <c r="Z505" s="26">
        <v>0</v>
      </c>
      <c r="AA505" s="26">
        <v>0</v>
      </c>
      <c r="AB505" s="26">
        <v>0</v>
      </c>
      <c r="AC505" s="26" t="s">
        <v>70</v>
      </c>
      <c r="AD505" s="26" t="s">
        <v>70</v>
      </c>
      <c r="AE505" s="26" t="s">
        <v>70</v>
      </c>
      <c r="AF505" s="26" t="s">
        <v>70</v>
      </c>
      <c r="AG505" s="26" t="s">
        <v>70</v>
      </c>
      <c r="AH505" s="26" t="s">
        <v>70</v>
      </c>
      <c r="AI505" s="26" t="s">
        <v>70</v>
      </c>
      <c r="AJ505" s="26" t="s">
        <v>70</v>
      </c>
      <c r="AK505" s="26" t="s">
        <v>70</v>
      </c>
      <c r="AL505" s="26" t="s">
        <v>70</v>
      </c>
      <c r="AM505" s="35" t="s">
        <v>548</v>
      </c>
      <c r="AN505" s="32" t="s">
        <v>274</v>
      </c>
      <c r="AO505" s="35" t="s">
        <v>548</v>
      </c>
      <c r="AP505" s="35" t="s">
        <v>548</v>
      </c>
      <c r="AQ505" s="35" t="s">
        <v>548</v>
      </c>
      <c r="AR505" s="35" t="s">
        <v>548</v>
      </c>
      <c r="AS505" s="26" t="s">
        <v>175</v>
      </c>
      <c r="AT505" s="26" t="s">
        <v>70</v>
      </c>
      <c r="AU505" s="26" t="s">
        <v>70</v>
      </c>
      <c r="AV505" s="26">
        <v>4</v>
      </c>
    </row>
    <row r="506" spans="1:48" ht="14" customHeight="1">
      <c r="A506" s="27">
        <v>505</v>
      </c>
      <c r="B506" s="27" t="s">
        <v>503</v>
      </c>
      <c r="C506" s="27">
        <v>2007</v>
      </c>
      <c r="D506" s="26" t="s">
        <v>73</v>
      </c>
      <c r="E506" s="26" t="s">
        <v>563</v>
      </c>
      <c r="F506" s="77" t="s">
        <v>175</v>
      </c>
      <c r="G506" s="2" t="s">
        <v>105</v>
      </c>
      <c r="H506" s="2" t="s">
        <v>24</v>
      </c>
      <c r="I506" s="2" t="s">
        <v>548</v>
      </c>
      <c r="J506" s="2" t="s">
        <v>189</v>
      </c>
      <c r="K506" s="2" t="s">
        <v>548</v>
      </c>
      <c r="L506" s="2" t="s">
        <v>548</v>
      </c>
      <c r="M506" s="2" t="s">
        <v>175</v>
      </c>
      <c r="N506" s="2" t="s">
        <v>50</v>
      </c>
      <c r="O506" s="2" t="s">
        <v>43</v>
      </c>
      <c r="P506" s="2" t="s">
        <v>50</v>
      </c>
      <c r="Q506" s="2" t="s">
        <v>42</v>
      </c>
      <c r="R506" s="79" t="s">
        <v>613</v>
      </c>
      <c r="S506" s="2">
        <v>0.48</v>
      </c>
      <c r="T506" s="26">
        <v>75</v>
      </c>
      <c r="U506" s="77">
        <v>1</v>
      </c>
      <c r="V506" s="26">
        <v>1</v>
      </c>
      <c r="W506" s="26">
        <v>1</v>
      </c>
      <c r="X506" s="26">
        <v>1</v>
      </c>
      <c r="Y506" s="26">
        <v>1</v>
      </c>
      <c r="Z506" s="26">
        <v>0</v>
      </c>
      <c r="AA506" s="26">
        <v>0</v>
      </c>
      <c r="AB506" s="26">
        <v>0</v>
      </c>
      <c r="AC506" s="26" t="s">
        <v>70</v>
      </c>
      <c r="AD506" s="26" t="s">
        <v>70</v>
      </c>
      <c r="AE506" s="26" t="s">
        <v>70</v>
      </c>
      <c r="AF506" s="26" t="s">
        <v>70</v>
      </c>
      <c r="AG506" s="33" t="s">
        <v>70</v>
      </c>
      <c r="AH506" s="26">
        <v>28.7</v>
      </c>
      <c r="AI506" s="26" t="s">
        <v>70</v>
      </c>
      <c r="AJ506" s="26" t="s">
        <v>70</v>
      </c>
      <c r="AK506" s="26" t="s">
        <v>70</v>
      </c>
      <c r="AL506" s="26" t="s">
        <v>70</v>
      </c>
      <c r="AM506" s="35" t="s">
        <v>175</v>
      </c>
      <c r="AN506" s="32" t="s">
        <v>9</v>
      </c>
      <c r="AO506" s="35" t="s">
        <v>548</v>
      </c>
      <c r="AP506" s="35" t="s">
        <v>548</v>
      </c>
      <c r="AQ506" s="35" t="s">
        <v>548</v>
      </c>
      <c r="AR506" s="35" t="s">
        <v>548</v>
      </c>
      <c r="AS506" s="26" t="s">
        <v>175</v>
      </c>
      <c r="AT506" s="26" t="s">
        <v>70</v>
      </c>
      <c r="AU506" s="26" t="s">
        <v>70</v>
      </c>
      <c r="AV506" s="26">
        <v>8</v>
      </c>
    </row>
    <row r="507" spans="1:48" ht="14" customHeight="1">
      <c r="A507" s="27">
        <v>506</v>
      </c>
      <c r="B507" s="27" t="s">
        <v>503</v>
      </c>
      <c r="C507" s="27">
        <v>2007</v>
      </c>
      <c r="D507" s="26" t="s">
        <v>73</v>
      </c>
      <c r="E507" s="26" t="s">
        <v>563</v>
      </c>
      <c r="F507" s="77" t="s">
        <v>175</v>
      </c>
      <c r="G507" s="2" t="s">
        <v>105</v>
      </c>
      <c r="H507" s="2" t="s">
        <v>24</v>
      </c>
      <c r="I507" s="2" t="s">
        <v>548</v>
      </c>
      <c r="J507" s="2" t="s">
        <v>189</v>
      </c>
      <c r="K507" s="2" t="s">
        <v>548</v>
      </c>
      <c r="L507" s="2" t="s">
        <v>548</v>
      </c>
      <c r="M507" s="2" t="s">
        <v>175</v>
      </c>
      <c r="N507" s="2" t="s">
        <v>609</v>
      </c>
      <c r="O507" s="2" t="s">
        <v>60</v>
      </c>
      <c r="P507" s="2" t="s">
        <v>609</v>
      </c>
      <c r="Q507" s="2" t="s">
        <v>42</v>
      </c>
      <c r="R507" s="79" t="s">
        <v>613</v>
      </c>
      <c r="S507" s="2">
        <v>0.92</v>
      </c>
      <c r="T507" s="26">
        <v>76</v>
      </c>
      <c r="U507" s="77">
        <v>1</v>
      </c>
      <c r="V507" s="26">
        <v>1</v>
      </c>
      <c r="W507" s="26">
        <v>1</v>
      </c>
      <c r="X507" s="26">
        <v>1</v>
      </c>
      <c r="Y507" s="26">
        <v>1</v>
      </c>
      <c r="Z507" s="26">
        <v>0</v>
      </c>
      <c r="AA507" s="26">
        <v>0</v>
      </c>
      <c r="AB507" s="26">
        <v>0</v>
      </c>
      <c r="AC507" s="26" t="s">
        <v>70</v>
      </c>
      <c r="AD507" s="26" t="s">
        <v>70</v>
      </c>
      <c r="AE507" s="26" t="s">
        <v>70</v>
      </c>
      <c r="AF507" s="26" t="s">
        <v>70</v>
      </c>
      <c r="AG507" s="33" t="s">
        <v>70</v>
      </c>
      <c r="AH507" s="33">
        <v>699.3</v>
      </c>
      <c r="AI507" s="26" t="s">
        <v>70</v>
      </c>
      <c r="AJ507" s="26" t="s">
        <v>70</v>
      </c>
      <c r="AK507" s="26" t="s">
        <v>70</v>
      </c>
      <c r="AL507" s="26" t="s">
        <v>70</v>
      </c>
      <c r="AM507" s="35" t="s">
        <v>175</v>
      </c>
      <c r="AN507" s="32" t="s">
        <v>9</v>
      </c>
      <c r="AO507" s="35" t="s">
        <v>548</v>
      </c>
      <c r="AP507" s="35" t="s">
        <v>548</v>
      </c>
      <c r="AQ507" s="35" t="s">
        <v>548</v>
      </c>
      <c r="AR507" s="35" t="s">
        <v>548</v>
      </c>
      <c r="AS507" s="26" t="s">
        <v>175</v>
      </c>
      <c r="AT507" s="26" t="s">
        <v>70</v>
      </c>
      <c r="AU507" s="26" t="s">
        <v>70</v>
      </c>
      <c r="AV507" s="26">
        <v>8</v>
      </c>
    </row>
    <row r="508" spans="1:48" ht="14" customHeight="1">
      <c r="A508" s="27">
        <v>507</v>
      </c>
      <c r="B508" s="27" t="s">
        <v>504</v>
      </c>
      <c r="C508" s="27">
        <v>1997</v>
      </c>
      <c r="D508" s="26" t="s">
        <v>134</v>
      </c>
      <c r="E508" s="26" t="s">
        <v>563</v>
      </c>
      <c r="F508" s="77" t="s">
        <v>175</v>
      </c>
      <c r="G508" s="2" t="s">
        <v>105</v>
      </c>
      <c r="H508" s="2" t="s">
        <v>30</v>
      </c>
      <c r="I508" s="2" t="s">
        <v>548</v>
      </c>
      <c r="J508" s="2" t="s">
        <v>189</v>
      </c>
      <c r="K508" s="2" t="s">
        <v>548</v>
      </c>
      <c r="L508" s="2" t="s">
        <v>548</v>
      </c>
      <c r="M508" s="2" t="s">
        <v>175</v>
      </c>
      <c r="N508" s="2" t="s">
        <v>210</v>
      </c>
      <c r="O508" s="2" t="s">
        <v>43</v>
      </c>
      <c r="P508" s="2" t="s">
        <v>210</v>
      </c>
      <c r="Q508" s="2" t="s">
        <v>42</v>
      </c>
      <c r="R508" s="102" t="s">
        <v>614</v>
      </c>
      <c r="S508" s="2">
        <f>7/T508</f>
        <v>0.12727272727272726</v>
      </c>
      <c r="T508" s="26">
        <v>55</v>
      </c>
      <c r="U508" s="77">
        <v>1</v>
      </c>
      <c r="V508" s="26">
        <v>0</v>
      </c>
      <c r="W508" s="26">
        <v>1</v>
      </c>
      <c r="X508" s="26">
        <v>1</v>
      </c>
      <c r="Y508" s="26">
        <v>1</v>
      </c>
      <c r="Z508" s="26">
        <v>0</v>
      </c>
      <c r="AA508" s="26">
        <v>0</v>
      </c>
      <c r="AB508" s="26">
        <v>0</v>
      </c>
      <c r="AC508" s="26" t="s">
        <v>70</v>
      </c>
      <c r="AD508" s="26" t="s">
        <v>70</v>
      </c>
      <c r="AE508" s="26" t="s">
        <v>70</v>
      </c>
      <c r="AF508" s="26" t="s">
        <v>70</v>
      </c>
      <c r="AG508" s="26" t="s">
        <v>70</v>
      </c>
      <c r="AH508" s="26" t="s">
        <v>70</v>
      </c>
      <c r="AI508" s="26" t="s">
        <v>70</v>
      </c>
      <c r="AJ508" s="26" t="s">
        <v>70</v>
      </c>
      <c r="AK508" s="26" t="s">
        <v>70</v>
      </c>
      <c r="AL508" s="26" t="s">
        <v>70</v>
      </c>
      <c r="AM508" s="35" t="s">
        <v>548</v>
      </c>
      <c r="AN508" s="26" t="s">
        <v>274</v>
      </c>
      <c r="AO508" s="35" t="s">
        <v>548</v>
      </c>
      <c r="AP508" s="35" t="s">
        <v>548</v>
      </c>
      <c r="AQ508" s="35" t="s">
        <v>548</v>
      </c>
      <c r="AR508" s="35" t="s">
        <v>548</v>
      </c>
      <c r="AS508" s="26" t="s">
        <v>175</v>
      </c>
      <c r="AT508" s="26" t="s">
        <v>70</v>
      </c>
      <c r="AU508" s="26" t="s">
        <v>70</v>
      </c>
      <c r="AV508" s="26">
        <v>6</v>
      </c>
    </row>
    <row r="509" spans="1:48" ht="14" customHeight="1">
      <c r="A509" s="27">
        <v>508</v>
      </c>
      <c r="B509" s="27" t="s">
        <v>504</v>
      </c>
      <c r="C509" s="27">
        <v>1997</v>
      </c>
      <c r="D509" s="26" t="s">
        <v>134</v>
      </c>
      <c r="E509" s="26" t="s">
        <v>563</v>
      </c>
      <c r="F509" s="77" t="s">
        <v>175</v>
      </c>
      <c r="G509" s="2" t="s">
        <v>105</v>
      </c>
      <c r="H509" s="2" t="s">
        <v>30</v>
      </c>
      <c r="I509" s="2" t="s">
        <v>548</v>
      </c>
      <c r="J509" s="2" t="s">
        <v>189</v>
      </c>
      <c r="K509" s="2" t="s">
        <v>548</v>
      </c>
      <c r="L509" s="2" t="s">
        <v>548</v>
      </c>
      <c r="M509" s="2" t="s">
        <v>175</v>
      </c>
      <c r="N509" s="2" t="s">
        <v>70</v>
      </c>
      <c r="O509" s="2" t="s">
        <v>209</v>
      </c>
      <c r="P509" s="2" t="s">
        <v>611</v>
      </c>
      <c r="Q509" s="2" t="s">
        <v>42</v>
      </c>
      <c r="R509" s="102" t="s">
        <v>614</v>
      </c>
      <c r="S509" s="2">
        <v>0.3</v>
      </c>
      <c r="T509" s="26">
        <v>10</v>
      </c>
      <c r="U509" s="77">
        <v>1</v>
      </c>
      <c r="V509" s="26">
        <v>0</v>
      </c>
      <c r="W509" s="26">
        <v>1</v>
      </c>
      <c r="X509" s="26">
        <v>1</v>
      </c>
      <c r="Y509" s="26">
        <v>1</v>
      </c>
      <c r="Z509" s="26">
        <v>0</v>
      </c>
      <c r="AA509" s="26">
        <v>0</v>
      </c>
      <c r="AB509" s="26">
        <v>0</v>
      </c>
      <c r="AC509" s="26" t="s">
        <v>70</v>
      </c>
      <c r="AD509" s="26" t="s">
        <v>70</v>
      </c>
      <c r="AE509" s="26" t="s">
        <v>70</v>
      </c>
      <c r="AF509" s="26" t="s">
        <v>70</v>
      </c>
      <c r="AG509" s="26" t="s">
        <v>70</v>
      </c>
      <c r="AH509" s="26" t="s">
        <v>70</v>
      </c>
      <c r="AI509" s="26" t="s">
        <v>70</v>
      </c>
      <c r="AJ509" s="26" t="s">
        <v>70</v>
      </c>
      <c r="AK509" s="26" t="s">
        <v>70</v>
      </c>
      <c r="AL509" s="26" t="s">
        <v>70</v>
      </c>
      <c r="AM509" s="35" t="s">
        <v>548</v>
      </c>
      <c r="AN509" s="26" t="s">
        <v>274</v>
      </c>
      <c r="AO509" s="35" t="s">
        <v>548</v>
      </c>
      <c r="AP509" s="35" t="s">
        <v>548</v>
      </c>
      <c r="AQ509" s="35" t="s">
        <v>548</v>
      </c>
      <c r="AR509" s="35" t="s">
        <v>548</v>
      </c>
      <c r="AS509" s="26" t="s">
        <v>175</v>
      </c>
      <c r="AT509" s="26" t="s">
        <v>70</v>
      </c>
      <c r="AU509" s="26" t="s">
        <v>70</v>
      </c>
      <c r="AV509" s="26">
        <v>6</v>
      </c>
    </row>
    <row r="510" spans="1:48" ht="14" customHeight="1">
      <c r="A510" s="27">
        <v>509</v>
      </c>
      <c r="B510" s="27" t="s">
        <v>504</v>
      </c>
      <c r="C510" s="27">
        <v>1997</v>
      </c>
      <c r="D510" s="26" t="s">
        <v>134</v>
      </c>
      <c r="E510" s="26" t="s">
        <v>563</v>
      </c>
      <c r="F510" s="77" t="s">
        <v>175</v>
      </c>
      <c r="G510" s="2" t="s">
        <v>105</v>
      </c>
      <c r="H510" s="2" t="s">
        <v>30</v>
      </c>
      <c r="I510" s="2" t="s">
        <v>548</v>
      </c>
      <c r="J510" s="2" t="s">
        <v>189</v>
      </c>
      <c r="K510" s="2" t="s">
        <v>548</v>
      </c>
      <c r="L510" s="2" t="s">
        <v>548</v>
      </c>
      <c r="M510" s="2" t="s">
        <v>175</v>
      </c>
      <c r="N510" s="2" t="s">
        <v>70</v>
      </c>
      <c r="O510" s="2" t="s">
        <v>209</v>
      </c>
      <c r="P510" s="2" t="s">
        <v>612</v>
      </c>
      <c r="Q510" s="2" t="s">
        <v>42</v>
      </c>
      <c r="R510" s="102" t="s">
        <v>614</v>
      </c>
      <c r="S510" s="2">
        <f>9/T510</f>
        <v>0.69230769230769229</v>
      </c>
      <c r="T510" s="26">
        <v>13</v>
      </c>
      <c r="U510" s="77">
        <v>1</v>
      </c>
      <c r="V510" s="26">
        <v>0</v>
      </c>
      <c r="W510" s="26">
        <v>1</v>
      </c>
      <c r="X510" s="26">
        <v>1</v>
      </c>
      <c r="Y510" s="26">
        <v>1</v>
      </c>
      <c r="Z510" s="26">
        <v>0</v>
      </c>
      <c r="AA510" s="26">
        <v>0</v>
      </c>
      <c r="AB510" s="26">
        <v>0</v>
      </c>
      <c r="AC510" s="26" t="s">
        <v>70</v>
      </c>
      <c r="AD510" s="26" t="s">
        <v>70</v>
      </c>
      <c r="AE510" s="26" t="s">
        <v>70</v>
      </c>
      <c r="AF510" s="26" t="s">
        <v>70</v>
      </c>
      <c r="AG510" s="26" t="s">
        <v>70</v>
      </c>
      <c r="AH510" s="26" t="s">
        <v>70</v>
      </c>
      <c r="AI510" s="26" t="s">
        <v>70</v>
      </c>
      <c r="AJ510" s="26" t="s">
        <v>70</v>
      </c>
      <c r="AK510" s="26" t="s">
        <v>70</v>
      </c>
      <c r="AL510" s="26" t="s">
        <v>70</v>
      </c>
      <c r="AM510" s="35" t="s">
        <v>548</v>
      </c>
      <c r="AN510" s="32" t="s">
        <v>274</v>
      </c>
      <c r="AO510" s="35" t="s">
        <v>548</v>
      </c>
      <c r="AP510" s="35" t="s">
        <v>548</v>
      </c>
      <c r="AQ510" s="35" t="s">
        <v>548</v>
      </c>
      <c r="AR510" s="35" t="s">
        <v>548</v>
      </c>
      <c r="AS510" s="26" t="s">
        <v>175</v>
      </c>
      <c r="AT510" s="26" t="s">
        <v>70</v>
      </c>
      <c r="AU510" s="26" t="s">
        <v>70</v>
      </c>
      <c r="AV510" s="26">
        <v>6</v>
      </c>
    </row>
    <row r="511" spans="1:48" ht="14" customHeight="1">
      <c r="A511" s="27">
        <v>510</v>
      </c>
      <c r="B511" s="27" t="s">
        <v>505</v>
      </c>
      <c r="C511" s="28">
        <v>2004</v>
      </c>
      <c r="D511" s="26" t="s">
        <v>124</v>
      </c>
      <c r="E511" s="26" t="s">
        <v>566</v>
      </c>
      <c r="F511" s="2" t="s">
        <v>548</v>
      </c>
      <c r="G511" s="2" t="s">
        <v>106</v>
      </c>
      <c r="H511" s="2" t="s">
        <v>24</v>
      </c>
      <c r="I511" s="2" t="s">
        <v>175</v>
      </c>
      <c r="J511" s="2" t="s">
        <v>603</v>
      </c>
      <c r="K511" s="2" t="s">
        <v>548</v>
      </c>
      <c r="L511" s="2" t="s">
        <v>548</v>
      </c>
      <c r="M511" s="2" t="s">
        <v>175</v>
      </c>
      <c r="N511" s="2" t="s">
        <v>210</v>
      </c>
      <c r="O511" s="2" t="s">
        <v>43</v>
      </c>
      <c r="P511" s="2" t="s">
        <v>210</v>
      </c>
      <c r="Q511" s="2" t="s">
        <v>42</v>
      </c>
      <c r="R511" s="79" t="s">
        <v>613</v>
      </c>
      <c r="S511" s="88">
        <v>0.66669999999999996</v>
      </c>
      <c r="T511" s="61">
        <v>72</v>
      </c>
      <c r="U511" s="2">
        <v>0</v>
      </c>
      <c r="V511" s="26">
        <v>0</v>
      </c>
      <c r="W511" s="26">
        <v>1</v>
      </c>
      <c r="X511" s="26">
        <v>1</v>
      </c>
      <c r="Y511" s="26">
        <v>1</v>
      </c>
      <c r="Z511" s="26">
        <v>1</v>
      </c>
      <c r="AA511" s="26">
        <v>0</v>
      </c>
      <c r="AB511" s="26">
        <v>0</v>
      </c>
      <c r="AC511" s="26">
        <v>0.33</v>
      </c>
      <c r="AD511" s="26">
        <v>0.48</v>
      </c>
      <c r="AE511" s="26">
        <v>0.19</v>
      </c>
      <c r="AF511" s="26">
        <v>0</v>
      </c>
      <c r="AG511" s="33" t="s">
        <v>70</v>
      </c>
      <c r="AH511" s="33">
        <v>1</v>
      </c>
      <c r="AI511" s="33" t="s">
        <v>70</v>
      </c>
      <c r="AJ511" s="26" t="s">
        <v>70</v>
      </c>
      <c r="AK511" s="33" t="s">
        <v>70</v>
      </c>
      <c r="AL511" s="33" t="s">
        <v>70</v>
      </c>
      <c r="AM511" s="61" t="s">
        <v>175</v>
      </c>
      <c r="AN511" s="32" t="s">
        <v>9</v>
      </c>
      <c r="AO511" s="26" t="s">
        <v>175</v>
      </c>
      <c r="AP511" s="26" t="s">
        <v>548</v>
      </c>
      <c r="AQ511" s="26" t="s">
        <v>548</v>
      </c>
      <c r="AR511" s="26" t="s">
        <v>548</v>
      </c>
      <c r="AS511" s="26" t="s">
        <v>175</v>
      </c>
      <c r="AT511" s="26" t="s">
        <v>70</v>
      </c>
      <c r="AU511" s="26" t="s">
        <v>70</v>
      </c>
      <c r="AV511" s="26">
        <v>8</v>
      </c>
    </row>
    <row r="512" spans="1:48" ht="14" customHeight="1">
      <c r="A512" s="27">
        <v>511</v>
      </c>
      <c r="B512" s="27" t="s">
        <v>505</v>
      </c>
      <c r="C512" s="28">
        <v>2004</v>
      </c>
      <c r="D512" s="26" t="s">
        <v>124</v>
      </c>
      <c r="E512" s="26" t="s">
        <v>566</v>
      </c>
      <c r="F512" s="2" t="s">
        <v>548</v>
      </c>
      <c r="G512" s="2" t="s">
        <v>106</v>
      </c>
      <c r="H512" s="2" t="s">
        <v>24</v>
      </c>
      <c r="I512" s="2" t="s">
        <v>175</v>
      </c>
      <c r="J512" s="2" t="s">
        <v>603</v>
      </c>
      <c r="K512" s="2" t="s">
        <v>548</v>
      </c>
      <c r="L512" s="2" t="s">
        <v>548</v>
      </c>
      <c r="M512" s="2" t="s">
        <v>175</v>
      </c>
      <c r="N512" s="2" t="s">
        <v>70</v>
      </c>
      <c r="O512" s="2" t="s">
        <v>209</v>
      </c>
      <c r="P512" s="2" t="s">
        <v>612</v>
      </c>
      <c r="Q512" s="2" t="s">
        <v>42</v>
      </c>
      <c r="R512" s="79" t="s">
        <v>613</v>
      </c>
      <c r="S512" s="88">
        <v>1</v>
      </c>
      <c r="T512" s="61">
        <v>108</v>
      </c>
      <c r="U512" s="2">
        <v>0</v>
      </c>
      <c r="V512" s="26">
        <v>0</v>
      </c>
      <c r="W512" s="26">
        <v>1</v>
      </c>
      <c r="X512" s="26">
        <v>1</v>
      </c>
      <c r="Y512" s="26">
        <v>1</v>
      </c>
      <c r="Z512" s="26">
        <v>1</v>
      </c>
      <c r="AA512" s="26">
        <v>0</v>
      </c>
      <c r="AB512" s="26">
        <v>0</v>
      </c>
      <c r="AC512" s="26">
        <v>0</v>
      </c>
      <c r="AD512" s="26">
        <v>0.1</v>
      </c>
      <c r="AE512" s="26">
        <v>0.33</v>
      </c>
      <c r="AF512" s="26">
        <v>0.56999999999999995</v>
      </c>
      <c r="AG512" s="33" t="s">
        <v>70</v>
      </c>
      <c r="AH512" s="33">
        <v>111</v>
      </c>
      <c r="AI512" s="33" t="s">
        <v>70</v>
      </c>
      <c r="AJ512" s="26" t="s">
        <v>70</v>
      </c>
      <c r="AK512" s="33" t="s">
        <v>70</v>
      </c>
      <c r="AL512" s="33" t="s">
        <v>70</v>
      </c>
      <c r="AM512" s="61" t="s">
        <v>175</v>
      </c>
      <c r="AN512" s="32" t="s">
        <v>9</v>
      </c>
      <c r="AO512" s="26" t="s">
        <v>175</v>
      </c>
      <c r="AP512" s="26" t="s">
        <v>548</v>
      </c>
      <c r="AQ512" s="26" t="s">
        <v>548</v>
      </c>
      <c r="AR512" s="26" t="s">
        <v>548</v>
      </c>
      <c r="AS512" s="26" t="s">
        <v>175</v>
      </c>
      <c r="AT512" s="26" t="s">
        <v>70</v>
      </c>
      <c r="AU512" s="26" t="s">
        <v>70</v>
      </c>
      <c r="AV512" s="26">
        <v>8</v>
      </c>
    </row>
    <row r="513" spans="1:48" ht="14" customHeight="1">
      <c r="A513" s="27">
        <v>512</v>
      </c>
      <c r="B513" s="27" t="s">
        <v>505</v>
      </c>
      <c r="C513" s="28">
        <v>2004</v>
      </c>
      <c r="D513" s="26" t="s">
        <v>124</v>
      </c>
      <c r="E513" s="26" t="s">
        <v>566</v>
      </c>
      <c r="F513" s="2" t="s">
        <v>548</v>
      </c>
      <c r="G513" s="2" t="s">
        <v>106</v>
      </c>
      <c r="H513" s="2" t="s">
        <v>24</v>
      </c>
      <c r="I513" s="2" t="s">
        <v>175</v>
      </c>
      <c r="J513" s="2" t="s">
        <v>603</v>
      </c>
      <c r="K513" s="2" t="s">
        <v>548</v>
      </c>
      <c r="L513" s="2" t="s">
        <v>548</v>
      </c>
      <c r="M513" s="2" t="s">
        <v>175</v>
      </c>
      <c r="N513" s="2" t="s">
        <v>210</v>
      </c>
      <c r="O513" s="2" t="s">
        <v>43</v>
      </c>
      <c r="P513" s="2" t="s">
        <v>618</v>
      </c>
      <c r="Q513" s="2" t="s">
        <v>42</v>
      </c>
      <c r="R513" s="79" t="s">
        <v>613</v>
      </c>
      <c r="S513" s="88">
        <v>0.89</v>
      </c>
      <c r="T513" s="61">
        <v>238</v>
      </c>
      <c r="U513" s="2">
        <v>0</v>
      </c>
      <c r="V513" s="26">
        <v>0</v>
      </c>
      <c r="W513" s="26">
        <v>1</v>
      </c>
      <c r="X513" s="26">
        <v>1</v>
      </c>
      <c r="Y513" s="26">
        <v>1</v>
      </c>
      <c r="Z513" s="26">
        <v>1</v>
      </c>
      <c r="AA513" s="26">
        <v>0</v>
      </c>
      <c r="AB513" s="26">
        <v>0</v>
      </c>
      <c r="AC513" s="26">
        <v>0.11</v>
      </c>
      <c r="AD513" s="26">
        <v>0.18</v>
      </c>
      <c r="AE513" s="26">
        <v>0.15</v>
      </c>
      <c r="AF513" s="26">
        <v>0.56000000000000005</v>
      </c>
      <c r="AG513" s="33" t="s">
        <v>70</v>
      </c>
      <c r="AH513" s="33">
        <v>72</v>
      </c>
      <c r="AI513" s="33" t="s">
        <v>70</v>
      </c>
      <c r="AJ513" s="26" t="s">
        <v>70</v>
      </c>
      <c r="AK513" s="33" t="s">
        <v>70</v>
      </c>
      <c r="AL513" s="33" t="s">
        <v>70</v>
      </c>
      <c r="AM513" s="61" t="s">
        <v>175</v>
      </c>
      <c r="AN513" s="32" t="s">
        <v>9</v>
      </c>
      <c r="AO513" s="26" t="s">
        <v>175</v>
      </c>
      <c r="AP513" s="26" t="s">
        <v>548</v>
      </c>
      <c r="AQ513" s="26" t="s">
        <v>548</v>
      </c>
      <c r="AR513" s="26" t="s">
        <v>548</v>
      </c>
      <c r="AS513" s="26" t="s">
        <v>175</v>
      </c>
      <c r="AT513" s="26" t="s">
        <v>70</v>
      </c>
      <c r="AU513" s="26" t="s">
        <v>70</v>
      </c>
      <c r="AV513" s="26">
        <v>8</v>
      </c>
    </row>
    <row r="514" spans="1:48" ht="14" customHeight="1">
      <c r="A514" s="27">
        <v>513</v>
      </c>
      <c r="B514" s="27" t="s">
        <v>505</v>
      </c>
      <c r="C514" s="28">
        <v>2004</v>
      </c>
      <c r="D514" s="26" t="s">
        <v>124</v>
      </c>
      <c r="E514" s="26" t="s">
        <v>566</v>
      </c>
      <c r="F514" s="2" t="s">
        <v>548</v>
      </c>
      <c r="G514" s="2" t="s">
        <v>106</v>
      </c>
      <c r="H514" s="2" t="s">
        <v>24</v>
      </c>
      <c r="I514" s="2" t="s">
        <v>175</v>
      </c>
      <c r="J514" s="2" t="s">
        <v>603</v>
      </c>
      <c r="K514" s="2" t="s">
        <v>548</v>
      </c>
      <c r="L514" s="2" t="s">
        <v>548</v>
      </c>
      <c r="M514" s="2" t="s">
        <v>175</v>
      </c>
      <c r="N514" s="2" t="s">
        <v>209</v>
      </c>
      <c r="O514" s="2" t="s">
        <v>209</v>
      </c>
      <c r="P514" s="2" t="s">
        <v>625</v>
      </c>
      <c r="Q514" s="2" t="s">
        <v>42</v>
      </c>
      <c r="R514" s="79" t="s">
        <v>613</v>
      </c>
      <c r="S514" s="88">
        <v>0.96</v>
      </c>
      <c r="T514" s="61">
        <v>334</v>
      </c>
      <c r="U514" s="2">
        <v>0</v>
      </c>
      <c r="V514" s="26">
        <v>0</v>
      </c>
      <c r="W514" s="26">
        <v>1</v>
      </c>
      <c r="X514" s="26">
        <v>1</v>
      </c>
      <c r="Y514" s="26">
        <v>1</v>
      </c>
      <c r="Z514" s="26">
        <v>1</v>
      </c>
      <c r="AA514" s="26">
        <v>0</v>
      </c>
      <c r="AB514" s="26">
        <v>0</v>
      </c>
      <c r="AC514" s="26">
        <v>0.04</v>
      </c>
      <c r="AD514" s="26">
        <v>0.04</v>
      </c>
      <c r="AE514" s="26">
        <v>0.16</v>
      </c>
      <c r="AF514" s="26">
        <v>0.76</v>
      </c>
      <c r="AG514" s="33" t="s">
        <v>70</v>
      </c>
      <c r="AH514" s="33">
        <v>202</v>
      </c>
      <c r="AI514" s="33" t="s">
        <v>70</v>
      </c>
      <c r="AJ514" s="26" t="s">
        <v>70</v>
      </c>
      <c r="AK514" s="33" t="s">
        <v>70</v>
      </c>
      <c r="AL514" s="33" t="s">
        <v>70</v>
      </c>
      <c r="AM514" s="61" t="s">
        <v>175</v>
      </c>
      <c r="AN514" s="32" t="s">
        <v>9</v>
      </c>
      <c r="AO514" s="26" t="s">
        <v>175</v>
      </c>
      <c r="AP514" s="26" t="s">
        <v>548</v>
      </c>
      <c r="AQ514" s="26" t="s">
        <v>548</v>
      </c>
      <c r="AR514" s="26" t="s">
        <v>548</v>
      </c>
      <c r="AS514" s="26" t="s">
        <v>175</v>
      </c>
      <c r="AT514" s="26" t="s">
        <v>70</v>
      </c>
      <c r="AU514" s="26" t="s">
        <v>70</v>
      </c>
      <c r="AV514" s="26">
        <v>8</v>
      </c>
    </row>
    <row r="515" spans="1:48" ht="14" customHeight="1">
      <c r="A515" s="27">
        <v>514</v>
      </c>
      <c r="B515" s="27" t="s">
        <v>506</v>
      </c>
      <c r="C515" s="27">
        <v>2012</v>
      </c>
      <c r="D515" s="26" t="s">
        <v>151</v>
      </c>
      <c r="E515" s="26" t="s">
        <v>563</v>
      </c>
      <c r="F515" s="77" t="s">
        <v>175</v>
      </c>
      <c r="G515" s="2" t="s">
        <v>105</v>
      </c>
      <c r="H515" s="2" t="s">
        <v>30</v>
      </c>
      <c r="I515" s="83" t="s">
        <v>548</v>
      </c>
      <c r="J515" s="2" t="s">
        <v>604</v>
      </c>
      <c r="K515" s="83" t="s">
        <v>548</v>
      </c>
      <c r="L515" s="2" t="s">
        <v>548</v>
      </c>
      <c r="M515" s="83" t="s">
        <v>175</v>
      </c>
      <c r="N515" s="2" t="s">
        <v>210</v>
      </c>
      <c r="O515" s="2" t="s">
        <v>43</v>
      </c>
      <c r="P515" s="2" t="s">
        <v>210</v>
      </c>
      <c r="Q515" s="2" t="s">
        <v>42</v>
      </c>
      <c r="R515" s="102" t="s">
        <v>614</v>
      </c>
      <c r="S515" s="95">
        <f>8/T515</f>
        <v>0.44444444444444442</v>
      </c>
      <c r="T515" s="29">
        <v>18</v>
      </c>
      <c r="U515" s="77">
        <v>1</v>
      </c>
      <c r="V515" s="29">
        <v>1</v>
      </c>
      <c r="W515" s="29">
        <v>1</v>
      </c>
      <c r="X515" s="29">
        <v>1</v>
      </c>
      <c r="Y515" s="29">
        <v>1</v>
      </c>
      <c r="Z515" s="29">
        <v>1</v>
      </c>
      <c r="AA515" s="29">
        <v>0</v>
      </c>
      <c r="AB515" s="29">
        <v>1</v>
      </c>
      <c r="AC515" s="26">
        <v>0.55555555555555558</v>
      </c>
      <c r="AD515" s="26">
        <v>0.16666666666666666</v>
      </c>
      <c r="AE515" s="26">
        <v>0.1111111111111111</v>
      </c>
      <c r="AF515" s="26">
        <v>0.16666666666666666</v>
      </c>
      <c r="AG515" s="26">
        <v>26.233333333333334</v>
      </c>
      <c r="AH515" s="33">
        <v>2.55375922097164</v>
      </c>
      <c r="AI515" s="33">
        <v>0</v>
      </c>
      <c r="AJ515" s="26" t="s">
        <v>534</v>
      </c>
      <c r="AK515" s="26">
        <v>57.036788953425898</v>
      </c>
      <c r="AL515" s="26" t="s">
        <v>70</v>
      </c>
      <c r="AM515" s="35" t="s">
        <v>175</v>
      </c>
      <c r="AN515" s="26" t="s">
        <v>274</v>
      </c>
      <c r="AO515" s="35" t="s">
        <v>548</v>
      </c>
      <c r="AP515" s="35" t="s">
        <v>548</v>
      </c>
      <c r="AQ515" s="35" t="s">
        <v>548</v>
      </c>
      <c r="AR515" s="35" t="s">
        <v>548</v>
      </c>
      <c r="AS515" s="29" t="s">
        <v>548</v>
      </c>
      <c r="AT515" s="26" t="s">
        <v>70</v>
      </c>
      <c r="AU515" s="26" t="s">
        <v>70</v>
      </c>
      <c r="AV515" s="26">
        <v>9</v>
      </c>
    </row>
    <row r="516" spans="1:48" ht="14" customHeight="1">
      <c r="A516" s="27">
        <v>515</v>
      </c>
      <c r="B516" s="27" t="s">
        <v>506</v>
      </c>
      <c r="C516" s="27">
        <v>2012</v>
      </c>
      <c r="D516" s="26" t="s">
        <v>151</v>
      </c>
      <c r="E516" s="26" t="s">
        <v>563</v>
      </c>
      <c r="F516" s="77" t="s">
        <v>175</v>
      </c>
      <c r="G516" s="2" t="s">
        <v>105</v>
      </c>
      <c r="H516" s="2" t="s">
        <v>30</v>
      </c>
      <c r="I516" s="83" t="s">
        <v>548</v>
      </c>
      <c r="J516" s="2" t="s">
        <v>604</v>
      </c>
      <c r="K516" s="83" t="s">
        <v>548</v>
      </c>
      <c r="L516" s="2" t="s">
        <v>548</v>
      </c>
      <c r="M516" s="83" t="s">
        <v>175</v>
      </c>
      <c r="N516" s="2" t="s">
        <v>51</v>
      </c>
      <c r="O516" s="2" t="s">
        <v>43</v>
      </c>
      <c r="P516" s="2" t="s">
        <v>51</v>
      </c>
      <c r="Q516" s="2" t="s">
        <v>42</v>
      </c>
      <c r="R516" s="102" t="s">
        <v>614</v>
      </c>
      <c r="S516" s="95">
        <f>76/T516</f>
        <v>0.51700680272108845</v>
      </c>
      <c r="T516" s="29">
        <v>147</v>
      </c>
      <c r="U516" s="77">
        <v>1</v>
      </c>
      <c r="V516" s="29">
        <v>1</v>
      </c>
      <c r="W516" s="29">
        <v>1</v>
      </c>
      <c r="X516" s="29">
        <v>1</v>
      </c>
      <c r="Y516" s="29">
        <v>1</v>
      </c>
      <c r="Z516" s="29">
        <v>1</v>
      </c>
      <c r="AA516" s="29">
        <v>0</v>
      </c>
      <c r="AB516" s="29">
        <v>1</v>
      </c>
      <c r="AC516" s="26">
        <v>0.47945205479452052</v>
      </c>
      <c r="AD516" s="26">
        <v>0.26027397260273971</v>
      </c>
      <c r="AE516" s="26">
        <v>0.10273972602739725</v>
      </c>
      <c r="AF516" s="26">
        <v>0.15753424657534246</v>
      </c>
      <c r="AG516" s="26">
        <v>33.823972602739723</v>
      </c>
      <c r="AH516" s="33">
        <v>3.0779604137514847</v>
      </c>
      <c r="AI516" s="33">
        <v>1</v>
      </c>
      <c r="AJ516" s="26" t="s">
        <v>534</v>
      </c>
      <c r="AK516" s="26">
        <v>66.782779428888105</v>
      </c>
      <c r="AL516" s="26" t="s">
        <v>70</v>
      </c>
      <c r="AM516" s="35" t="s">
        <v>175</v>
      </c>
      <c r="AN516" s="26" t="s">
        <v>274</v>
      </c>
      <c r="AO516" s="35" t="s">
        <v>548</v>
      </c>
      <c r="AP516" s="35" t="s">
        <v>548</v>
      </c>
      <c r="AQ516" s="35" t="s">
        <v>548</v>
      </c>
      <c r="AR516" s="35" t="s">
        <v>548</v>
      </c>
      <c r="AS516" s="29" t="s">
        <v>548</v>
      </c>
      <c r="AT516" s="26" t="s">
        <v>70</v>
      </c>
      <c r="AU516" s="26" t="s">
        <v>70</v>
      </c>
      <c r="AV516" s="26">
        <v>9</v>
      </c>
    </row>
    <row r="517" spans="1:48" ht="14" customHeight="1">
      <c r="A517" s="27">
        <v>516</v>
      </c>
      <c r="B517" s="27" t="s">
        <v>506</v>
      </c>
      <c r="C517" s="27">
        <v>2012</v>
      </c>
      <c r="D517" s="26" t="s">
        <v>151</v>
      </c>
      <c r="E517" s="26" t="s">
        <v>563</v>
      </c>
      <c r="F517" s="77" t="s">
        <v>175</v>
      </c>
      <c r="G517" s="2" t="s">
        <v>105</v>
      </c>
      <c r="H517" s="2" t="s">
        <v>30</v>
      </c>
      <c r="I517" s="83" t="s">
        <v>548</v>
      </c>
      <c r="J517" s="2" t="s">
        <v>604</v>
      </c>
      <c r="K517" s="83" t="s">
        <v>548</v>
      </c>
      <c r="L517" s="2" t="s">
        <v>548</v>
      </c>
      <c r="M517" s="83" t="s">
        <v>175</v>
      </c>
      <c r="N517" s="2" t="s">
        <v>609</v>
      </c>
      <c r="O517" s="2" t="s">
        <v>60</v>
      </c>
      <c r="P517" s="2" t="s">
        <v>609</v>
      </c>
      <c r="Q517" s="2" t="s">
        <v>42</v>
      </c>
      <c r="R517" s="102" t="s">
        <v>614</v>
      </c>
      <c r="S517" s="95">
        <f>18/T517</f>
        <v>1</v>
      </c>
      <c r="T517" s="29">
        <v>18</v>
      </c>
      <c r="U517" s="77">
        <v>1</v>
      </c>
      <c r="V517" s="29">
        <v>1</v>
      </c>
      <c r="W517" s="29">
        <v>1</v>
      </c>
      <c r="X517" s="29">
        <v>1</v>
      </c>
      <c r="Y517" s="29">
        <v>1</v>
      </c>
      <c r="Z517" s="29">
        <v>1</v>
      </c>
      <c r="AA517" s="29">
        <v>0</v>
      </c>
      <c r="AB517" s="29">
        <v>1</v>
      </c>
      <c r="AC517" s="26">
        <v>0</v>
      </c>
      <c r="AD517" s="26">
        <v>0.1</v>
      </c>
      <c r="AE517" s="26">
        <v>0.4</v>
      </c>
      <c r="AF517" s="26">
        <v>0.5</v>
      </c>
      <c r="AG517" s="26">
        <v>109.76500000000001</v>
      </c>
      <c r="AH517" s="33">
        <v>61.510067789201678</v>
      </c>
      <c r="AI517" s="33">
        <v>94.9</v>
      </c>
      <c r="AJ517" s="26" t="s">
        <v>538</v>
      </c>
      <c r="AK517" s="26">
        <v>82.670049785753392</v>
      </c>
      <c r="AL517" s="26" t="s">
        <v>70</v>
      </c>
      <c r="AM517" s="35" t="s">
        <v>175</v>
      </c>
      <c r="AN517" s="26" t="s">
        <v>274</v>
      </c>
      <c r="AO517" s="35" t="s">
        <v>548</v>
      </c>
      <c r="AP517" s="35" t="s">
        <v>548</v>
      </c>
      <c r="AQ517" s="35" t="s">
        <v>548</v>
      </c>
      <c r="AR517" s="35" t="s">
        <v>548</v>
      </c>
      <c r="AS517" s="29" t="s">
        <v>548</v>
      </c>
      <c r="AT517" s="26" t="s">
        <v>70</v>
      </c>
      <c r="AU517" s="26" t="s">
        <v>70</v>
      </c>
      <c r="AV517" s="26">
        <v>9</v>
      </c>
    </row>
    <row r="518" spans="1:48" ht="14" customHeight="1">
      <c r="A518" s="27">
        <v>517</v>
      </c>
      <c r="B518" s="27" t="s">
        <v>507</v>
      </c>
      <c r="C518" s="27">
        <v>2010</v>
      </c>
      <c r="D518" s="26" t="s">
        <v>37</v>
      </c>
      <c r="E518" s="26" t="s">
        <v>565</v>
      </c>
      <c r="F518" s="82" t="s">
        <v>175</v>
      </c>
      <c r="G518" s="2" t="s">
        <v>108</v>
      </c>
      <c r="H518" s="2" t="s">
        <v>24</v>
      </c>
      <c r="I518" s="2" t="s">
        <v>548</v>
      </c>
      <c r="J518" s="2" t="s">
        <v>604</v>
      </c>
      <c r="K518" s="2" t="s">
        <v>548</v>
      </c>
      <c r="L518" s="2" t="s">
        <v>548</v>
      </c>
      <c r="M518" s="2" t="s">
        <v>175</v>
      </c>
      <c r="N518" s="78" t="s">
        <v>70</v>
      </c>
      <c r="O518" s="2" t="s">
        <v>209</v>
      </c>
      <c r="P518" s="2" t="s">
        <v>612</v>
      </c>
      <c r="Q518" s="2" t="s">
        <v>42</v>
      </c>
      <c r="R518" s="102" t="s">
        <v>614</v>
      </c>
      <c r="S518" s="88">
        <v>0.5</v>
      </c>
      <c r="T518" s="26">
        <v>20</v>
      </c>
      <c r="U518" s="82">
        <v>1</v>
      </c>
      <c r="V518" s="26">
        <v>0</v>
      </c>
      <c r="W518" s="26">
        <v>1</v>
      </c>
      <c r="X518" s="26">
        <v>1</v>
      </c>
      <c r="Y518" s="26">
        <v>0</v>
      </c>
      <c r="Z518" s="26">
        <v>0</v>
      </c>
      <c r="AA518" s="26">
        <v>0</v>
      </c>
      <c r="AB518" s="26">
        <v>0</v>
      </c>
      <c r="AC518" s="33">
        <v>0.2</v>
      </c>
      <c r="AD518" s="33">
        <v>0.1</v>
      </c>
      <c r="AE518" s="33">
        <v>0.4</v>
      </c>
      <c r="AF518" s="33">
        <v>0.3</v>
      </c>
      <c r="AG518" s="26" t="s">
        <v>70</v>
      </c>
      <c r="AH518" s="26" t="s">
        <v>70</v>
      </c>
      <c r="AI518" s="26" t="s">
        <v>70</v>
      </c>
      <c r="AJ518" s="26" t="s">
        <v>70</v>
      </c>
      <c r="AK518" s="26" t="s">
        <v>70</v>
      </c>
      <c r="AL518" s="26" t="s">
        <v>70</v>
      </c>
      <c r="AM518" s="35" t="s">
        <v>175</v>
      </c>
      <c r="AN518" s="26" t="s">
        <v>274</v>
      </c>
      <c r="AO518" s="35" t="s">
        <v>548</v>
      </c>
      <c r="AP518" s="35" t="s">
        <v>175</v>
      </c>
      <c r="AQ518" s="35" t="s">
        <v>175</v>
      </c>
      <c r="AR518" s="35" t="s">
        <v>548</v>
      </c>
      <c r="AS518" s="26" t="s">
        <v>175</v>
      </c>
      <c r="AT518" s="26" t="s">
        <v>175</v>
      </c>
      <c r="AU518" s="40" t="s">
        <v>175</v>
      </c>
      <c r="AV518" s="26">
        <v>6</v>
      </c>
    </row>
    <row r="519" spans="1:48" ht="14" customHeight="1">
      <c r="A519" s="27">
        <v>518</v>
      </c>
      <c r="B519" s="27" t="s">
        <v>508</v>
      </c>
      <c r="C519" s="27">
        <v>1999</v>
      </c>
      <c r="D519" s="26" t="s">
        <v>69</v>
      </c>
      <c r="E519" s="26" t="s">
        <v>565</v>
      </c>
      <c r="F519" s="77" t="s">
        <v>175</v>
      </c>
      <c r="G519" s="2" t="s">
        <v>106</v>
      </c>
      <c r="H519" s="2" t="s">
        <v>24</v>
      </c>
      <c r="I519" s="2" t="s">
        <v>548</v>
      </c>
      <c r="J519" s="2" t="s">
        <v>604</v>
      </c>
      <c r="K519" s="2" t="s">
        <v>548</v>
      </c>
      <c r="L519" s="2" t="s">
        <v>548</v>
      </c>
      <c r="M519" s="2" t="s">
        <v>175</v>
      </c>
      <c r="N519" s="2" t="s">
        <v>62</v>
      </c>
      <c r="O519" s="2" t="s">
        <v>43</v>
      </c>
      <c r="P519" s="2" t="s">
        <v>62</v>
      </c>
      <c r="Q519" s="26" t="s">
        <v>607</v>
      </c>
      <c r="R519" s="79" t="s">
        <v>613</v>
      </c>
      <c r="S519" s="90">
        <v>0</v>
      </c>
      <c r="T519" s="26">
        <v>10</v>
      </c>
      <c r="U519" s="77">
        <v>1</v>
      </c>
      <c r="V519" s="26">
        <v>1</v>
      </c>
      <c r="W519" s="26">
        <v>1</v>
      </c>
      <c r="X519" s="26">
        <v>0</v>
      </c>
      <c r="Y519" s="26">
        <v>1</v>
      </c>
      <c r="Z519" s="26">
        <v>0</v>
      </c>
      <c r="AA519" s="26">
        <v>0</v>
      </c>
      <c r="AB519" s="26">
        <v>0</v>
      </c>
      <c r="AC519" s="34" t="s">
        <v>70</v>
      </c>
      <c r="AD519" s="34" t="s">
        <v>70</v>
      </c>
      <c r="AE519" s="34" t="s">
        <v>70</v>
      </c>
      <c r="AF519" s="34" t="s">
        <v>70</v>
      </c>
      <c r="AG519" s="34" t="s">
        <v>70</v>
      </c>
      <c r="AH519" s="34" t="s">
        <v>70</v>
      </c>
      <c r="AI519" s="34" t="s">
        <v>70</v>
      </c>
      <c r="AJ519" s="34" t="s">
        <v>70</v>
      </c>
      <c r="AK519" s="34" t="s">
        <v>70</v>
      </c>
      <c r="AL519" s="34" t="s">
        <v>70</v>
      </c>
      <c r="AM519" s="38" t="s">
        <v>548</v>
      </c>
      <c r="AN519" s="26" t="s">
        <v>274</v>
      </c>
      <c r="AO519" s="35" t="s">
        <v>548</v>
      </c>
      <c r="AP519" s="38" t="s">
        <v>548</v>
      </c>
      <c r="AQ519" s="38" t="s">
        <v>548</v>
      </c>
      <c r="AR519" s="38" t="s">
        <v>175</v>
      </c>
      <c r="AS519" s="26" t="s">
        <v>175</v>
      </c>
      <c r="AT519" s="26" t="s">
        <v>70</v>
      </c>
      <c r="AU519" s="26" t="s">
        <v>70</v>
      </c>
      <c r="AV519" s="26">
        <v>6</v>
      </c>
    </row>
    <row r="520" spans="1:48" ht="14" customHeight="1">
      <c r="A520" s="27">
        <v>519</v>
      </c>
      <c r="B520" s="27" t="s">
        <v>509</v>
      </c>
      <c r="C520" s="27">
        <v>2011</v>
      </c>
      <c r="D520" s="26" t="s">
        <v>27</v>
      </c>
      <c r="E520" s="26" t="s">
        <v>563</v>
      </c>
      <c r="F520" s="77" t="s">
        <v>175</v>
      </c>
      <c r="G520" s="2" t="s">
        <v>84</v>
      </c>
      <c r="H520" s="2" t="s">
        <v>24</v>
      </c>
      <c r="I520" s="2" t="s">
        <v>548</v>
      </c>
      <c r="J520" s="2" t="s">
        <v>603</v>
      </c>
      <c r="K520" s="2" t="s">
        <v>548</v>
      </c>
      <c r="L520" s="2" t="s">
        <v>548</v>
      </c>
      <c r="M520" s="2" t="s">
        <v>175</v>
      </c>
      <c r="N520" s="2" t="s">
        <v>210</v>
      </c>
      <c r="O520" s="2" t="s">
        <v>43</v>
      </c>
      <c r="P520" s="2" t="s">
        <v>210</v>
      </c>
      <c r="Q520" s="2" t="s">
        <v>42</v>
      </c>
      <c r="R520" s="102" t="s">
        <v>614</v>
      </c>
      <c r="S520" s="2">
        <v>1</v>
      </c>
      <c r="T520" s="26">
        <f>33+92</f>
        <v>125</v>
      </c>
      <c r="U520" s="77">
        <v>1</v>
      </c>
      <c r="V520" s="26">
        <v>1</v>
      </c>
      <c r="W520" s="26">
        <v>1</v>
      </c>
      <c r="X520" s="26">
        <v>1</v>
      </c>
      <c r="Y520" s="26">
        <v>1</v>
      </c>
      <c r="Z520" s="26">
        <v>0</v>
      </c>
      <c r="AA520" s="26">
        <v>0</v>
      </c>
      <c r="AB520" s="26">
        <v>0</v>
      </c>
      <c r="AC520" s="26" t="s">
        <v>70</v>
      </c>
      <c r="AD520" s="26" t="s">
        <v>70</v>
      </c>
      <c r="AE520" s="26" t="s">
        <v>70</v>
      </c>
      <c r="AF520" s="26" t="s">
        <v>70</v>
      </c>
      <c r="AG520" s="26" t="s">
        <v>70</v>
      </c>
      <c r="AH520" s="26" t="s">
        <v>70</v>
      </c>
      <c r="AI520" s="26" t="s">
        <v>70</v>
      </c>
      <c r="AJ520" s="26" t="s">
        <v>70</v>
      </c>
      <c r="AK520" s="26" t="s">
        <v>70</v>
      </c>
      <c r="AL520" s="26" t="s">
        <v>70</v>
      </c>
      <c r="AM520" s="35" t="s">
        <v>175</v>
      </c>
      <c r="AN520" s="32" t="s">
        <v>9</v>
      </c>
      <c r="AO520" s="35" t="s">
        <v>175</v>
      </c>
      <c r="AP520" s="35" t="s">
        <v>548</v>
      </c>
      <c r="AQ520" s="35" t="s">
        <v>548</v>
      </c>
      <c r="AR520" s="35" t="s">
        <v>548</v>
      </c>
      <c r="AS520" s="26" t="s">
        <v>175</v>
      </c>
      <c r="AT520" s="26" t="s">
        <v>70</v>
      </c>
      <c r="AU520" s="26" t="s">
        <v>70</v>
      </c>
      <c r="AV520" s="26">
        <v>8</v>
      </c>
    </row>
    <row r="521" spans="1:48" ht="14" customHeight="1">
      <c r="A521" s="27">
        <v>520</v>
      </c>
      <c r="B521" s="27" t="s">
        <v>510</v>
      </c>
      <c r="C521" s="27">
        <v>1993</v>
      </c>
      <c r="D521" s="26" t="s">
        <v>125</v>
      </c>
      <c r="E521" s="26" t="s">
        <v>566</v>
      </c>
      <c r="F521" s="82" t="s">
        <v>175</v>
      </c>
      <c r="G521" s="2" t="s">
        <v>108</v>
      </c>
      <c r="H521" s="2" t="s">
        <v>30</v>
      </c>
      <c r="I521" s="2" t="s">
        <v>175</v>
      </c>
      <c r="J521" s="2" t="s">
        <v>603</v>
      </c>
      <c r="K521" s="2" t="s">
        <v>175</v>
      </c>
      <c r="L521" s="2" t="s">
        <v>175</v>
      </c>
      <c r="M521" s="2" t="s">
        <v>175</v>
      </c>
      <c r="N521" s="2" t="s">
        <v>210</v>
      </c>
      <c r="O521" s="2" t="s">
        <v>43</v>
      </c>
      <c r="P521" s="2" t="s">
        <v>210</v>
      </c>
      <c r="Q521" s="2" t="s">
        <v>42</v>
      </c>
      <c r="R521" s="79" t="s">
        <v>613</v>
      </c>
      <c r="S521" s="88">
        <v>0.25</v>
      </c>
      <c r="T521" s="26">
        <v>403</v>
      </c>
      <c r="U521" s="82">
        <v>1</v>
      </c>
      <c r="V521" s="26">
        <v>1</v>
      </c>
      <c r="W521" s="26">
        <v>1</v>
      </c>
      <c r="X521" s="26">
        <v>1</v>
      </c>
      <c r="Y521" s="26">
        <v>1</v>
      </c>
      <c r="Z521" s="26">
        <v>0</v>
      </c>
      <c r="AA521" s="26">
        <v>0</v>
      </c>
      <c r="AB521" s="26">
        <v>0</v>
      </c>
      <c r="AC521" s="26" t="s">
        <v>70</v>
      </c>
      <c r="AD521" s="26" t="s">
        <v>70</v>
      </c>
      <c r="AE521" s="26" t="s">
        <v>70</v>
      </c>
      <c r="AF521" s="26" t="s">
        <v>70</v>
      </c>
      <c r="AG521" s="33">
        <f>10^-1.95</f>
        <v>1.1220184543019634E-2</v>
      </c>
      <c r="AH521" s="33" t="s">
        <v>70</v>
      </c>
      <c r="AI521" s="26" t="s">
        <v>70</v>
      </c>
      <c r="AJ521" s="26" t="s">
        <v>70</v>
      </c>
      <c r="AK521" s="26">
        <f>10^3</f>
        <v>1000</v>
      </c>
      <c r="AL521" s="26" t="s">
        <v>70</v>
      </c>
      <c r="AM521" s="35" t="s">
        <v>548</v>
      </c>
      <c r="AN521" s="26" t="s">
        <v>274</v>
      </c>
      <c r="AO521" s="35" t="s">
        <v>175</v>
      </c>
      <c r="AP521" s="35" t="s">
        <v>548</v>
      </c>
      <c r="AQ521" s="35" t="s">
        <v>548</v>
      </c>
      <c r="AR521" s="35" t="s">
        <v>548</v>
      </c>
      <c r="AS521" s="26" t="s">
        <v>175</v>
      </c>
      <c r="AT521" s="26" t="s">
        <v>70</v>
      </c>
      <c r="AU521" s="26" t="s">
        <v>70</v>
      </c>
      <c r="AV521" s="26">
        <v>10</v>
      </c>
    </row>
    <row r="522" spans="1:48" ht="14" customHeight="1">
      <c r="A522" s="27">
        <v>521</v>
      </c>
      <c r="B522" s="27" t="s">
        <v>510</v>
      </c>
      <c r="C522" s="27">
        <v>1993</v>
      </c>
      <c r="D522" s="26" t="s">
        <v>125</v>
      </c>
      <c r="E522" s="26" t="s">
        <v>566</v>
      </c>
      <c r="F522" s="82" t="s">
        <v>175</v>
      </c>
      <c r="G522" s="2" t="s">
        <v>108</v>
      </c>
      <c r="H522" s="2" t="s">
        <v>30</v>
      </c>
      <c r="I522" s="2" t="s">
        <v>175</v>
      </c>
      <c r="J522" s="2" t="s">
        <v>603</v>
      </c>
      <c r="K522" s="2" t="s">
        <v>175</v>
      </c>
      <c r="L522" s="2" t="s">
        <v>175</v>
      </c>
      <c r="M522" s="2" t="s">
        <v>175</v>
      </c>
      <c r="N522" s="2" t="s">
        <v>62</v>
      </c>
      <c r="O522" s="2" t="s">
        <v>43</v>
      </c>
      <c r="P522" s="2" t="s">
        <v>62</v>
      </c>
      <c r="Q522" s="26" t="s">
        <v>606</v>
      </c>
      <c r="R522" s="79" t="s">
        <v>613</v>
      </c>
      <c r="S522" s="88">
        <v>0.22</v>
      </c>
      <c r="T522" s="26">
        <v>111</v>
      </c>
      <c r="U522" s="82">
        <v>1</v>
      </c>
      <c r="V522" s="26">
        <v>1</v>
      </c>
      <c r="W522" s="26">
        <v>1</v>
      </c>
      <c r="X522" s="26">
        <v>1</v>
      </c>
      <c r="Y522" s="26">
        <v>1</v>
      </c>
      <c r="Z522" s="26">
        <v>0</v>
      </c>
      <c r="AA522" s="26">
        <v>0</v>
      </c>
      <c r="AB522" s="26">
        <v>0</v>
      </c>
      <c r="AC522" s="26" t="s">
        <v>70</v>
      </c>
      <c r="AD522" s="26" t="s">
        <v>70</v>
      </c>
      <c r="AE522" s="26" t="s">
        <v>70</v>
      </c>
      <c r="AF522" s="26" t="s">
        <v>70</v>
      </c>
      <c r="AG522" s="33">
        <f>10^-2.22</f>
        <v>6.0255958607435718E-3</v>
      </c>
      <c r="AH522" s="33" t="s">
        <v>70</v>
      </c>
      <c r="AI522" s="26" t="s">
        <v>70</v>
      </c>
      <c r="AJ522" s="26" t="s">
        <v>70</v>
      </c>
      <c r="AK522" s="26">
        <f>10^2.9</f>
        <v>794.32823472428208</v>
      </c>
      <c r="AL522" s="26" t="s">
        <v>70</v>
      </c>
      <c r="AM522" s="35" t="s">
        <v>548</v>
      </c>
      <c r="AN522" s="26" t="s">
        <v>274</v>
      </c>
      <c r="AO522" s="35" t="s">
        <v>175</v>
      </c>
      <c r="AP522" s="35" t="s">
        <v>548</v>
      </c>
      <c r="AQ522" s="35" t="s">
        <v>548</v>
      </c>
      <c r="AR522" s="35" t="s">
        <v>548</v>
      </c>
      <c r="AS522" s="26" t="s">
        <v>175</v>
      </c>
      <c r="AT522" s="26" t="s">
        <v>70</v>
      </c>
      <c r="AU522" s="26" t="s">
        <v>70</v>
      </c>
      <c r="AV522" s="26">
        <v>10</v>
      </c>
    </row>
    <row r="523" spans="1:48" ht="14" customHeight="1">
      <c r="A523" s="27">
        <v>522</v>
      </c>
      <c r="B523" s="27" t="s">
        <v>510</v>
      </c>
      <c r="C523" s="27">
        <v>1993</v>
      </c>
      <c r="D523" s="26" t="s">
        <v>125</v>
      </c>
      <c r="E523" s="26" t="s">
        <v>566</v>
      </c>
      <c r="F523" s="82" t="s">
        <v>175</v>
      </c>
      <c r="G523" s="2" t="s">
        <v>108</v>
      </c>
      <c r="H523" s="2" t="s">
        <v>30</v>
      </c>
      <c r="I523" s="2" t="s">
        <v>175</v>
      </c>
      <c r="J523" s="2" t="s">
        <v>603</v>
      </c>
      <c r="K523" s="2" t="s">
        <v>175</v>
      </c>
      <c r="L523" s="2" t="s">
        <v>175</v>
      </c>
      <c r="M523" s="2" t="s">
        <v>175</v>
      </c>
      <c r="N523" s="2" t="s">
        <v>51</v>
      </c>
      <c r="O523" s="2" t="s">
        <v>43</v>
      </c>
      <c r="P523" s="2" t="s">
        <v>51</v>
      </c>
      <c r="Q523" s="2" t="s">
        <v>42</v>
      </c>
      <c r="R523" s="79" t="s">
        <v>613</v>
      </c>
      <c r="S523" s="88">
        <v>0.91</v>
      </c>
      <c r="T523" s="26">
        <v>46</v>
      </c>
      <c r="U523" s="82">
        <v>1</v>
      </c>
      <c r="V523" s="26">
        <v>1</v>
      </c>
      <c r="W523" s="26">
        <v>1</v>
      </c>
      <c r="X523" s="26">
        <v>1</v>
      </c>
      <c r="Y523" s="26">
        <v>1</v>
      </c>
      <c r="Z523" s="26">
        <v>0</v>
      </c>
      <c r="AA523" s="26">
        <v>0</v>
      </c>
      <c r="AB523" s="26">
        <v>0</v>
      </c>
      <c r="AC523" s="26" t="s">
        <v>70</v>
      </c>
      <c r="AD523" s="26" t="s">
        <v>70</v>
      </c>
      <c r="AE523" s="26" t="s">
        <v>70</v>
      </c>
      <c r="AF523" s="26" t="s">
        <v>70</v>
      </c>
      <c r="AG523" s="33">
        <f>10^1.95</f>
        <v>89.125093813374562</v>
      </c>
      <c r="AH523" s="33" t="s">
        <v>70</v>
      </c>
      <c r="AI523" s="26" t="s">
        <v>70</v>
      </c>
      <c r="AJ523" s="26" t="s">
        <v>70</v>
      </c>
      <c r="AK523" s="26">
        <f>10^1.33</f>
        <v>21.379620895022335</v>
      </c>
      <c r="AL523" s="26" t="s">
        <v>70</v>
      </c>
      <c r="AM523" s="35" t="s">
        <v>548</v>
      </c>
      <c r="AN523" s="26" t="s">
        <v>274</v>
      </c>
      <c r="AO523" s="35" t="s">
        <v>175</v>
      </c>
      <c r="AP523" s="35" t="s">
        <v>548</v>
      </c>
      <c r="AQ523" s="35" t="s">
        <v>548</v>
      </c>
      <c r="AR523" s="35" t="s">
        <v>548</v>
      </c>
      <c r="AS523" s="26" t="s">
        <v>175</v>
      </c>
      <c r="AT523" s="26" t="s">
        <v>70</v>
      </c>
      <c r="AU523" s="26" t="s">
        <v>70</v>
      </c>
      <c r="AV523" s="26">
        <v>10</v>
      </c>
    </row>
    <row r="524" spans="1:48" ht="14" customHeight="1">
      <c r="A524" s="27">
        <v>523</v>
      </c>
      <c r="B524" s="27" t="s">
        <v>510</v>
      </c>
      <c r="C524" s="27">
        <v>1993</v>
      </c>
      <c r="D524" s="26" t="s">
        <v>125</v>
      </c>
      <c r="E524" s="26" t="s">
        <v>566</v>
      </c>
      <c r="F524" s="82" t="s">
        <v>175</v>
      </c>
      <c r="G524" s="2" t="s">
        <v>108</v>
      </c>
      <c r="H524" s="2" t="s">
        <v>30</v>
      </c>
      <c r="I524" s="2" t="s">
        <v>175</v>
      </c>
      <c r="J524" s="2" t="s">
        <v>603</v>
      </c>
      <c r="K524" s="2" t="s">
        <v>175</v>
      </c>
      <c r="L524" s="2" t="s">
        <v>175</v>
      </c>
      <c r="M524" s="2" t="s">
        <v>175</v>
      </c>
      <c r="N524" s="2" t="s">
        <v>609</v>
      </c>
      <c r="O524" s="2" t="s">
        <v>60</v>
      </c>
      <c r="P524" s="2" t="s">
        <v>609</v>
      </c>
      <c r="Q524" s="2" t="s">
        <v>42</v>
      </c>
      <c r="R524" s="79" t="s">
        <v>613</v>
      </c>
      <c r="S524" s="88">
        <v>0.97</v>
      </c>
      <c r="T524" s="26">
        <v>60</v>
      </c>
      <c r="U524" s="82">
        <v>1</v>
      </c>
      <c r="V524" s="26">
        <v>1</v>
      </c>
      <c r="W524" s="26">
        <v>1</v>
      </c>
      <c r="X524" s="26">
        <v>1</v>
      </c>
      <c r="Y524" s="26">
        <v>1</v>
      </c>
      <c r="Z524" s="26">
        <v>0</v>
      </c>
      <c r="AA524" s="26">
        <v>0</v>
      </c>
      <c r="AB524" s="26">
        <v>0</v>
      </c>
      <c r="AC524" s="26" t="s">
        <v>70</v>
      </c>
      <c r="AD524" s="26" t="s">
        <v>70</v>
      </c>
      <c r="AE524" s="26" t="s">
        <v>70</v>
      </c>
      <c r="AF524" s="26" t="s">
        <v>70</v>
      </c>
      <c r="AG524" s="33">
        <f>10^2.55</f>
        <v>354.81338923357566</v>
      </c>
      <c r="AH524" s="33" t="s">
        <v>70</v>
      </c>
      <c r="AI524" s="26" t="s">
        <v>70</v>
      </c>
      <c r="AJ524" s="26" t="s">
        <v>70</v>
      </c>
      <c r="AK524" s="26">
        <v>10</v>
      </c>
      <c r="AL524" s="26" t="s">
        <v>70</v>
      </c>
      <c r="AM524" s="35" t="s">
        <v>548</v>
      </c>
      <c r="AN524" s="26" t="s">
        <v>274</v>
      </c>
      <c r="AO524" s="35" t="s">
        <v>175</v>
      </c>
      <c r="AP524" s="35" t="s">
        <v>548</v>
      </c>
      <c r="AQ524" s="35" t="s">
        <v>548</v>
      </c>
      <c r="AR524" s="35" t="s">
        <v>548</v>
      </c>
      <c r="AS524" s="26" t="s">
        <v>175</v>
      </c>
      <c r="AT524" s="26" t="s">
        <v>70</v>
      </c>
      <c r="AU524" s="26" t="s">
        <v>70</v>
      </c>
      <c r="AV524" s="26">
        <v>10</v>
      </c>
    </row>
    <row r="525" spans="1:48" ht="14" customHeight="1">
      <c r="A525" s="27">
        <v>524</v>
      </c>
      <c r="B525" s="27" t="s">
        <v>511</v>
      </c>
      <c r="C525" s="27">
        <v>2008</v>
      </c>
      <c r="D525" s="26" t="s">
        <v>18</v>
      </c>
      <c r="E525" s="26" t="s">
        <v>566</v>
      </c>
      <c r="F525" s="77" t="s">
        <v>175</v>
      </c>
      <c r="G525" s="2" t="s">
        <v>84</v>
      </c>
      <c r="H525" s="2" t="s">
        <v>24</v>
      </c>
      <c r="I525" s="2" t="s">
        <v>548</v>
      </c>
      <c r="J525" s="2" t="s">
        <v>604</v>
      </c>
      <c r="K525" s="2" t="s">
        <v>548</v>
      </c>
      <c r="L525" s="2" t="s">
        <v>548</v>
      </c>
      <c r="M525" s="2" t="s">
        <v>175</v>
      </c>
      <c r="N525" s="2" t="s">
        <v>608</v>
      </c>
      <c r="O525" s="2" t="s">
        <v>43</v>
      </c>
      <c r="P525" s="2" t="s">
        <v>608</v>
      </c>
      <c r="Q525" s="2" t="s">
        <v>42</v>
      </c>
      <c r="R525" s="79" t="s">
        <v>613</v>
      </c>
      <c r="S525" s="90">
        <v>0.8</v>
      </c>
      <c r="T525" s="26">
        <v>10</v>
      </c>
      <c r="U525" s="77">
        <v>1</v>
      </c>
      <c r="V525" s="26">
        <v>0</v>
      </c>
      <c r="W525" s="26">
        <v>1</v>
      </c>
      <c r="X525" s="26">
        <v>1</v>
      </c>
      <c r="Y525" s="26">
        <v>0</v>
      </c>
      <c r="Z525" s="26">
        <v>0</v>
      </c>
      <c r="AA525" s="26">
        <v>0</v>
      </c>
      <c r="AB525" s="26">
        <v>0</v>
      </c>
      <c r="AC525" s="33">
        <v>0.2</v>
      </c>
      <c r="AD525" s="33">
        <v>0.7</v>
      </c>
      <c r="AE525" s="33">
        <v>0.1</v>
      </c>
      <c r="AF525" s="33">
        <v>0</v>
      </c>
      <c r="AG525" s="26" t="s">
        <v>70</v>
      </c>
      <c r="AH525" s="26" t="s">
        <v>70</v>
      </c>
      <c r="AI525" s="26" t="s">
        <v>70</v>
      </c>
      <c r="AJ525" s="26" t="s">
        <v>70</v>
      </c>
      <c r="AK525" s="26" t="s">
        <v>70</v>
      </c>
      <c r="AL525" s="26" t="s">
        <v>70</v>
      </c>
      <c r="AM525" s="35" t="s">
        <v>175</v>
      </c>
      <c r="AN525" s="32" t="s">
        <v>9</v>
      </c>
      <c r="AO525" s="35" t="s">
        <v>175</v>
      </c>
      <c r="AP525" s="35" t="s">
        <v>548</v>
      </c>
      <c r="AQ525" s="35" t="s">
        <v>548</v>
      </c>
      <c r="AR525" s="35" t="s">
        <v>548</v>
      </c>
      <c r="AS525" s="26" t="s">
        <v>175</v>
      </c>
      <c r="AT525" s="26" t="s">
        <v>70</v>
      </c>
      <c r="AU525" s="26" t="s">
        <v>70</v>
      </c>
      <c r="AV525" s="26">
        <v>6</v>
      </c>
    </row>
    <row r="526" spans="1:48" ht="14" customHeight="1">
      <c r="A526" s="27">
        <v>525</v>
      </c>
      <c r="B526" s="27" t="s">
        <v>511</v>
      </c>
      <c r="C526" s="27">
        <v>2008</v>
      </c>
      <c r="D526" s="26" t="s">
        <v>18</v>
      </c>
      <c r="E526" s="26" t="s">
        <v>566</v>
      </c>
      <c r="F526" s="77" t="s">
        <v>175</v>
      </c>
      <c r="G526" s="2" t="s">
        <v>84</v>
      </c>
      <c r="H526" s="2" t="s">
        <v>24</v>
      </c>
      <c r="I526" s="2" t="s">
        <v>548</v>
      </c>
      <c r="J526" s="2" t="s">
        <v>604</v>
      </c>
      <c r="K526" s="2" t="s">
        <v>548</v>
      </c>
      <c r="L526" s="2" t="s">
        <v>548</v>
      </c>
      <c r="M526" s="2" t="s">
        <v>175</v>
      </c>
      <c r="N526" s="2" t="s">
        <v>608</v>
      </c>
      <c r="O526" s="2" t="s">
        <v>43</v>
      </c>
      <c r="P526" s="2" t="s">
        <v>608</v>
      </c>
      <c r="Q526" s="2" t="s">
        <v>42</v>
      </c>
      <c r="R526" s="79" t="s">
        <v>613</v>
      </c>
      <c r="S526" s="90">
        <v>0</v>
      </c>
      <c r="T526" s="26">
        <v>10</v>
      </c>
      <c r="U526" s="77">
        <v>1</v>
      </c>
      <c r="V526" s="26">
        <v>0</v>
      </c>
      <c r="W526" s="26">
        <v>1</v>
      </c>
      <c r="X526" s="26">
        <v>1</v>
      </c>
      <c r="Y526" s="26">
        <v>0</v>
      </c>
      <c r="Z526" s="26">
        <v>0</v>
      </c>
      <c r="AA526" s="26">
        <v>0</v>
      </c>
      <c r="AB526" s="26">
        <v>0</v>
      </c>
      <c r="AC526" s="33">
        <v>1</v>
      </c>
      <c r="AD526" s="33">
        <v>0</v>
      </c>
      <c r="AE526" s="33">
        <v>0</v>
      </c>
      <c r="AF526" s="33">
        <v>0</v>
      </c>
      <c r="AG526" s="26" t="s">
        <v>70</v>
      </c>
      <c r="AH526" s="26" t="s">
        <v>70</v>
      </c>
      <c r="AI526" s="26" t="s">
        <v>70</v>
      </c>
      <c r="AJ526" s="26" t="s">
        <v>70</v>
      </c>
      <c r="AK526" s="26" t="s">
        <v>70</v>
      </c>
      <c r="AL526" s="26" t="s">
        <v>70</v>
      </c>
      <c r="AM526" s="35" t="s">
        <v>175</v>
      </c>
      <c r="AN526" s="32" t="s">
        <v>9</v>
      </c>
      <c r="AO526" s="35" t="s">
        <v>175</v>
      </c>
      <c r="AP526" s="35" t="s">
        <v>548</v>
      </c>
      <c r="AQ526" s="35" t="s">
        <v>548</v>
      </c>
      <c r="AR526" s="35" t="s">
        <v>548</v>
      </c>
      <c r="AS526" s="26" t="s">
        <v>175</v>
      </c>
      <c r="AT526" s="26" t="s">
        <v>70</v>
      </c>
      <c r="AU526" s="26" t="s">
        <v>70</v>
      </c>
      <c r="AV526" s="26">
        <v>6</v>
      </c>
    </row>
    <row r="527" spans="1:48" ht="14" customHeight="1">
      <c r="A527" s="27">
        <v>526</v>
      </c>
      <c r="B527" s="27" t="s">
        <v>512</v>
      </c>
      <c r="C527" s="37">
        <v>2009</v>
      </c>
      <c r="D527" s="26" t="s">
        <v>173</v>
      </c>
      <c r="E527" s="26" t="s">
        <v>565</v>
      </c>
      <c r="F527" s="77" t="s">
        <v>175</v>
      </c>
      <c r="G527" s="2" t="s">
        <v>106</v>
      </c>
      <c r="H527" s="2" t="s">
        <v>30</v>
      </c>
      <c r="I527" s="2" t="s">
        <v>548</v>
      </c>
      <c r="J527" s="2" t="s">
        <v>604</v>
      </c>
      <c r="K527" s="2" t="s">
        <v>548</v>
      </c>
      <c r="L527" s="2" t="s">
        <v>548</v>
      </c>
      <c r="M527" s="2" t="s">
        <v>548</v>
      </c>
      <c r="N527" s="2" t="s">
        <v>70</v>
      </c>
      <c r="O527" s="2" t="s">
        <v>209</v>
      </c>
      <c r="P527" s="2" t="s">
        <v>61</v>
      </c>
      <c r="Q527" s="2" t="s">
        <v>42</v>
      </c>
      <c r="R527" s="102" t="s">
        <v>614</v>
      </c>
      <c r="S527" s="90">
        <f>1/T527</f>
        <v>7.6923076923076927E-2</v>
      </c>
      <c r="T527" s="26">
        <v>13</v>
      </c>
      <c r="U527" s="77">
        <v>1</v>
      </c>
      <c r="V527" s="26">
        <v>0</v>
      </c>
      <c r="W527" s="26">
        <v>1</v>
      </c>
      <c r="X527" s="26">
        <v>1</v>
      </c>
      <c r="Y527" s="26">
        <v>0</v>
      </c>
      <c r="Z527" s="26">
        <v>0</v>
      </c>
      <c r="AA527" s="26">
        <v>0</v>
      </c>
      <c r="AB527" s="26">
        <v>0</v>
      </c>
      <c r="AC527" s="26">
        <f>12/13</f>
        <v>0.92307692307692313</v>
      </c>
      <c r="AD527" s="26">
        <v>0</v>
      </c>
      <c r="AE527" s="26">
        <v>0</v>
      </c>
      <c r="AF527" s="26">
        <f>1/13</f>
        <v>7.6923076923076927E-2</v>
      </c>
      <c r="AG527" s="33">
        <f>200/13</f>
        <v>15.384615384615385</v>
      </c>
      <c r="AH527" s="33" t="s">
        <v>70</v>
      </c>
      <c r="AI527" s="33" t="s">
        <v>70</v>
      </c>
      <c r="AJ527" s="26" t="s">
        <v>174</v>
      </c>
      <c r="AK527" s="33" t="s">
        <v>70</v>
      </c>
      <c r="AL527" s="33" t="s">
        <v>70</v>
      </c>
      <c r="AM527" s="35" t="s">
        <v>548</v>
      </c>
      <c r="AN527" s="26" t="s">
        <v>274</v>
      </c>
      <c r="AO527" s="35" t="s">
        <v>175</v>
      </c>
      <c r="AP527" s="35" t="s">
        <v>548</v>
      </c>
      <c r="AQ527" s="35" t="s">
        <v>548</v>
      </c>
      <c r="AR527" s="35" t="s">
        <v>548</v>
      </c>
      <c r="AS527" s="26" t="s">
        <v>175</v>
      </c>
      <c r="AT527" s="26" t="s">
        <v>70</v>
      </c>
      <c r="AU527" s="26" t="s">
        <v>70</v>
      </c>
      <c r="AV527" s="26">
        <v>4</v>
      </c>
    </row>
    <row r="528" spans="1:48" ht="14" customHeight="1">
      <c r="A528" s="27">
        <v>527</v>
      </c>
      <c r="B528" s="27" t="s">
        <v>513</v>
      </c>
      <c r="C528" s="28">
        <v>2005</v>
      </c>
      <c r="D528" s="26" t="s">
        <v>31</v>
      </c>
      <c r="E528" s="26" t="s">
        <v>566</v>
      </c>
      <c r="F528" s="2" t="s">
        <v>175</v>
      </c>
      <c r="G528" s="2" t="s">
        <v>108</v>
      </c>
      <c r="H528" s="2" t="s">
        <v>30</v>
      </c>
      <c r="I528" s="2" t="s">
        <v>175</v>
      </c>
      <c r="J528" s="2" t="s">
        <v>604</v>
      </c>
      <c r="K528" s="2" t="s">
        <v>175</v>
      </c>
      <c r="L528" s="2" t="s">
        <v>175</v>
      </c>
      <c r="M528" s="2" t="s">
        <v>175</v>
      </c>
      <c r="N528" s="2" t="s">
        <v>210</v>
      </c>
      <c r="O528" s="2" t="s">
        <v>43</v>
      </c>
      <c r="P528" s="2" t="s">
        <v>210</v>
      </c>
      <c r="Q528" s="2" t="s">
        <v>42</v>
      </c>
      <c r="R528" s="79" t="s">
        <v>613</v>
      </c>
      <c r="S528" s="88">
        <v>0.68720000000000003</v>
      </c>
      <c r="T528" s="61">
        <v>243</v>
      </c>
      <c r="U528" s="2">
        <v>1</v>
      </c>
      <c r="V528" s="26">
        <v>0</v>
      </c>
      <c r="W528" s="26">
        <v>1</v>
      </c>
      <c r="X528" s="26">
        <v>1</v>
      </c>
      <c r="Y528" s="26">
        <v>1</v>
      </c>
      <c r="Z528" s="26">
        <v>1</v>
      </c>
      <c r="AA528" s="26">
        <v>0</v>
      </c>
      <c r="AB528" s="26">
        <v>0</v>
      </c>
      <c r="AC528" s="26" t="s">
        <v>70</v>
      </c>
      <c r="AD528" s="26" t="s">
        <v>70</v>
      </c>
      <c r="AE528" s="26" t="s">
        <v>70</v>
      </c>
      <c r="AF528" s="26" t="s">
        <v>70</v>
      </c>
      <c r="AG528" s="33" t="s">
        <v>70</v>
      </c>
      <c r="AH528" s="33" t="s">
        <v>70</v>
      </c>
      <c r="AI528" s="33">
        <v>23</v>
      </c>
      <c r="AJ528" s="26" t="s">
        <v>249</v>
      </c>
      <c r="AK528" s="33" t="s">
        <v>70</v>
      </c>
      <c r="AL528" s="33" t="s">
        <v>70</v>
      </c>
      <c r="AM528" s="61" t="s">
        <v>175</v>
      </c>
      <c r="AN528" s="32" t="s">
        <v>9</v>
      </c>
      <c r="AO528" s="26" t="s">
        <v>548</v>
      </c>
      <c r="AP528" s="26" t="s">
        <v>548</v>
      </c>
      <c r="AQ528" s="26" t="s">
        <v>548</v>
      </c>
      <c r="AR528" s="26" t="s">
        <v>548</v>
      </c>
      <c r="AS528" s="26" t="s">
        <v>175</v>
      </c>
      <c r="AT528" s="26" t="s">
        <v>70</v>
      </c>
      <c r="AU528" s="26" t="s">
        <v>70</v>
      </c>
      <c r="AV528" s="26">
        <v>11</v>
      </c>
    </row>
    <row r="529" spans="1:48" ht="14" customHeight="1">
      <c r="A529" s="27">
        <v>528</v>
      </c>
      <c r="B529" s="98" t="s">
        <v>513</v>
      </c>
      <c r="C529" s="28">
        <v>2005</v>
      </c>
      <c r="D529" s="36" t="s">
        <v>31</v>
      </c>
      <c r="E529" s="26" t="s">
        <v>566</v>
      </c>
      <c r="F529" s="84" t="s">
        <v>175</v>
      </c>
      <c r="G529" s="85" t="s">
        <v>108</v>
      </c>
      <c r="H529" s="2" t="s">
        <v>30</v>
      </c>
      <c r="I529" s="84" t="s">
        <v>175</v>
      </c>
      <c r="J529" s="2" t="s">
        <v>604</v>
      </c>
      <c r="K529" s="84" t="s">
        <v>175</v>
      </c>
      <c r="L529" s="84" t="s">
        <v>175</v>
      </c>
      <c r="M529" s="84" t="s">
        <v>175</v>
      </c>
      <c r="N529" s="2" t="s">
        <v>62</v>
      </c>
      <c r="O529" s="2" t="s">
        <v>43</v>
      </c>
      <c r="P529" s="2" t="s">
        <v>62</v>
      </c>
      <c r="Q529" s="26" t="s">
        <v>606</v>
      </c>
      <c r="R529" s="79" t="s">
        <v>613</v>
      </c>
      <c r="S529" s="90">
        <v>0.17</v>
      </c>
      <c r="T529" s="73">
        <v>76</v>
      </c>
      <c r="U529" s="84">
        <v>1</v>
      </c>
      <c r="V529" s="72">
        <v>0</v>
      </c>
      <c r="W529" s="72">
        <v>1</v>
      </c>
      <c r="X529" s="72">
        <v>1</v>
      </c>
      <c r="Y529" s="73">
        <v>1</v>
      </c>
      <c r="Z529" s="73">
        <v>1</v>
      </c>
      <c r="AA529" s="73">
        <v>0</v>
      </c>
      <c r="AB529" s="73">
        <v>0</v>
      </c>
      <c r="AC529" s="36" t="s">
        <v>70</v>
      </c>
      <c r="AD529" s="36" t="s">
        <v>70</v>
      </c>
      <c r="AE529" s="36" t="s">
        <v>70</v>
      </c>
      <c r="AF529" s="36" t="s">
        <v>70</v>
      </c>
      <c r="AG529" s="45" t="s">
        <v>70</v>
      </c>
      <c r="AH529" s="36" t="s">
        <v>70</v>
      </c>
      <c r="AI529" s="72">
        <v>4</v>
      </c>
      <c r="AJ529" s="73" t="s">
        <v>70</v>
      </c>
      <c r="AK529" s="36" t="s">
        <v>70</v>
      </c>
      <c r="AL529" s="36" t="s">
        <v>70</v>
      </c>
      <c r="AM529" s="73" t="s">
        <v>175</v>
      </c>
      <c r="AN529" s="32" t="s">
        <v>9</v>
      </c>
      <c r="AO529" s="73" t="s">
        <v>548</v>
      </c>
      <c r="AP529" s="73" t="s">
        <v>548</v>
      </c>
      <c r="AQ529" s="73" t="s">
        <v>548</v>
      </c>
      <c r="AR529" s="73" t="s">
        <v>548</v>
      </c>
      <c r="AS529" s="26" t="s">
        <v>175</v>
      </c>
      <c r="AT529" s="26" t="s">
        <v>70</v>
      </c>
      <c r="AU529" s="26" t="s">
        <v>70</v>
      </c>
      <c r="AV529" s="26">
        <v>11</v>
      </c>
    </row>
    <row r="530" spans="1:48" ht="14" customHeight="1">
      <c r="A530" s="27">
        <v>529</v>
      </c>
      <c r="B530" s="27" t="s">
        <v>514</v>
      </c>
      <c r="C530" s="27">
        <v>2008</v>
      </c>
      <c r="D530" s="26" t="s">
        <v>127</v>
      </c>
      <c r="E530" s="26" t="s">
        <v>563</v>
      </c>
      <c r="F530" s="82" t="s">
        <v>175</v>
      </c>
      <c r="G530" s="2" t="s">
        <v>84</v>
      </c>
      <c r="H530" s="2" t="s">
        <v>24</v>
      </c>
      <c r="I530" s="2" t="s">
        <v>175</v>
      </c>
      <c r="J530" s="2" t="s">
        <v>604</v>
      </c>
      <c r="K530" s="2" t="s">
        <v>548</v>
      </c>
      <c r="L530" s="2" t="s">
        <v>548</v>
      </c>
      <c r="M530" s="2" t="s">
        <v>175</v>
      </c>
      <c r="N530" s="2" t="s">
        <v>210</v>
      </c>
      <c r="O530" s="2" t="s">
        <v>43</v>
      </c>
      <c r="P530" s="2" t="s">
        <v>210</v>
      </c>
      <c r="Q530" s="2" t="s">
        <v>42</v>
      </c>
      <c r="R530" s="102" t="s">
        <v>614</v>
      </c>
      <c r="S530" s="88">
        <v>0.55000000000000004</v>
      </c>
      <c r="T530" s="26">
        <v>38</v>
      </c>
      <c r="U530" s="82">
        <v>1</v>
      </c>
      <c r="V530" s="26">
        <v>0</v>
      </c>
      <c r="W530" s="26">
        <v>1</v>
      </c>
      <c r="X530" s="26">
        <v>1</v>
      </c>
      <c r="Y530" s="26">
        <v>1</v>
      </c>
      <c r="Z530" s="26">
        <v>1</v>
      </c>
      <c r="AA530" s="26">
        <v>0</v>
      </c>
      <c r="AB530" s="26">
        <v>0</v>
      </c>
      <c r="AC530" s="26" t="s">
        <v>70</v>
      </c>
      <c r="AD530" s="26" t="s">
        <v>70</v>
      </c>
      <c r="AE530" s="26" t="s">
        <v>70</v>
      </c>
      <c r="AF530" s="26" t="s">
        <v>70</v>
      </c>
      <c r="AG530" s="33">
        <v>10</v>
      </c>
      <c r="AH530" s="26" t="s">
        <v>70</v>
      </c>
      <c r="AI530" s="33">
        <v>1</v>
      </c>
      <c r="AJ530" s="26" t="s">
        <v>129</v>
      </c>
      <c r="AK530" s="26" t="s">
        <v>70</v>
      </c>
      <c r="AL530" s="26" t="s">
        <v>70</v>
      </c>
      <c r="AM530" s="35" t="s">
        <v>175</v>
      </c>
      <c r="AN530" s="26" t="s">
        <v>615</v>
      </c>
      <c r="AO530" s="35" t="s">
        <v>548</v>
      </c>
      <c r="AP530" s="35" t="s">
        <v>548</v>
      </c>
      <c r="AQ530" s="35" t="s">
        <v>548</v>
      </c>
      <c r="AR530" s="35" t="s">
        <v>548</v>
      </c>
      <c r="AS530" s="26" t="s">
        <v>175</v>
      </c>
      <c r="AT530" s="26" t="s">
        <v>70</v>
      </c>
      <c r="AU530" s="26" t="s">
        <v>70</v>
      </c>
      <c r="AV530" s="26">
        <v>9</v>
      </c>
    </row>
    <row r="531" spans="1:48" ht="14" customHeight="1">
      <c r="A531" s="27">
        <v>530</v>
      </c>
      <c r="B531" s="27" t="s">
        <v>514</v>
      </c>
      <c r="C531" s="27">
        <v>2008</v>
      </c>
      <c r="D531" s="26" t="s">
        <v>127</v>
      </c>
      <c r="E531" s="26" t="s">
        <v>563</v>
      </c>
      <c r="F531" s="82" t="s">
        <v>175</v>
      </c>
      <c r="G531" s="2" t="s">
        <v>84</v>
      </c>
      <c r="H531" s="2" t="s">
        <v>24</v>
      </c>
      <c r="I531" s="2" t="s">
        <v>175</v>
      </c>
      <c r="J531" s="2" t="s">
        <v>604</v>
      </c>
      <c r="K531" s="2" t="s">
        <v>548</v>
      </c>
      <c r="L531" s="2" t="s">
        <v>548</v>
      </c>
      <c r="M531" s="2" t="s">
        <v>175</v>
      </c>
      <c r="N531" s="78" t="s">
        <v>70</v>
      </c>
      <c r="O531" s="2" t="s">
        <v>209</v>
      </c>
      <c r="P531" s="2" t="s">
        <v>612</v>
      </c>
      <c r="Q531" s="2" t="s">
        <v>42</v>
      </c>
      <c r="R531" s="102" t="s">
        <v>614</v>
      </c>
      <c r="S531" s="88">
        <v>0.86</v>
      </c>
      <c r="T531" s="26">
        <v>37</v>
      </c>
      <c r="U531" s="82">
        <v>1</v>
      </c>
      <c r="V531" s="26">
        <v>0</v>
      </c>
      <c r="W531" s="26">
        <v>1</v>
      </c>
      <c r="X531" s="26">
        <v>1</v>
      </c>
      <c r="Y531" s="26">
        <v>1</v>
      </c>
      <c r="Z531" s="26">
        <v>1</v>
      </c>
      <c r="AA531" s="26">
        <v>0</v>
      </c>
      <c r="AB531" s="26">
        <v>0</v>
      </c>
      <c r="AC531" s="26" t="s">
        <v>70</v>
      </c>
      <c r="AD531" s="26" t="s">
        <v>70</v>
      </c>
      <c r="AE531" s="26" t="s">
        <v>70</v>
      </c>
      <c r="AF531" s="26" t="s">
        <v>70</v>
      </c>
      <c r="AG531" s="33">
        <v>100</v>
      </c>
      <c r="AH531" s="26" t="s">
        <v>70</v>
      </c>
      <c r="AI531" s="33">
        <v>28.5</v>
      </c>
      <c r="AJ531" s="26" t="s">
        <v>128</v>
      </c>
      <c r="AK531" s="26" t="s">
        <v>70</v>
      </c>
      <c r="AL531" s="26" t="s">
        <v>70</v>
      </c>
      <c r="AM531" s="35" t="s">
        <v>175</v>
      </c>
      <c r="AN531" s="26" t="s">
        <v>615</v>
      </c>
      <c r="AO531" s="35" t="s">
        <v>548</v>
      </c>
      <c r="AP531" s="35" t="s">
        <v>548</v>
      </c>
      <c r="AQ531" s="35" t="s">
        <v>548</v>
      </c>
      <c r="AR531" s="35" t="s">
        <v>548</v>
      </c>
      <c r="AS531" s="26" t="s">
        <v>175</v>
      </c>
      <c r="AT531" s="26" t="s">
        <v>70</v>
      </c>
      <c r="AU531" s="26" t="s">
        <v>70</v>
      </c>
      <c r="AV531" s="26">
        <v>9</v>
      </c>
    </row>
    <row r="532" spans="1:48" ht="14" customHeight="1">
      <c r="A532" s="27">
        <v>531</v>
      </c>
      <c r="B532" s="27" t="s">
        <v>514</v>
      </c>
      <c r="C532" s="27">
        <v>2008</v>
      </c>
      <c r="D532" s="26" t="s">
        <v>127</v>
      </c>
      <c r="E532" s="26" t="s">
        <v>563</v>
      </c>
      <c r="F532" s="82" t="s">
        <v>175</v>
      </c>
      <c r="G532" s="2" t="s">
        <v>84</v>
      </c>
      <c r="H532" s="2" t="s">
        <v>24</v>
      </c>
      <c r="I532" s="2" t="s">
        <v>175</v>
      </c>
      <c r="J532" s="2" t="s">
        <v>604</v>
      </c>
      <c r="K532" s="2" t="s">
        <v>548</v>
      </c>
      <c r="L532" s="2" t="s">
        <v>548</v>
      </c>
      <c r="M532" s="2" t="s">
        <v>175</v>
      </c>
      <c r="N532" s="2" t="s">
        <v>62</v>
      </c>
      <c r="O532" s="2" t="s">
        <v>43</v>
      </c>
      <c r="P532" s="2" t="s">
        <v>62</v>
      </c>
      <c r="Q532" s="26" t="s">
        <v>606</v>
      </c>
      <c r="R532" s="102" t="s">
        <v>614</v>
      </c>
      <c r="S532" s="88">
        <v>0.76</v>
      </c>
      <c r="T532" s="26">
        <v>19</v>
      </c>
      <c r="U532" s="82">
        <v>1</v>
      </c>
      <c r="V532" s="26">
        <v>0</v>
      </c>
      <c r="W532" s="26">
        <v>1</v>
      </c>
      <c r="X532" s="26">
        <v>1</v>
      </c>
      <c r="Y532" s="26">
        <v>1</v>
      </c>
      <c r="Z532" s="26">
        <v>1</v>
      </c>
      <c r="AA532" s="26">
        <v>0</v>
      </c>
      <c r="AB532" s="26">
        <v>0</v>
      </c>
      <c r="AC532" s="26" t="s">
        <v>70</v>
      </c>
      <c r="AD532" s="26" t="s">
        <v>70</v>
      </c>
      <c r="AE532" s="26" t="s">
        <v>70</v>
      </c>
      <c r="AF532" s="26" t="s">
        <v>70</v>
      </c>
      <c r="AG532" s="33">
        <v>70</v>
      </c>
      <c r="AH532" s="26" t="s">
        <v>70</v>
      </c>
      <c r="AI532" s="33">
        <v>12</v>
      </c>
      <c r="AJ532" s="26" t="s">
        <v>130</v>
      </c>
      <c r="AK532" s="26" t="s">
        <v>70</v>
      </c>
      <c r="AL532" s="26" t="s">
        <v>70</v>
      </c>
      <c r="AM532" s="35" t="s">
        <v>175</v>
      </c>
      <c r="AN532" s="32" t="s">
        <v>9</v>
      </c>
      <c r="AO532" s="35" t="s">
        <v>548</v>
      </c>
      <c r="AP532" s="35" t="s">
        <v>548</v>
      </c>
      <c r="AQ532" s="35" t="s">
        <v>548</v>
      </c>
      <c r="AR532" s="35" t="s">
        <v>548</v>
      </c>
      <c r="AS532" s="26" t="s">
        <v>175</v>
      </c>
      <c r="AT532" s="26" t="s">
        <v>70</v>
      </c>
      <c r="AU532" s="26" t="s">
        <v>70</v>
      </c>
      <c r="AV532" s="26">
        <v>9</v>
      </c>
    </row>
    <row r="533" spans="1:48" ht="14" customHeight="1">
      <c r="A533" s="27">
        <v>532</v>
      </c>
      <c r="B533" s="27" t="s">
        <v>515</v>
      </c>
      <c r="C533" s="27">
        <v>1992</v>
      </c>
      <c r="D533" s="26" t="s">
        <v>77</v>
      </c>
      <c r="E533" s="26" t="s">
        <v>563</v>
      </c>
      <c r="F533" s="77" t="s">
        <v>175</v>
      </c>
      <c r="G533" s="2" t="s">
        <v>105</v>
      </c>
      <c r="H533" s="2" t="s">
        <v>24</v>
      </c>
      <c r="I533" s="2" t="s">
        <v>548</v>
      </c>
      <c r="J533" s="2" t="s">
        <v>604</v>
      </c>
      <c r="K533" s="2" t="s">
        <v>548</v>
      </c>
      <c r="L533" s="2" t="s">
        <v>548</v>
      </c>
      <c r="M533" s="2" t="s">
        <v>548</v>
      </c>
      <c r="N533" s="2" t="s">
        <v>70</v>
      </c>
      <c r="O533" s="2" t="s">
        <v>209</v>
      </c>
      <c r="P533" s="2" t="s">
        <v>612</v>
      </c>
      <c r="Q533" s="2" t="s">
        <v>42</v>
      </c>
      <c r="R533" s="102" t="s">
        <v>614</v>
      </c>
      <c r="S533" s="2" t="s">
        <v>70</v>
      </c>
      <c r="T533" s="26">
        <v>452</v>
      </c>
      <c r="U533" s="77">
        <v>1</v>
      </c>
      <c r="V533" s="26">
        <v>0</v>
      </c>
      <c r="W533" s="26">
        <v>0</v>
      </c>
      <c r="X533" s="26">
        <v>0</v>
      </c>
      <c r="Y533" s="26">
        <v>0</v>
      </c>
      <c r="Z533" s="26">
        <v>0</v>
      </c>
      <c r="AA533" s="26">
        <v>0</v>
      </c>
      <c r="AB533" s="26">
        <v>0</v>
      </c>
      <c r="AC533" s="26" t="s">
        <v>70</v>
      </c>
      <c r="AD533" s="26" t="s">
        <v>70</v>
      </c>
      <c r="AE533" s="26" t="s">
        <v>70</v>
      </c>
      <c r="AF533" s="26" t="s">
        <v>70</v>
      </c>
      <c r="AG533" s="33">
        <v>12.878451327433629</v>
      </c>
      <c r="AH533" s="26" t="s">
        <v>70</v>
      </c>
      <c r="AI533" s="26" t="s">
        <v>70</v>
      </c>
      <c r="AJ533" s="26" t="s">
        <v>70</v>
      </c>
      <c r="AK533" s="26" t="s">
        <v>70</v>
      </c>
      <c r="AL533" s="26" t="s">
        <v>70</v>
      </c>
      <c r="AM533" s="35" t="s">
        <v>548</v>
      </c>
      <c r="AN533" s="32" t="s">
        <v>274</v>
      </c>
      <c r="AO533" s="35" t="s">
        <v>548</v>
      </c>
      <c r="AP533" s="35" t="s">
        <v>548</v>
      </c>
      <c r="AQ533" s="35" t="s">
        <v>548</v>
      </c>
      <c r="AR533" s="35" t="s">
        <v>548</v>
      </c>
      <c r="AS533" s="26" t="s">
        <v>175</v>
      </c>
      <c r="AT533" s="26" t="s">
        <v>70</v>
      </c>
      <c r="AU533" s="26" t="s">
        <v>70</v>
      </c>
      <c r="AV533" s="26">
        <v>2</v>
      </c>
    </row>
    <row r="534" spans="1:48" ht="14" customHeight="1">
      <c r="A534" s="27">
        <v>533</v>
      </c>
      <c r="B534" s="27" t="s">
        <v>515</v>
      </c>
      <c r="C534" s="27">
        <v>1992</v>
      </c>
      <c r="D534" s="26" t="s">
        <v>77</v>
      </c>
      <c r="E534" s="26" t="s">
        <v>563</v>
      </c>
      <c r="F534" s="77" t="s">
        <v>175</v>
      </c>
      <c r="G534" s="2" t="s">
        <v>105</v>
      </c>
      <c r="H534" s="2" t="s">
        <v>24</v>
      </c>
      <c r="I534" s="2" t="s">
        <v>548</v>
      </c>
      <c r="J534" s="2" t="s">
        <v>604</v>
      </c>
      <c r="K534" s="2" t="s">
        <v>548</v>
      </c>
      <c r="L534" s="2" t="s">
        <v>548</v>
      </c>
      <c r="M534" s="2" t="s">
        <v>548</v>
      </c>
      <c r="N534" s="2" t="s">
        <v>609</v>
      </c>
      <c r="O534" s="2" t="s">
        <v>60</v>
      </c>
      <c r="P534" s="2" t="s">
        <v>609</v>
      </c>
      <c r="Q534" s="2" t="s">
        <v>42</v>
      </c>
      <c r="R534" s="102" t="s">
        <v>614</v>
      </c>
      <c r="S534" s="2" t="s">
        <v>70</v>
      </c>
      <c r="T534" s="26">
        <v>197</v>
      </c>
      <c r="U534" s="77">
        <v>1</v>
      </c>
      <c r="V534" s="26">
        <v>0</v>
      </c>
      <c r="W534" s="26">
        <v>0</v>
      </c>
      <c r="X534" s="26">
        <v>0</v>
      </c>
      <c r="Y534" s="26">
        <v>0</v>
      </c>
      <c r="Z534" s="26">
        <v>0</v>
      </c>
      <c r="AA534" s="26">
        <v>0</v>
      </c>
      <c r="AB534" s="26">
        <v>0</v>
      </c>
      <c r="AC534" s="26" t="s">
        <v>70</v>
      </c>
      <c r="AD534" s="26" t="s">
        <v>70</v>
      </c>
      <c r="AE534" s="26" t="s">
        <v>70</v>
      </c>
      <c r="AF534" s="26" t="s">
        <v>70</v>
      </c>
      <c r="AG534" s="33">
        <v>475</v>
      </c>
      <c r="AH534" s="26" t="s">
        <v>70</v>
      </c>
      <c r="AI534" s="26" t="s">
        <v>70</v>
      </c>
      <c r="AJ534" s="26" t="s">
        <v>70</v>
      </c>
      <c r="AK534" s="26" t="s">
        <v>70</v>
      </c>
      <c r="AL534" s="26" t="s">
        <v>70</v>
      </c>
      <c r="AM534" s="35" t="s">
        <v>548</v>
      </c>
      <c r="AN534" s="26" t="s">
        <v>274</v>
      </c>
      <c r="AO534" s="35" t="s">
        <v>548</v>
      </c>
      <c r="AP534" s="35" t="s">
        <v>548</v>
      </c>
      <c r="AQ534" s="35" t="s">
        <v>548</v>
      </c>
      <c r="AR534" s="35" t="s">
        <v>548</v>
      </c>
      <c r="AS534" s="26" t="s">
        <v>175</v>
      </c>
      <c r="AT534" s="26" t="s">
        <v>70</v>
      </c>
      <c r="AU534" s="26" t="s">
        <v>70</v>
      </c>
      <c r="AV534" s="26">
        <v>2</v>
      </c>
    </row>
    <row r="535" spans="1:48" ht="14" customHeight="1">
      <c r="A535" s="27">
        <v>534</v>
      </c>
      <c r="B535" s="27" t="s">
        <v>516</v>
      </c>
      <c r="C535" s="28">
        <v>2000</v>
      </c>
      <c r="D535" s="26" t="s">
        <v>152</v>
      </c>
      <c r="E535" s="26" t="s">
        <v>564</v>
      </c>
      <c r="F535" s="2" t="s">
        <v>175</v>
      </c>
      <c r="G535" s="2" t="s">
        <v>106</v>
      </c>
      <c r="H535" s="2" t="s">
        <v>24</v>
      </c>
      <c r="I535" s="2" t="s">
        <v>175</v>
      </c>
      <c r="J535" s="2" t="s">
        <v>604</v>
      </c>
      <c r="K535" s="2" t="s">
        <v>175</v>
      </c>
      <c r="L535" s="2" t="s">
        <v>175</v>
      </c>
      <c r="M535" s="2" t="s">
        <v>175</v>
      </c>
      <c r="N535" s="2" t="s">
        <v>62</v>
      </c>
      <c r="O535" s="2" t="s">
        <v>43</v>
      </c>
      <c r="P535" s="2" t="s">
        <v>62</v>
      </c>
      <c r="Q535" s="26" t="s">
        <v>247</v>
      </c>
      <c r="R535" s="79" t="s">
        <v>613</v>
      </c>
      <c r="S535" s="88">
        <v>0.4</v>
      </c>
      <c r="T535" s="61">
        <v>15</v>
      </c>
      <c r="U535" s="2">
        <v>1</v>
      </c>
      <c r="V535" s="26">
        <v>0</v>
      </c>
      <c r="W535" s="26">
        <v>1</v>
      </c>
      <c r="X535" s="26">
        <v>1</v>
      </c>
      <c r="Y535" s="26">
        <v>1</v>
      </c>
      <c r="Z535" s="26">
        <v>1</v>
      </c>
      <c r="AA535" s="26">
        <v>0</v>
      </c>
      <c r="AB535" s="26">
        <v>0</v>
      </c>
      <c r="AC535" s="26" t="s">
        <v>70</v>
      </c>
      <c r="AD535" s="26" t="s">
        <v>70</v>
      </c>
      <c r="AE535" s="26" t="s">
        <v>70</v>
      </c>
      <c r="AF535" s="26" t="s">
        <v>70</v>
      </c>
      <c r="AG535" s="26" t="s">
        <v>70</v>
      </c>
      <c r="AH535" s="26" t="s">
        <v>70</v>
      </c>
      <c r="AI535" s="26" t="s">
        <v>70</v>
      </c>
      <c r="AJ535" s="26" t="s">
        <v>70</v>
      </c>
      <c r="AK535" s="26" t="s">
        <v>70</v>
      </c>
      <c r="AL535" s="26" t="s">
        <v>70</v>
      </c>
      <c r="AM535" s="61" t="s">
        <v>175</v>
      </c>
      <c r="AN535" s="26" t="s">
        <v>615</v>
      </c>
      <c r="AO535" s="26" t="s">
        <v>548</v>
      </c>
      <c r="AP535" s="26" t="s">
        <v>548</v>
      </c>
      <c r="AQ535" s="26" t="s">
        <v>548</v>
      </c>
      <c r="AR535" s="26" t="s">
        <v>548</v>
      </c>
      <c r="AS535" s="26" t="s">
        <v>175</v>
      </c>
      <c r="AT535" s="26" t="s">
        <v>70</v>
      </c>
      <c r="AU535" s="26" t="s">
        <v>70</v>
      </c>
      <c r="AV535" s="26">
        <v>11</v>
      </c>
    </row>
    <row r="536" spans="1:48" ht="14" customHeight="1">
      <c r="A536" s="27">
        <v>535</v>
      </c>
      <c r="B536" s="27" t="s">
        <v>516</v>
      </c>
      <c r="C536" s="28">
        <v>2000</v>
      </c>
      <c r="D536" s="26" t="s">
        <v>152</v>
      </c>
      <c r="E536" s="26" t="s">
        <v>564</v>
      </c>
      <c r="F536" s="2" t="s">
        <v>175</v>
      </c>
      <c r="G536" s="2" t="s">
        <v>106</v>
      </c>
      <c r="H536" s="2" t="s">
        <v>24</v>
      </c>
      <c r="I536" s="2" t="s">
        <v>175</v>
      </c>
      <c r="J536" s="2" t="s">
        <v>604</v>
      </c>
      <c r="K536" s="2" t="s">
        <v>175</v>
      </c>
      <c r="L536" s="2" t="s">
        <v>175</v>
      </c>
      <c r="M536" s="2" t="s">
        <v>175</v>
      </c>
      <c r="N536" s="2" t="s">
        <v>62</v>
      </c>
      <c r="O536" s="2" t="s">
        <v>43</v>
      </c>
      <c r="P536" s="2" t="s">
        <v>62</v>
      </c>
      <c r="Q536" s="26" t="s">
        <v>247</v>
      </c>
      <c r="R536" s="79" t="s">
        <v>613</v>
      </c>
      <c r="S536" s="88">
        <v>0.72</v>
      </c>
      <c r="T536" s="61">
        <v>26</v>
      </c>
      <c r="U536" s="2">
        <v>1</v>
      </c>
      <c r="V536" s="26">
        <v>0</v>
      </c>
      <c r="W536" s="26">
        <v>1</v>
      </c>
      <c r="X536" s="26">
        <v>1</v>
      </c>
      <c r="Y536" s="26">
        <v>1</v>
      </c>
      <c r="Z536" s="26">
        <v>1</v>
      </c>
      <c r="AA536" s="26">
        <v>0</v>
      </c>
      <c r="AB536" s="26">
        <v>0</v>
      </c>
      <c r="AC536" s="26" t="s">
        <v>70</v>
      </c>
      <c r="AD536" s="26" t="s">
        <v>70</v>
      </c>
      <c r="AE536" s="26" t="s">
        <v>70</v>
      </c>
      <c r="AF536" s="26" t="s">
        <v>70</v>
      </c>
      <c r="AG536" s="26" t="s">
        <v>70</v>
      </c>
      <c r="AH536" s="26" t="s">
        <v>70</v>
      </c>
      <c r="AI536" s="26" t="s">
        <v>70</v>
      </c>
      <c r="AJ536" s="26" t="s">
        <v>70</v>
      </c>
      <c r="AK536" s="26" t="s">
        <v>70</v>
      </c>
      <c r="AL536" s="26" t="s">
        <v>70</v>
      </c>
      <c r="AM536" s="61" t="s">
        <v>175</v>
      </c>
      <c r="AN536" s="26" t="s">
        <v>615</v>
      </c>
      <c r="AO536" s="26" t="s">
        <v>548</v>
      </c>
      <c r="AP536" s="26" t="s">
        <v>548</v>
      </c>
      <c r="AQ536" s="26" t="s">
        <v>548</v>
      </c>
      <c r="AR536" s="26" t="s">
        <v>548</v>
      </c>
      <c r="AS536" s="26" t="s">
        <v>175</v>
      </c>
      <c r="AT536" s="26" t="s">
        <v>70</v>
      </c>
      <c r="AU536" s="26" t="s">
        <v>70</v>
      </c>
      <c r="AV536" s="26">
        <v>11</v>
      </c>
    </row>
    <row r="537" spans="1:48" ht="14" customHeight="1">
      <c r="A537" s="27">
        <v>536</v>
      </c>
      <c r="B537" s="27" t="s">
        <v>516</v>
      </c>
      <c r="C537" s="28">
        <v>2000</v>
      </c>
      <c r="D537" s="26" t="s">
        <v>152</v>
      </c>
      <c r="E537" s="26" t="s">
        <v>564</v>
      </c>
      <c r="F537" s="2" t="s">
        <v>175</v>
      </c>
      <c r="G537" s="2" t="s">
        <v>106</v>
      </c>
      <c r="H537" s="2" t="s">
        <v>24</v>
      </c>
      <c r="I537" s="2" t="s">
        <v>175</v>
      </c>
      <c r="J537" s="2" t="s">
        <v>604</v>
      </c>
      <c r="K537" s="2" t="s">
        <v>175</v>
      </c>
      <c r="L537" s="2" t="s">
        <v>175</v>
      </c>
      <c r="M537" s="2" t="s">
        <v>175</v>
      </c>
      <c r="N537" s="2" t="s">
        <v>608</v>
      </c>
      <c r="O537" s="2" t="s">
        <v>43</v>
      </c>
      <c r="P537" s="2" t="s">
        <v>608</v>
      </c>
      <c r="Q537" s="2" t="s">
        <v>42</v>
      </c>
      <c r="R537" s="79" t="s">
        <v>613</v>
      </c>
      <c r="S537" s="88">
        <v>0.55000000000000004</v>
      </c>
      <c r="T537" s="61">
        <v>11</v>
      </c>
      <c r="U537" s="2">
        <v>1</v>
      </c>
      <c r="V537" s="26">
        <v>0</v>
      </c>
      <c r="W537" s="26">
        <v>1</v>
      </c>
      <c r="X537" s="26">
        <v>1</v>
      </c>
      <c r="Y537" s="26">
        <v>1</v>
      </c>
      <c r="Z537" s="26">
        <v>1</v>
      </c>
      <c r="AA537" s="26">
        <v>0</v>
      </c>
      <c r="AB537" s="26">
        <v>0</v>
      </c>
      <c r="AC537" s="26" t="s">
        <v>70</v>
      </c>
      <c r="AD537" s="26" t="s">
        <v>70</v>
      </c>
      <c r="AE537" s="26" t="s">
        <v>70</v>
      </c>
      <c r="AF537" s="26" t="s">
        <v>70</v>
      </c>
      <c r="AG537" s="26" t="s">
        <v>70</v>
      </c>
      <c r="AH537" s="26" t="s">
        <v>70</v>
      </c>
      <c r="AI537" s="26" t="s">
        <v>70</v>
      </c>
      <c r="AJ537" s="26" t="s">
        <v>70</v>
      </c>
      <c r="AK537" s="26" t="s">
        <v>70</v>
      </c>
      <c r="AL537" s="26" t="s">
        <v>70</v>
      </c>
      <c r="AM537" s="61" t="s">
        <v>175</v>
      </c>
      <c r="AN537" s="26" t="s">
        <v>615</v>
      </c>
      <c r="AO537" s="26" t="s">
        <v>548</v>
      </c>
      <c r="AP537" s="26" t="s">
        <v>548</v>
      </c>
      <c r="AQ537" s="26" t="s">
        <v>548</v>
      </c>
      <c r="AR537" s="26" t="s">
        <v>548</v>
      </c>
      <c r="AS537" s="26" t="s">
        <v>175</v>
      </c>
      <c r="AT537" s="26" t="s">
        <v>70</v>
      </c>
      <c r="AU537" s="26" t="s">
        <v>70</v>
      </c>
      <c r="AV537" s="26">
        <v>11</v>
      </c>
    </row>
    <row r="538" spans="1:48" ht="14" customHeight="1">
      <c r="A538" s="27">
        <v>537</v>
      </c>
      <c r="B538" s="27" t="s">
        <v>517</v>
      </c>
      <c r="C538" s="27">
        <v>1997</v>
      </c>
      <c r="D538" s="26" t="s">
        <v>77</v>
      </c>
      <c r="E538" s="26" t="s">
        <v>563</v>
      </c>
      <c r="F538" s="77" t="s">
        <v>175</v>
      </c>
      <c r="G538" s="2" t="s">
        <v>105</v>
      </c>
      <c r="H538" s="2" t="s">
        <v>24</v>
      </c>
      <c r="I538" s="2" t="s">
        <v>548</v>
      </c>
      <c r="J538" s="2" t="s">
        <v>604</v>
      </c>
      <c r="K538" s="2" t="s">
        <v>548</v>
      </c>
      <c r="L538" s="2" t="s">
        <v>548</v>
      </c>
      <c r="M538" s="2" t="s">
        <v>548</v>
      </c>
      <c r="N538" s="2" t="s">
        <v>210</v>
      </c>
      <c r="O538" s="2" t="s">
        <v>43</v>
      </c>
      <c r="P538" s="2" t="s">
        <v>210</v>
      </c>
      <c r="Q538" s="2" t="s">
        <v>42</v>
      </c>
      <c r="R538" s="102" t="s">
        <v>614</v>
      </c>
      <c r="S538" s="90">
        <v>0.4</v>
      </c>
      <c r="T538" s="26">
        <v>10</v>
      </c>
      <c r="U538" s="77">
        <v>1</v>
      </c>
      <c r="V538" s="26">
        <v>0</v>
      </c>
      <c r="W538" s="26">
        <v>1</v>
      </c>
      <c r="X538" s="26">
        <v>1</v>
      </c>
      <c r="Y538" s="26">
        <v>1</v>
      </c>
      <c r="Z538" s="26">
        <v>0</v>
      </c>
      <c r="AA538" s="26">
        <v>1</v>
      </c>
      <c r="AB538" s="26">
        <v>1</v>
      </c>
      <c r="AC538" s="33">
        <v>0.6</v>
      </c>
      <c r="AD538" s="33">
        <v>0.1</v>
      </c>
      <c r="AE538" s="33">
        <v>0.3</v>
      </c>
      <c r="AF538" s="33">
        <v>0</v>
      </c>
      <c r="AG538" s="33">
        <v>9.3000000000000007</v>
      </c>
      <c r="AH538" s="33" t="s">
        <v>70</v>
      </c>
      <c r="AI538" s="33" t="s">
        <v>70</v>
      </c>
      <c r="AJ538" s="26" t="s">
        <v>145</v>
      </c>
      <c r="AK538" s="33" t="s">
        <v>70</v>
      </c>
      <c r="AL538" s="33" t="s">
        <v>70</v>
      </c>
      <c r="AM538" s="35" t="s">
        <v>175</v>
      </c>
      <c r="AN538" s="26" t="s">
        <v>615</v>
      </c>
      <c r="AO538" s="35" t="s">
        <v>548</v>
      </c>
      <c r="AP538" s="35" t="s">
        <v>548</v>
      </c>
      <c r="AQ538" s="35" t="s">
        <v>175</v>
      </c>
      <c r="AR538" s="35" t="s">
        <v>548</v>
      </c>
      <c r="AS538" s="26" t="s">
        <v>175</v>
      </c>
      <c r="AT538" s="26" t="s">
        <v>70</v>
      </c>
      <c r="AU538" s="26" t="s">
        <v>70</v>
      </c>
      <c r="AV538" s="26">
        <v>8</v>
      </c>
    </row>
    <row r="539" spans="1:48" ht="14" customHeight="1">
      <c r="A539" s="27">
        <v>538</v>
      </c>
      <c r="B539" s="27" t="s">
        <v>517</v>
      </c>
      <c r="C539" s="27">
        <v>1997</v>
      </c>
      <c r="D539" s="26" t="s">
        <v>77</v>
      </c>
      <c r="E539" s="26" t="s">
        <v>563</v>
      </c>
      <c r="F539" s="77" t="s">
        <v>175</v>
      </c>
      <c r="G539" s="2" t="s">
        <v>105</v>
      </c>
      <c r="H539" s="2" t="s">
        <v>24</v>
      </c>
      <c r="I539" s="2" t="s">
        <v>548</v>
      </c>
      <c r="J539" s="2" t="s">
        <v>604</v>
      </c>
      <c r="K539" s="2" t="s">
        <v>548</v>
      </c>
      <c r="L539" s="2" t="s">
        <v>548</v>
      </c>
      <c r="M539" s="2" t="s">
        <v>548</v>
      </c>
      <c r="N539" s="2" t="s">
        <v>609</v>
      </c>
      <c r="O539" s="2" t="s">
        <v>60</v>
      </c>
      <c r="P539" s="2" t="s">
        <v>609</v>
      </c>
      <c r="Q539" s="2" t="s">
        <v>42</v>
      </c>
      <c r="R539" s="102" t="s">
        <v>614</v>
      </c>
      <c r="S539" s="90">
        <f>1-AD539</f>
        <v>0.90909090909090906</v>
      </c>
      <c r="T539" s="26">
        <v>11</v>
      </c>
      <c r="U539" s="77">
        <v>1</v>
      </c>
      <c r="V539" s="26">
        <v>0</v>
      </c>
      <c r="W539" s="26">
        <v>1</v>
      </c>
      <c r="X539" s="26">
        <v>1</v>
      </c>
      <c r="Y539" s="26">
        <v>1</v>
      </c>
      <c r="Z539" s="26">
        <v>0</v>
      </c>
      <c r="AA539" s="26">
        <v>1</v>
      </c>
      <c r="AB539" s="26">
        <v>1</v>
      </c>
      <c r="AC539" s="33">
        <v>0</v>
      </c>
      <c r="AD539" s="33">
        <f>1/11</f>
        <v>9.0909090909090912E-2</v>
      </c>
      <c r="AE539" s="33">
        <f>4/11</f>
        <v>0.36363636363636365</v>
      </c>
      <c r="AF539" s="33">
        <f>6/11</f>
        <v>0.54545454545454541</v>
      </c>
      <c r="AG539" s="33">
        <v>260</v>
      </c>
      <c r="AH539" s="33" t="s">
        <v>70</v>
      </c>
      <c r="AI539" s="33" t="s">
        <v>70</v>
      </c>
      <c r="AJ539" s="26" t="s">
        <v>144</v>
      </c>
      <c r="AK539" s="33" t="s">
        <v>70</v>
      </c>
      <c r="AL539" s="33" t="s">
        <v>70</v>
      </c>
      <c r="AM539" s="35" t="s">
        <v>175</v>
      </c>
      <c r="AN539" s="26" t="s">
        <v>615</v>
      </c>
      <c r="AO539" s="35" t="s">
        <v>548</v>
      </c>
      <c r="AP539" s="35" t="s">
        <v>548</v>
      </c>
      <c r="AQ539" s="35" t="s">
        <v>175</v>
      </c>
      <c r="AR539" s="35" t="s">
        <v>548</v>
      </c>
      <c r="AS539" s="26" t="s">
        <v>175</v>
      </c>
      <c r="AT539" s="26" t="s">
        <v>70</v>
      </c>
      <c r="AU539" s="26" t="s">
        <v>70</v>
      </c>
      <c r="AV539" s="26">
        <v>8</v>
      </c>
    </row>
    <row r="540" spans="1:48" ht="14" customHeight="1">
      <c r="A540" s="27">
        <v>539</v>
      </c>
      <c r="B540" s="27" t="s">
        <v>518</v>
      </c>
      <c r="C540" s="27">
        <v>2013</v>
      </c>
      <c r="D540" s="26" t="s">
        <v>134</v>
      </c>
      <c r="E540" s="26" t="s">
        <v>563</v>
      </c>
      <c r="F540" s="77" t="s">
        <v>175</v>
      </c>
      <c r="G540" s="2" t="s">
        <v>105</v>
      </c>
      <c r="H540" s="2" t="s">
        <v>30</v>
      </c>
      <c r="I540" s="2" t="s">
        <v>548</v>
      </c>
      <c r="J540" s="2" t="s">
        <v>604</v>
      </c>
      <c r="K540" s="2" t="s">
        <v>548</v>
      </c>
      <c r="L540" s="2" t="s">
        <v>548</v>
      </c>
      <c r="M540" s="2" t="s">
        <v>175</v>
      </c>
      <c r="N540" s="2" t="s">
        <v>70</v>
      </c>
      <c r="O540" s="2" t="s">
        <v>209</v>
      </c>
      <c r="P540" s="2" t="s">
        <v>612</v>
      </c>
      <c r="Q540" s="2" t="s">
        <v>42</v>
      </c>
      <c r="R540" s="79" t="s">
        <v>613</v>
      </c>
      <c r="S540" s="2">
        <v>1</v>
      </c>
      <c r="T540" s="26">
        <v>51</v>
      </c>
      <c r="U540" s="77">
        <v>1</v>
      </c>
      <c r="V540" s="26">
        <v>1</v>
      </c>
      <c r="W540" s="26">
        <v>1</v>
      </c>
      <c r="X540" s="26">
        <v>0</v>
      </c>
      <c r="Y540" s="26">
        <v>0</v>
      </c>
      <c r="Z540" s="26">
        <v>0</v>
      </c>
      <c r="AA540" s="26">
        <v>0</v>
      </c>
      <c r="AB540" s="26">
        <v>0</v>
      </c>
      <c r="AC540" s="26" t="s">
        <v>70</v>
      </c>
      <c r="AD540" s="26" t="s">
        <v>70</v>
      </c>
      <c r="AE540" s="26" t="s">
        <v>70</v>
      </c>
      <c r="AF540" s="26" t="s">
        <v>70</v>
      </c>
      <c r="AG540" s="26" t="s">
        <v>70</v>
      </c>
      <c r="AH540" s="26" t="s">
        <v>70</v>
      </c>
      <c r="AI540" s="26" t="s">
        <v>70</v>
      </c>
      <c r="AJ540" s="26" t="s">
        <v>70</v>
      </c>
      <c r="AK540" s="26" t="s">
        <v>70</v>
      </c>
      <c r="AL540" s="26" t="s">
        <v>70</v>
      </c>
      <c r="AM540" s="35" t="s">
        <v>175</v>
      </c>
      <c r="AN540" s="26" t="s">
        <v>274</v>
      </c>
      <c r="AO540" s="35" t="s">
        <v>548</v>
      </c>
      <c r="AP540" s="35" t="s">
        <v>175</v>
      </c>
      <c r="AQ540" s="35" t="s">
        <v>548</v>
      </c>
      <c r="AR540" s="35" t="s">
        <v>548</v>
      </c>
      <c r="AS540" s="26" t="s">
        <v>175</v>
      </c>
      <c r="AT540" s="26" t="s">
        <v>548</v>
      </c>
      <c r="AU540" s="40" t="s">
        <v>548</v>
      </c>
      <c r="AV540" s="26">
        <v>6</v>
      </c>
    </row>
    <row r="541" spans="1:48">
      <c r="A541" s="27">
        <v>540</v>
      </c>
      <c r="B541" s="27" t="s">
        <v>253</v>
      </c>
      <c r="C541" s="26">
        <v>2008</v>
      </c>
      <c r="D541" s="40" t="s">
        <v>252</v>
      </c>
      <c r="E541" s="26" t="s">
        <v>565</v>
      </c>
      <c r="F541" s="77" t="s">
        <v>175</v>
      </c>
      <c r="G541" s="74" t="s">
        <v>149</v>
      </c>
      <c r="H541" s="2" t="s">
        <v>24</v>
      </c>
      <c r="I541" s="2" t="s">
        <v>175</v>
      </c>
      <c r="J541" s="74" t="s">
        <v>604</v>
      </c>
      <c r="K541" s="2" t="s">
        <v>175</v>
      </c>
      <c r="L541" s="2" t="s">
        <v>548</v>
      </c>
      <c r="M541" s="2" t="s">
        <v>175</v>
      </c>
      <c r="N541" s="2" t="s">
        <v>51</v>
      </c>
      <c r="O541" s="2" t="s">
        <v>43</v>
      </c>
      <c r="P541" s="2" t="s">
        <v>51</v>
      </c>
      <c r="Q541" s="2" t="s">
        <v>42</v>
      </c>
      <c r="R541" s="79" t="s">
        <v>613</v>
      </c>
      <c r="S541" s="2">
        <f>81/85</f>
        <v>0.95294117647058818</v>
      </c>
      <c r="T541" s="26">
        <v>85</v>
      </c>
      <c r="U541" s="77">
        <v>1</v>
      </c>
      <c r="V541" s="40">
        <v>1</v>
      </c>
      <c r="W541" s="40">
        <v>1</v>
      </c>
      <c r="X541" s="40">
        <v>1</v>
      </c>
      <c r="Y541" s="40">
        <v>1</v>
      </c>
      <c r="Z541" s="26">
        <v>0</v>
      </c>
      <c r="AA541" s="40">
        <v>1</v>
      </c>
      <c r="AB541" s="40">
        <v>1</v>
      </c>
      <c r="AC541" s="26" t="s">
        <v>70</v>
      </c>
      <c r="AD541" s="26" t="s">
        <v>70</v>
      </c>
      <c r="AE541" s="26" t="s">
        <v>70</v>
      </c>
      <c r="AF541" s="26" t="s">
        <v>70</v>
      </c>
      <c r="AG541" s="26" t="s">
        <v>70</v>
      </c>
      <c r="AH541" s="26" t="s">
        <v>70</v>
      </c>
      <c r="AI541" s="26" t="s">
        <v>70</v>
      </c>
      <c r="AJ541" s="26" t="s">
        <v>70</v>
      </c>
      <c r="AK541" s="26" t="s">
        <v>70</v>
      </c>
      <c r="AL541" s="26" t="s">
        <v>70</v>
      </c>
      <c r="AM541" s="55" t="s">
        <v>548</v>
      </c>
      <c r="AN541" s="26" t="s">
        <v>274</v>
      </c>
      <c r="AO541" s="55" t="s">
        <v>548</v>
      </c>
      <c r="AP541" s="55" t="s">
        <v>548</v>
      </c>
      <c r="AQ541" s="55" t="s">
        <v>548</v>
      </c>
      <c r="AR541" s="55" t="s">
        <v>548</v>
      </c>
      <c r="AS541" s="40" t="s">
        <v>175</v>
      </c>
      <c r="AT541" s="26" t="s">
        <v>70</v>
      </c>
      <c r="AU541" s="26" t="s">
        <v>70</v>
      </c>
      <c r="AV541" s="26">
        <v>11</v>
      </c>
    </row>
    <row r="542" spans="1:48">
      <c r="A542" s="27">
        <v>541</v>
      </c>
      <c r="B542" s="27" t="s">
        <v>519</v>
      </c>
      <c r="C542" s="27">
        <v>2011</v>
      </c>
      <c r="D542" s="26" t="s">
        <v>69</v>
      </c>
      <c r="E542" s="26" t="s">
        <v>565</v>
      </c>
      <c r="F542" s="77" t="s">
        <v>175</v>
      </c>
      <c r="G542" s="2" t="s">
        <v>106</v>
      </c>
      <c r="H542" s="2" t="s">
        <v>24</v>
      </c>
      <c r="I542" s="2" t="s">
        <v>548</v>
      </c>
      <c r="J542" s="2" t="s">
        <v>604</v>
      </c>
      <c r="K542" s="2" t="s">
        <v>548</v>
      </c>
      <c r="L542" s="2" t="s">
        <v>548</v>
      </c>
      <c r="M542" s="2" t="s">
        <v>175</v>
      </c>
      <c r="N542" s="2" t="s">
        <v>608</v>
      </c>
      <c r="O542" s="2" t="s">
        <v>43</v>
      </c>
      <c r="P542" s="2" t="s">
        <v>623</v>
      </c>
      <c r="Q542" s="2" t="s">
        <v>42</v>
      </c>
      <c r="R542" s="79" t="s">
        <v>613</v>
      </c>
      <c r="S542" s="88">
        <v>0.41420000000000001</v>
      </c>
      <c r="T542" s="26">
        <v>66</v>
      </c>
      <c r="U542" s="77">
        <v>1</v>
      </c>
      <c r="V542" s="26">
        <v>0</v>
      </c>
      <c r="W542" s="26">
        <v>1</v>
      </c>
      <c r="X542" s="26">
        <v>0</v>
      </c>
      <c r="Y542" s="26">
        <v>0</v>
      </c>
      <c r="Z542" s="26">
        <v>0</v>
      </c>
      <c r="AA542" s="26">
        <v>0</v>
      </c>
      <c r="AB542" s="26">
        <v>0</v>
      </c>
      <c r="AC542" s="26" t="s">
        <v>70</v>
      </c>
      <c r="AD542" s="26" t="s">
        <v>70</v>
      </c>
      <c r="AE542" s="26" t="s">
        <v>70</v>
      </c>
      <c r="AF542" s="26" t="s">
        <v>70</v>
      </c>
      <c r="AG542" s="26" t="s">
        <v>70</v>
      </c>
      <c r="AH542" s="26" t="s">
        <v>70</v>
      </c>
      <c r="AI542" s="26" t="s">
        <v>70</v>
      </c>
      <c r="AJ542" s="26" t="s">
        <v>70</v>
      </c>
      <c r="AK542" s="26" t="s">
        <v>70</v>
      </c>
      <c r="AL542" s="26" t="s">
        <v>70</v>
      </c>
      <c r="AM542" s="35" t="s">
        <v>175</v>
      </c>
      <c r="AN542" s="32" t="s">
        <v>9</v>
      </c>
      <c r="AO542" s="35" t="s">
        <v>548</v>
      </c>
      <c r="AP542" s="35" t="s">
        <v>548</v>
      </c>
      <c r="AQ542" s="35" t="s">
        <v>548</v>
      </c>
      <c r="AR542" s="35" t="s">
        <v>548</v>
      </c>
      <c r="AS542" s="26" t="s">
        <v>175</v>
      </c>
      <c r="AT542" s="26" t="s">
        <v>70</v>
      </c>
      <c r="AU542" s="26" t="s">
        <v>70</v>
      </c>
      <c r="AV542" s="26">
        <v>5</v>
      </c>
    </row>
    <row r="543" spans="1:48">
      <c r="A543" s="27">
        <v>542</v>
      </c>
      <c r="B543" s="27" t="s">
        <v>519</v>
      </c>
      <c r="C543" s="27">
        <v>2011</v>
      </c>
      <c r="D543" s="26" t="s">
        <v>69</v>
      </c>
      <c r="E543" s="26" t="s">
        <v>565</v>
      </c>
      <c r="F543" s="77" t="s">
        <v>175</v>
      </c>
      <c r="G543" s="2" t="s">
        <v>106</v>
      </c>
      <c r="H543" s="2" t="s">
        <v>24</v>
      </c>
      <c r="I543" s="2" t="s">
        <v>548</v>
      </c>
      <c r="J543" s="2" t="s">
        <v>604</v>
      </c>
      <c r="K543" s="2" t="s">
        <v>548</v>
      </c>
      <c r="L543" s="2" t="s">
        <v>548</v>
      </c>
      <c r="M543" s="2" t="s">
        <v>175</v>
      </c>
      <c r="N543" s="2" t="s">
        <v>608</v>
      </c>
      <c r="O543" s="2" t="s">
        <v>43</v>
      </c>
      <c r="P543" s="2" t="s">
        <v>608</v>
      </c>
      <c r="Q543" s="2" t="s">
        <v>42</v>
      </c>
      <c r="R543" s="79" t="s">
        <v>613</v>
      </c>
      <c r="S543" s="88">
        <v>0.3</v>
      </c>
      <c r="T543" s="26">
        <v>66</v>
      </c>
      <c r="U543" s="77">
        <v>1</v>
      </c>
      <c r="V543" s="26">
        <v>0</v>
      </c>
      <c r="W543" s="26">
        <v>1</v>
      </c>
      <c r="X543" s="26">
        <v>0</v>
      </c>
      <c r="Y543" s="26">
        <v>0</v>
      </c>
      <c r="Z543" s="26">
        <v>0</v>
      </c>
      <c r="AA543" s="26">
        <v>0</v>
      </c>
      <c r="AB543" s="26">
        <v>0</v>
      </c>
      <c r="AC543" s="26" t="s">
        <v>70</v>
      </c>
      <c r="AD543" s="26" t="s">
        <v>70</v>
      </c>
      <c r="AE543" s="26" t="s">
        <v>70</v>
      </c>
      <c r="AF543" s="26" t="s">
        <v>70</v>
      </c>
      <c r="AG543" s="26" t="s">
        <v>70</v>
      </c>
      <c r="AH543" s="26" t="s">
        <v>70</v>
      </c>
      <c r="AI543" s="26" t="s">
        <v>70</v>
      </c>
      <c r="AJ543" s="26" t="s">
        <v>70</v>
      </c>
      <c r="AK543" s="26" t="s">
        <v>70</v>
      </c>
      <c r="AL543" s="26" t="s">
        <v>70</v>
      </c>
      <c r="AM543" s="35" t="s">
        <v>175</v>
      </c>
      <c r="AN543" s="32" t="s">
        <v>9</v>
      </c>
      <c r="AO543" s="35" t="s">
        <v>548</v>
      </c>
      <c r="AP543" s="35" t="s">
        <v>548</v>
      </c>
      <c r="AQ543" s="35" t="s">
        <v>548</v>
      </c>
      <c r="AR543" s="35" t="s">
        <v>548</v>
      </c>
      <c r="AS543" s="26" t="s">
        <v>175</v>
      </c>
      <c r="AT543" s="26" t="s">
        <v>70</v>
      </c>
      <c r="AU543" s="26" t="s">
        <v>70</v>
      </c>
      <c r="AV543" s="26">
        <v>5</v>
      </c>
    </row>
    <row r="544" spans="1:48">
      <c r="A544" s="27">
        <v>543</v>
      </c>
      <c r="B544" s="97" t="s">
        <v>261</v>
      </c>
      <c r="C544" s="64">
        <v>2012</v>
      </c>
      <c r="D544" s="40" t="s">
        <v>252</v>
      </c>
      <c r="E544" s="26" t="s">
        <v>565</v>
      </c>
      <c r="F544" s="77" t="s">
        <v>175</v>
      </c>
      <c r="G544" s="74" t="s">
        <v>149</v>
      </c>
      <c r="H544" s="2" t="s">
        <v>24</v>
      </c>
      <c r="I544" s="2" t="s">
        <v>548</v>
      </c>
      <c r="J544" s="2" t="s">
        <v>604</v>
      </c>
      <c r="K544" s="2" t="s">
        <v>548</v>
      </c>
      <c r="L544" s="74" t="s">
        <v>548</v>
      </c>
      <c r="M544" s="2" t="s">
        <v>175</v>
      </c>
      <c r="N544" s="2" t="s">
        <v>51</v>
      </c>
      <c r="O544" s="2" t="s">
        <v>43</v>
      </c>
      <c r="P544" s="2" t="s">
        <v>51</v>
      </c>
      <c r="Q544" s="2" t="s">
        <v>42</v>
      </c>
      <c r="R544" s="79" t="s">
        <v>613</v>
      </c>
      <c r="S544" s="2">
        <f>1-0.671</f>
        <v>0.32899999999999996</v>
      </c>
      <c r="T544" s="4">
        <f>315+315+296+296+306+306</f>
        <v>1834</v>
      </c>
      <c r="U544" s="77">
        <v>1</v>
      </c>
      <c r="V544" s="26">
        <v>1</v>
      </c>
      <c r="W544" s="26">
        <v>1</v>
      </c>
      <c r="X544" s="26">
        <v>1</v>
      </c>
      <c r="Y544" s="26">
        <v>1</v>
      </c>
      <c r="Z544" s="26">
        <v>0</v>
      </c>
      <c r="AA544" s="26">
        <v>1</v>
      </c>
      <c r="AB544" s="26">
        <v>1</v>
      </c>
      <c r="AC544" s="26" t="s">
        <v>70</v>
      </c>
      <c r="AD544" s="26" t="s">
        <v>70</v>
      </c>
      <c r="AE544" s="26" t="s">
        <v>70</v>
      </c>
      <c r="AF544" s="26" t="s">
        <v>70</v>
      </c>
      <c r="AG544" s="26" t="s">
        <v>70</v>
      </c>
      <c r="AH544" s="26" t="s">
        <v>70</v>
      </c>
      <c r="AI544" s="26" t="s">
        <v>70</v>
      </c>
      <c r="AJ544" s="26" t="s">
        <v>70</v>
      </c>
      <c r="AK544" s="26" t="s">
        <v>70</v>
      </c>
      <c r="AL544" s="26" t="s">
        <v>70</v>
      </c>
      <c r="AM544" s="35" t="s">
        <v>548</v>
      </c>
      <c r="AN544" s="26" t="s">
        <v>274</v>
      </c>
      <c r="AO544" s="35" t="s">
        <v>548</v>
      </c>
      <c r="AP544" s="35" t="s">
        <v>548</v>
      </c>
      <c r="AQ544" s="35" t="s">
        <v>548</v>
      </c>
      <c r="AR544" s="35" t="s">
        <v>548</v>
      </c>
      <c r="AS544" s="26" t="s">
        <v>175</v>
      </c>
      <c r="AT544" s="26" t="s">
        <v>70</v>
      </c>
      <c r="AU544" s="26" t="s">
        <v>70</v>
      </c>
      <c r="AV544" s="26">
        <v>9</v>
      </c>
    </row>
    <row r="545" spans="1:48">
      <c r="A545" s="27">
        <v>544</v>
      </c>
      <c r="B545" s="27" t="s">
        <v>520</v>
      </c>
      <c r="C545" s="28">
        <v>2011</v>
      </c>
      <c r="D545" s="26" t="s">
        <v>49</v>
      </c>
      <c r="E545" s="26" t="s">
        <v>566</v>
      </c>
      <c r="F545" s="2" t="s">
        <v>175</v>
      </c>
      <c r="G545" s="2" t="s">
        <v>84</v>
      </c>
      <c r="H545" s="2" t="s">
        <v>30</v>
      </c>
      <c r="I545" s="2" t="s">
        <v>548</v>
      </c>
      <c r="J545" s="2" t="s">
        <v>604</v>
      </c>
      <c r="K545" s="2" t="s">
        <v>548</v>
      </c>
      <c r="L545" s="2" t="s">
        <v>548</v>
      </c>
      <c r="M545" s="2" t="s">
        <v>548</v>
      </c>
      <c r="N545" s="2" t="s">
        <v>48</v>
      </c>
      <c r="O545" s="2" t="s">
        <v>209</v>
      </c>
      <c r="P545" s="2" t="s">
        <v>48</v>
      </c>
      <c r="Q545" s="2" t="s">
        <v>42</v>
      </c>
      <c r="R545" s="79" t="s">
        <v>613</v>
      </c>
      <c r="S545" s="88">
        <f>2/20</f>
        <v>0.1</v>
      </c>
      <c r="T545" s="61">
        <v>20</v>
      </c>
      <c r="U545" s="2">
        <v>1</v>
      </c>
      <c r="V545" s="26">
        <v>0</v>
      </c>
      <c r="W545" s="26">
        <v>1</v>
      </c>
      <c r="X545" s="26">
        <v>0</v>
      </c>
      <c r="Y545" s="26">
        <v>0</v>
      </c>
      <c r="Z545" s="26">
        <v>0</v>
      </c>
      <c r="AA545" s="26">
        <v>0</v>
      </c>
      <c r="AB545" s="26">
        <v>0</v>
      </c>
      <c r="AC545" s="26" t="s">
        <v>70</v>
      </c>
      <c r="AD545" s="26" t="s">
        <v>70</v>
      </c>
      <c r="AE545" s="26" t="s">
        <v>70</v>
      </c>
      <c r="AF545" s="26" t="s">
        <v>70</v>
      </c>
      <c r="AG545" s="26" t="s">
        <v>70</v>
      </c>
      <c r="AH545" s="26" t="s">
        <v>70</v>
      </c>
      <c r="AI545" s="26" t="s">
        <v>70</v>
      </c>
      <c r="AJ545" s="26" t="s">
        <v>70</v>
      </c>
      <c r="AK545" s="26" t="s">
        <v>70</v>
      </c>
      <c r="AL545" s="26" t="s">
        <v>70</v>
      </c>
      <c r="AM545" s="61" t="s">
        <v>175</v>
      </c>
      <c r="AN545" s="26" t="s">
        <v>274</v>
      </c>
      <c r="AO545" s="26" t="s">
        <v>548</v>
      </c>
      <c r="AP545" s="26" t="s">
        <v>548</v>
      </c>
      <c r="AQ545" s="26" t="s">
        <v>548</v>
      </c>
      <c r="AR545" s="26" t="s">
        <v>548</v>
      </c>
      <c r="AS545" s="26" t="s">
        <v>175</v>
      </c>
      <c r="AT545" s="26" t="s">
        <v>70</v>
      </c>
      <c r="AU545" s="26" t="s">
        <v>70</v>
      </c>
      <c r="AV545" s="26">
        <v>4</v>
      </c>
    </row>
    <row r="546" spans="1:48">
      <c r="A546" s="27">
        <v>545</v>
      </c>
      <c r="B546" s="27" t="s">
        <v>520</v>
      </c>
      <c r="C546" s="28">
        <v>2011</v>
      </c>
      <c r="D546" s="26" t="s">
        <v>49</v>
      </c>
      <c r="E546" s="26" t="s">
        <v>566</v>
      </c>
      <c r="F546" s="2" t="s">
        <v>175</v>
      </c>
      <c r="G546" s="2" t="s">
        <v>84</v>
      </c>
      <c r="H546" s="2" t="s">
        <v>30</v>
      </c>
      <c r="I546" s="2" t="s">
        <v>548</v>
      </c>
      <c r="J546" s="2" t="s">
        <v>604</v>
      </c>
      <c r="K546" s="2" t="s">
        <v>548</v>
      </c>
      <c r="L546" s="2" t="s">
        <v>548</v>
      </c>
      <c r="M546" s="2" t="s">
        <v>548</v>
      </c>
      <c r="N546" s="2" t="s">
        <v>210</v>
      </c>
      <c r="O546" s="2" t="s">
        <v>43</v>
      </c>
      <c r="P546" s="2" t="s">
        <v>210</v>
      </c>
      <c r="Q546" s="2" t="s">
        <v>42</v>
      </c>
      <c r="R546" s="79" t="s">
        <v>613</v>
      </c>
      <c r="S546" s="88">
        <f>22/52</f>
        <v>0.42307692307692307</v>
      </c>
      <c r="T546" s="61">
        <v>42</v>
      </c>
      <c r="U546" s="2">
        <v>1</v>
      </c>
      <c r="V546" s="26">
        <v>0</v>
      </c>
      <c r="W546" s="26">
        <v>1</v>
      </c>
      <c r="X546" s="26">
        <v>0</v>
      </c>
      <c r="Y546" s="26">
        <v>0</v>
      </c>
      <c r="Z546" s="26">
        <v>0</v>
      </c>
      <c r="AA546" s="26">
        <v>0</v>
      </c>
      <c r="AB546" s="26">
        <v>0</v>
      </c>
      <c r="AC546" s="26" t="s">
        <v>70</v>
      </c>
      <c r="AD546" s="26" t="s">
        <v>70</v>
      </c>
      <c r="AE546" s="26" t="s">
        <v>70</v>
      </c>
      <c r="AF546" s="26" t="s">
        <v>70</v>
      </c>
      <c r="AG546" s="26" t="s">
        <v>70</v>
      </c>
      <c r="AH546" s="26" t="s">
        <v>70</v>
      </c>
      <c r="AI546" s="26" t="s">
        <v>70</v>
      </c>
      <c r="AJ546" s="26" t="s">
        <v>70</v>
      </c>
      <c r="AK546" s="26" t="s">
        <v>70</v>
      </c>
      <c r="AL546" s="26" t="s">
        <v>70</v>
      </c>
      <c r="AM546" s="61" t="s">
        <v>175</v>
      </c>
      <c r="AN546" s="26" t="s">
        <v>274</v>
      </c>
      <c r="AO546" s="26" t="s">
        <v>548</v>
      </c>
      <c r="AP546" s="26" t="s">
        <v>548</v>
      </c>
      <c r="AQ546" s="26" t="s">
        <v>548</v>
      </c>
      <c r="AR546" s="26" t="s">
        <v>548</v>
      </c>
      <c r="AS546" s="26" t="s">
        <v>175</v>
      </c>
      <c r="AT546" s="26" t="s">
        <v>70</v>
      </c>
      <c r="AU546" s="26" t="s">
        <v>70</v>
      </c>
      <c r="AV546" s="26">
        <v>4</v>
      </c>
    </row>
    <row r="547" spans="1:48" ht="15" customHeight="1">
      <c r="A547" s="27">
        <v>546</v>
      </c>
      <c r="B547" s="27" t="s">
        <v>520</v>
      </c>
      <c r="C547" s="28">
        <v>2011</v>
      </c>
      <c r="D547" s="26" t="s">
        <v>49</v>
      </c>
      <c r="E547" s="26" t="s">
        <v>566</v>
      </c>
      <c r="F547" s="2" t="s">
        <v>175</v>
      </c>
      <c r="G547" s="2" t="s">
        <v>84</v>
      </c>
      <c r="H547" s="2" t="s">
        <v>30</v>
      </c>
      <c r="I547" s="2" t="s">
        <v>548</v>
      </c>
      <c r="J547" s="2" t="s">
        <v>604</v>
      </c>
      <c r="K547" s="2" t="s">
        <v>548</v>
      </c>
      <c r="L547" s="2" t="s">
        <v>548</v>
      </c>
      <c r="M547" s="2" t="s">
        <v>548</v>
      </c>
      <c r="N547" s="2" t="s">
        <v>62</v>
      </c>
      <c r="O547" s="2" t="s">
        <v>43</v>
      </c>
      <c r="P547" s="2" t="s">
        <v>62</v>
      </c>
      <c r="Q547" s="26" t="s">
        <v>247</v>
      </c>
      <c r="R547" s="79" t="s">
        <v>613</v>
      </c>
      <c r="S547" s="88">
        <f>16/25</f>
        <v>0.64</v>
      </c>
      <c r="T547" s="61">
        <v>25</v>
      </c>
      <c r="U547" s="2">
        <v>1</v>
      </c>
      <c r="V547" s="26">
        <v>0</v>
      </c>
      <c r="W547" s="26">
        <v>1</v>
      </c>
      <c r="X547" s="26">
        <v>0</v>
      </c>
      <c r="Y547" s="26">
        <v>0</v>
      </c>
      <c r="Z547" s="26">
        <v>0</v>
      </c>
      <c r="AA547" s="26">
        <v>0</v>
      </c>
      <c r="AB547" s="26">
        <v>0</v>
      </c>
      <c r="AC547" s="26" t="s">
        <v>70</v>
      </c>
      <c r="AD547" s="26" t="s">
        <v>70</v>
      </c>
      <c r="AE547" s="26" t="s">
        <v>70</v>
      </c>
      <c r="AF547" s="26" t="s">
        <v>70</v>
      </c>
      <c r="AG547" s="26" t="s">
        <v>70</v>
      </c>
      <c r="AH547" s="26" t="s">
        <v>70</v>
      </c>
      <c r="AI547" s="26" t="s">
        <v>70</v>
      </c>
      <c r="AJ547" s="26" t="s">
        <v>70</v>
      </c>
      <c r="AK547" s="26" t="s">
        <v>70</v>
      </c>
      <c r="AL547" s="26" t="s">
        <v>70</v>
      </c>
      <c r="AM547" s="61" t="s">
        <v>175</v>
      </c>
      <c r="AN547" s="26" t="s">
        <v>274</v>
      </c>
      <c r="AO547" s="26" t="s">
        <v>548</v>
      </c>
      <c r="AP547" s="26" t="s">
        <v>548</v>
      </c>
      <c r="AQ547" s="26" t="s">
        <v>548</v>
      </c>
      <c r="AR547" s="26" t="s">
        <v>548</v>
      </c>
      <c r="AS547" s="26" t="s">
        <v>175</v>
      </c>
      <c r="AT547" s="26" t="s">
        <v>70</v>
      </c>
      <c r="AU547" s="26" t="s">
        <v>70</v>
      </c>
      <c r="AV547" s="26">
        <v>4</v>
      </c>
    </row>
    <row r="548" spans="1:48" ht="15" customHeight="1">
      <c r="A548" s="27">
        <v>547</v>
      </c>
      <c r="B548" s="27" t="s">
        <v>521</v>
      </c>
      <c r="C548" s="27">
        <v>2006</v>
      </c>
      <c r="D548" s="26" t="s">
        <v>47</v>
      </c>
      <c r="E548" s="26" t="s">
        <v>566</v>
      </c>
      <c r="F548" s="77" t="s">
        <v>175</v>
      </c>
      <c r="G548" s="2" t="s">
        <v>147</v>
      </c>
      <c r="H548" s="2" t="s">
        <v>275</v>
      </c>
      <c r="I548" s="2" t="s">
        <v>175</v>
      </c>
      <c r="J548" s="2" t="s">
        <v>603</v>
      </c>
      <c r="K548" s="2" t="s">
        <v>548</v>
      </c>
      <c r="L548" s="2" t="s">
        <v>548</v>
      </c>
      <c r="M548" s="2" t="s">
        <v>548</v>
      </c>
      <c r="N548" s="2" t="s">
        <v>209</v>
      </c>
      <c r="O548" s="2" t="s">
        <v>209</v>
      </c>
      <c r="P548" s="2" t="s">
        <v>612</v>
      </c>
      <c r="Q548" s="2" t="s">
        <v>42</v>
      </c>
      <c r="R548" s="79" t="s">
        <v>613</v>
      </c>
      <c r="S548" s="90">
        <f>57/974</f>
        <v>5.8521560574948665E-2</v>
      </c>
      <c r="T548" s="26">
        <v>974</v>
      </c>
      <c r="U548" s="77">
        <v>1</v>
      </c>
      <c r="V548" s="26">
        <v>0</v>
      </c>
      <c r="W548" s="26">
        <v>1</v>
      </c>
      <c r="X548" s="26">
        <v>0</v>
      </c>
      <c r="Y548" s="26">
        <v>0</v>
      </c>
      <c r="Z548" s="26">
        <v>0</v>
      </c>
      <c r="AA548" s="26">
        <v>1</v>
      </c>
      <c r="AB548" s="26">
        <v>1</v>
      </c>
      <c r="AC548" s="26" t="s">
        <v>70</v>
      </c>
      <c r="AD548" s="26" t="s">
        <v>70</v>
      </c>
      <c r="AE548" s="26" t="s">
        <v>70</v>
      </c>
      <c r="AF548" s="26" t="s">
        <v>70</v>
      </c>
      <c r="AG548" s="26" t="s">
        <v>70</v>
      </c>
      <c r="AH548" s="26" t="s">
        <v>70</v>
      </c>
      <c r="AI548" s="26" t="s">
        <v>70</v>
      </c>
      <c r="AJ548" s="26" t="s">
        <v>70</v>
      </c>
      <c r="AK548" s="26" t="s">
        <v>70</v>
      </c>
      <c r="AL548" s="26" t="s">
        <v>70</v>
      </c>
      <c r="AM548" s="35" t="s">
        <v>175</v>
      </c>
      <c r="AN548" s="32" t="s">
        <v>9</v>
      </c>
      <c r="AO548" s="35" t="s">
        <v>175</v>
      </c>
      <c r="AP548" s="35" t="s">
        <v>548</v>
      </c>
      <c r="AQ548" s="35" t="s">
        <v>548</v>
      </c>
      <c r="AR548" s="35" t="s">
        <v>548</v>
      </c>
      <c r="AS548" s="26" t="s">
        <v>175</v>
      </c>
      <c r="AT548" s="26" t="s">
        <v>70</v>
      </c>
      <c r="AU548" s="26" t="s">
        <v>70</v>
      </c>
      <c r="AV548" s="26">
        <v>7</v>
      </c>
    </row>
    <row r="549" spans="1:48">
      <c r="A549" s="27">
        <v>548</v>
      </c>
      <c r="B549" s="27" t="s">
        <v>521</v>
      </c>
      <c r="C549" s="27">
        <v>2006</v>
      </c>
      <c r="D549" s="26" t="s">
        <v>47</v>
      </c>
      <c r="E549" s="26" t="s">
        <v>566</v>
      </c>
      <c r="F549" s="77" t="s">
        <v>175</v>
      </c>
      <c r="G549" s="2" t="s">
        <v>147</v>
      </c>
      <c r="H549" s="2" t="s">
        <v>275</v>
      </c>
      <c r="I549" s="2" t="s">
        <v>175</v>
      </c>
      <c r="J549" s="2" t="s">
        <v>603</v>
      </c>
      <c r="K549" s="2" t="s">
        <v>548</v>
      </c>
      <c r="L549" s="2" t="s">
        <v>548</v>
      </c>
      <c r="M549" s="2" t="s">
        <v>548</v>
      </c>
      <c r="N549" s="2" t="s">
        <v>62</v>
      </c>
      <c r="O549" s="2" t="s">
        <v>43</v>
      </c>
      <c r="P549" s="2" t="s">
        <v>62</v>
      </c>
      <c r="Q549" s="26" t="s">
        <v>275</v>
      </c>
      <c r="R549" s="79" t="s">
        <v>613</v>
      </c>
      <c r="S549" s="90">
        <f>18/T549</f>
        <v>2.3468057366362451E-2</v>
      </c>
      <c r="T549" s="26">
        <v>767</v>
      </c>
      <c r="U549" s="77">
        <v>1</v>
      </c>
      <c r="V549" s="26">
        <v>0</v>
      </c>
      <c r="W549" s="26">
        <v>1</v>
      </c>
      <c r="X549" s="26">
        <v>0</v>
      </c>
      <c r="Y549" s="26">
        <v>0</v>
      </c>
      <c r="Z549" s="26">
        <v>0</v>
      </c>
      <c r="AA549" s="26">
        <v>1</v>
      </c>
      <c r="AB549" s="26">
        <v>1</v>
      </c>
      <c r="AC549" s="26" t="s">
        <v>70</v>
      </c>
      <c r="AD549" s="26" t="s">
        <v>70</v>
      </c>
      <c r="AE549" s="26" t="s">
        <v>70</v>
      </c>
      <c r="AF549" s="26" t="s">
        <v>70</v>
      </c>
      <c r="AG549" s="26" t="s">
        <v>70</v>
      </c>
      <c r="AH549" s="26" t="s">
        <v>70</v>
      </c>
      <c r="AI549" s="26" t="s">
        <v>70</v>
      </c>
      <c r="AJ549" s="26" t="s">
        <v>70</v>
      </c>
      <c r="AK549" s="26" t="s">
        <v>70</v>
      </c>
      <c r="AL549" s="26" t="s">
        <v>70</v>
      </c>
      <c r="AM549" s="35" t="s">
        <v>175</v>
      </c>
      <c r="AN549" s="32" t="s">
        <v>9</v>
      </c>
      <c r="AO549" s="35" t="s">
        <v>175</v>
      </c>
      <c r="AP549" s="35" t="s">
        <v>548</v>
      </c>
      <c r="AQ549" s="35" t="s">
        <v>548</v>
      </c>
      <c r="AR549" s="35" t="s">
        <v>548</v>
      </c>
      <c r="AS549" s="26" t="s">
        <v>175</v>
      </c>
      <c r="AT549" s="26" t="s">
        <v>70</v>
      </c>
      <c r="AU549" s="26" t="s">
        <v>70</v>
      </c>
      <c r="AV549" s="26">
        <v>7</v>
      </c>
    </row>
    <row r="550" spans="1:48">
      <c r="A550" s="27">
        <v>549</v>
      </c>
      <c r="B550" s="27" t="s">
        <v>522</v>
      </c>
      <c r="C550" s="27">
        <v>2010</v>
      </c>
      <c r="D550" s="26" t="s">
        <v>143</v>
      </c>
      <c r="E550" s="26" t="s">
        <v>566</v>
      </c>
      <c r="F550" s="77" t="s">
        <v>175</v>
      </c>
      <c r="G550" s="2" t="s">
        <v>105</v>
      </c>
      <c r="H550" s="2" t="s">
        <v>30</v>
      </c>
      <c r="I550" s="2" t="s">
        <v>175</v>
      </c>
      <c r="J550" s="2" t="s">
        <v>604</v>
      </c>
      <c r="K550" s="2" t="s">
        <v>175</v>
      </c>
      <c r="L550" s="2" t="s">
        <v>175</v>
      </c>
      <c r="M550" s="2" t="s">
        <v>175</v>
      </c>
      <c r="N550" s="2" t="s">
        <v>209</v>
      </c>
      <c r="O550" s="2" t="s">
        <v>209</v>
      </c>
      <c r="P550" s="2" t="s">
        <v>611</v>
      </c>
      <c r="Q550" s="2" t="s">
        <v>42</v>
      </c>
      <c r="R550" s="102" t="s">
        <v>614</v>
      </c>
      <c r="S550" s="88">
        <v>0.28000000000000003</v>
      </c>
      <c r="T550" s="26">
        <v>25</v>
      </c>
      <c r="U550" s="77">
        <v>1</v>
      </c>
      <c r="V550" s="26">
        <v>0</v>
      </c>
      <c r="W550" s="26">
        <v>1</v>
      </c>
      <c r="X550" s="26">
        <v>1</v>
      </c>
      <c r="Y550" s="26">
        <v>1</v>
      </c>
      <c r="Z550" s="26">
        <v>0</v>
      </c>
      <c r="AA550" s="26">
        <v>0</v>
      </c>
      <c r="AB550" s="26">
        <v>0</v>
      </c>
      <c r="AC550" s="26" t="s">
        <v>70</v>
      </c>
      <c r="AD550" s="26" t="s">
        <v>70</v>
      </c>
      <c r="AE550" s="26" t="s">
        <v>70</v>
      </c>
      <c r="AF550" s="26" t="s">
        <v>70</v>
      </c>
      <c r="AG550" s="26" t="s">
        <v>70</v>
      </c>
      <c r="AH550" s="26" t="s">
        <v>70</v>
      </c>
      <c r="AI550" s="26" t="s">
        <v>70</v>
      </c>
      <c r="AJ550" s="26" t="s">
        <v>70</v>
      </c>
      <c r="AK550" s="26" t="s">
        <v>70</v>
      </c>
      <c r="AL550" s="26" t="s">
        <v>70</v>
      </c>
      <c r="AM550" s="35" t="s">
        <v>175</v>
      </c>
      <c r="AN550" s="26" t="s">
        <v>617</v>
      </c>
      <c r="AO550" s="35" t="s">
        <v>548</v>
      </c>
      <c r="AP550" s="35" t="s">
        <v>548</v>
      </c>
      <c r="AQ550" s="35" t="s">
        <v>548</v>
      </c>
      <c r="AR550" s="35" t="s">
        <v>548</v>
      </c>
      <c r="AS550" s="26" t="s">
        <v>175</v>
      </c>
      <c r="AT550" s="26" t="s">
        <v>70</v>
      </c>
      <c r="AU550" s="26" t="s">
        <v>70</v>
      </c>
      <c r="AV550" s="26">
        <v>10</v>
      </c>
    </row>
    <row r="551" spans="1:48">
      <c r="A551" s="27">
        <v>550</v>
      </c>
      <c r="B551" s="27" t="s">
        <v>522</v>
      </c>
      <c r="C551" s="27">
        <v>2010</v>
      </c>
      <c r="D551" s="26" t="s">
        <v>143</v>
      </c>
      <c r="E551" s="26" t="s">
        <v>566</v>
      </c>
      <c r="F551" s="77" t="s">
        <v>175</v>
      </c>
      <c r="G551" s="2" t="s">
        <v>105</v>
      </c>
      <c r="H551" s="2" t="s">
        <v>30</v>
      </c>
      <c r="I551" s="2" t="s">
        <v>175</v>
      </c>
      <c r="J551" s="2" t="s">
        <v>604</v>
      </c>
      <c r="K551" s="2" t="s">
        <v>175</v>
      </c>
      <c r="L551" s="2" t="s">
        <v>175</v>
      </c>
      <c r="M551" s="2" t="s">
        <v>175</v>
      </c>
      <c r="N551" s="2" t="s">
        <v>209</v>
      </c>
      <c r="O551" s="2" t="s">
        <v>209</v>
      </c>
      <c r="P551" s="2" t="s">
        <v>612</v>
      </c>
      <c r="Q551" s="2" t="s">
        <v>42</v>
      </c>
      <c r="R551" s="102" t="s">
        <v>614</v>
      </c>
      <c r="S551" s="88">
        <v>0.188</v>
      </c>
      <c r="T551" s="26">
        <v>154</v>
      </c>
      <c r="U551" s="77">
        <v>1</v>
      </c>
      <c r="V551" s="26">
        <v>0</v>
      </c>
      <c r="W551" s="26">
        <v>1</v>
      </c>
      <c r="X551" s="26">
        <v>1</v>
      </c>
      <c r="Y551" s="26">
        <v>1</v>
      </c>
      <c r="Z551" s="26">
        <v>0</v>
      </c>
      <c r="AA551" s="26">
        <v>0</v>
      </c>
      <c r="AB551" s="26">
        <v>0</v>
      </c>
      <c r="AC551" s="26" t="s">
        <v>70</v>
      </c>
      <c r="AD551" s="26" t="s">
        <v>70</v>
      </c>
      <c r="AE551" s="26" t="s">
        <v>70</v>
      </c>
      <c r="AF551" s="26" t="s">
        <v>70</v>
      </c>
      <c r="AG551" s="26" t="s">
        <v>70</v>
      </c>
      <c r="AH551" s="26" t="s">
        <v>70</v>
      </c>
      <c r="AI551" s="26" t="s">
        <v>70</v>
      </c>
      <c r="AJ551" s="26" t="s">
        <v>70</v>
      </c>
      <c r="AK551" s="26" t="s">
        <v>70</v>
      </c>
      <c r="AL551" s="26" t="s">
        <v>70</v>
      </c>
      <c r="AM551" s="35" t="s">
        <v>175</v>
      </c>
      <c r="AN551" s="26" t="s">
        <v>617</v>
      </c>
      <c r="AO551" s="35" t="s">
        <v>548</v>
      </c>
      <c r="AP551" s="35" t="s">
        <v>548</v>
      </c>
      <c r="AQ551" s="35" t="s">
        <v>548</v>
      </c>
      <c r="AR551" s="35" t="s">
        <v>548</v>
      </c>
      <c r="AS551" s="26" t="s">
        <v>175</v>
      </c>
      <c r="AT551" s="26" t="s">
        <v>70</v>
      </c>
      <c r="AU551" s="26" t="s">
        <v>70</v>
      </c>
      <c r="AV551" s="26">
        <v>10</v>
      </c>
    </row>
    <row r="552" spans="1:48">
      <c r="A552" s="27">
        <v>551</v>
      </c>
      <c r="B552" s="27" t="s">
        <v>522</v>
      </c>
      <c r="C552" s="27">
        <v>2010</v>
      </c>
      <c r="D552" s="26" t="s">
        <v>143</v>
      </c>
      <c r="E552" s="26" t="s">
        <v>566</v>
      </c>
      <c r="F552" s="77" t="s">
        <v>175</v>
      </c>
      <c r="G552" s="2" t="s">
        <v>105</v>
      </c>
      <c r="H552" s="2" t="s">
        <v>30</v>
      </c>
      <c r="I552" s="2" t="s">
        <v>175</v>
      </c>
      <c r="J552" s="2" t="s">
        <v>604</v>
      </c>
      <c r="K552" s="2" t="s">
        <v>175</v>
      </c>
      <c r="L552" s="2" t="s">
        <v>175</v>
      </c>
      <c r="M552" s="2" t="s">
        <v>175</v>
      </c>
      <c r="N552" s="2" t="s">
        <v>62</v>
      </c>
      <c r="O552" s="2" t="s">
        <v>43</v>
      </c>
      <c r="P552" s="2" t="s">
        <v>62</v>
      </c>
      <c r="Q552" s="26" t="s">
        <v>247</v>
      </c>
      <c r="R552" s="102" t="s">
        <v>614</v>
      </c>
      <c r="S552" s="88">
        <v>0</v>
      </c>
      <c r="T552" s="26">
        <v>27</v>
      </c>
      <c r="U552" s="77">
        <v>1</v>
      </c>
      <c r="V552" s="26">
        <v>0</v>
      </c>
      <c r="W552" s="26">
        <v>1</v>
      </c>
      <c r="X552" s="26">
        <v>1</v>
      </c>
      <c r="Y552" s="26">
        <v>1</v>
      </c>
      <c r="Z552" s="26">
        <v>0</v>
      </c>
      <c r="AA552" s="26">
        <v>0</v>
      </c>
      <c r="AB552" s="26">
        <v>0</v>
      </c>
      <c r="AC552" s="26" t="s">
        <v>70</v>
      </c>
      <c r="AD552" s="26" t="s">
        <v>70</v>
      </c>
      <c r="AE552" s="26" t="s">
        <v>70</v>
      </c>
      <c r="AF552" s="26" t="s">
        <v>70</v>
      </c>
      <c r="AG552" s="26" t="s">
        <v>70</v>
      </c>
      <c r="AH552" s="26" t="s">
        <v>70</v>
      </c>
      <c r="AI552" s="26" t="s">
        <v>70</v>
      </c>
      <c r="AJ552" s="26" t="s">
        <v>70</v>
      </c>
      <c r="AK552" s="26" t="s">
        <v>70</v>
      </c>
      <c r="AL552" s="26" t="s">
        <v>70</v>
      </c>
      <c r="AM552" s="35" t="s">
        <v>175</v>
      </c>
      <c r="AN552" s="26" t="s">
        <v>617</v>
      </c>
      <c r="AO552" s="35" t="s">
        <v>548</v>
      </c>
      <c r="AP552" s="35" t="s">
        <v>548</v>
      </c>
      <c r="AQ552" s="35" t="s">
        <v>548</v>
      </c>
      <c r="AR552" s="35" t="s">
        <v>548</v>
      </c>
      <c r="AS552" s="26" t="s">
        <v>175</v>
      </c>
      <c r="AT552" s="26" t="s">
        <v>70</v>
      </c>
      <c r="AU552" s="26" t="s">
        <v>70</v>
      </c>
      <c r="AV552" s="26">
        <v>10</v>
      </c>
    </row>
    <row r="553" spans="1:48">
      <c r="A553" s="27">
        <v>552</v>
      </c>
      <c r="B553" s="27" t="s">
        <v>523</v>
      </c>
      <c r="C553" s="28">
        <v>2009</v>
      </c>
      <c r="D553" s="26" t="s">
        <v>71</v>
      </c>
      <c r="E553" s="26" t="s">
        <v>565</v>
      </c>
      <c r="F553" s="2" t="s">
        <v>175</v>
      </c>
      <c r="G553" s="2" t="s">
        <v>148</v>
      </c>
      <c r="H553" s="2" t="s">
        <v>30</v>
      </c>
      <c r="I553" s="2" t="s">
        <v>548</v>
      </c>
      <c r="J553" s="2" t="s">
        <v>604</v>
      </c>
      <c r="K553" s="2" t="s">
        <v>548</v>
      </c>
      <c r="L553" s="2" t="s">
        <v>548</v>
      </c>
      <c r="M553" s="2" t="s">
        <v>175</v>
      </c>
      <c r="N553" s="2" t="s">
        <v>48</v>
      </c>
      <c r="O553" s="2" t="s">
        <v>209</v>
      </c>
      <c r="P553" s="2" t="s">
        <v>48</v>
      </c>
      <c r="Q553" s="2" t="s">
        <v>42</v>
      </c>
      <c r="R553" s="79" t="s">
        <v>613</v>
      </c>
      <c r="S553" s="88">
        <v>7.0000000000000007E-2</v>
      </c>
      <c r="T553" s="61">
        <v>100</v>
      </c>
      <c r="U553" s="2">
        <v>1</v>
      </c>
      <c r="V553" s="26">
        <v>0</v>
      </c>
      <c r="W553" s="26">
        <v>1</v>
      </c>
      <c r="X553" s="26">
        <v>1</v>
      </c>
      <c r="Y553" s="26">
        <v>0</v>
      </c>
      <c r="Z553" s="26">
        <v>0</v>
      </c>
      <c r="AA553" s="26">
        <v>0</v>
      </c>
      <c r="AB553" s="26">
        <v>0</v>
      </c>
      <c r="AC553" s="26">
        <f>93/100</f>
        <v>0.93</v>
      </c>
      <c r="AD553" s="26">
        <f>1/100</f>
        <v>0.01</v>
      </c>
      <c r="AE553" s="26">
        <v>0.05</v>
      </c>
      <c r="AF553" s="26">
        <v>0.01</v>
      </c>
      <c r="AG553" s="33" t="s">
        <v>70</v>
      </c>
      <c r="AH553" s="33" t="s">
        <v>70</v>
      </c>
      <c r="AI553" s="33" t="s">
        <v>70</v>
      </c>
      <c r="AJ553" s="26" t="s">
        <v>70</v>
      </c>
      <c r="AK553" s="33" t="s">
        <v>70</v>
      </c>
      <c r="AL553" s="33" t="s">
        <v>70</v>
      </c>
      <c r="AM553" s="61" t="s">
        <v>548</v>
      </c>
      <c r="AN553" s="26" t="s">
        <v>274</v>
      </c>
      <c r="AO553" s="26" t="s">
        <v>548</v>
      </c>
      <c r="AP553" s="26" t="s">
        <v>548</v>
      </c>
      <c r="AQ553" s="26" t="s">
        <v>548</v>
      </c>
      <c r="AR553" s="26" t="s">
        <v>548</v>
      </c>
      <c r="AS553" s="26" t="s">
        <v>175</v>
      </c>
      <c r="AT553" s="26" t="s">
        <v>70</v>
      </c>
      <c r="AU553" s="26" t="s">
        <v>70</v>
      </c>
      <c r="AV553" s="26">
        <v>5</v>
      </c>
    </row>
    <row r="554" spans="1:48">
      <c r="A554" s="27">
        <v>553</v>
      </c>
      <c r="B554" s="27" t="s">
        <v>524</v>
      </c>
      <c r="C554" s="27">
        <v>2007</v>
      </c>
      <c r="D554" s="26" t="s">
        <v>69</v>
      </c>
      <c r="E554" s="26" t="s">
        <v>565</v>
      </c>
      <c r="F554" s="77" t="s">
        <v>175</v>
      </c>
      <c r="G554" s="2" t="s">
        <v>106</v>
      </c>
      <c r="H554" s="2" t="s">
        <v>30</v>
      </c>
      <c r="I554" s="2" t="s">
        <v>175</v>
      </c>
      <c r="J554" s="2" t="s">
        <v>604</v>
      </c>
      <c r="K554" s="2" t="s">
        <v>175</v>
      </c>
      <c r="L554" s="2" t="s">
        <v>175</v>
      </c>
      <c r="M554" s="2" t="s">
        <v>175</v>
      </c>
      <c r="N554" s="2" t="s">
        <v>62</v>
      </c>
      <c r="O554" s="2" t="s">
        <v>43</v>
      </c>
      <c r="P554" s="2" t="s">
        <v>62</v>
      </c>
      <c r="Q554" s="26" t="s">
        <v>606</v>
      </c>
      <c r="R554" s="102" t="s">
        <v>614</v>
      </c>
      <c r="S554" s="88">
        <v>5.9394849785407718E-2</v>
      </c>
      <c r="T554" s="26">
        <v>466</v>
      </c>
      <c r="U554" s="77">
        <v>1</v>
      </c>
      <c r="V554" s="26">
        <v>0</v>
      </c>
      <c r="W554" s="26">
        <v>1</v>
      </c>
      <c r="X554" s="26">
        <v>1</v>
      </c>
      <c r="Y554" s="26">
        <v>0</v>
      </c>
      <c r="Z554" s="26">
        <v>0</v>
      </c>
      <c r="AA554" s="26">
        <v>0</v>
      </c>
      <c r="AB554" s="26">
        <v>0</v>
      </c>
      <c r="AC554" s="33" t="s">
        <v>70</v>
      </c>
      <c r="AD554" s="33" t="s">
        <v>70</v>
      </c>
      <c r="AE554" s="33" t="s">
        <v>70</v>
      </c>
      <c r="AF554" s="33" t="s">
        <v>70</v>
      </c>
      <c r="AG554" s="33" t="s">
        <v>70</v>
      </c>
      <c r="AH554" s="33" t="s">
        <v>70</v>
      </c>
      <c r="AI554" s="33" t="s">
        <v>70</v>
      </c>
      <c r="AJ554" s="33" t="s">
        <v>70</v>
      </c>
      <c r="AK554" s="33" t="s">
        <v>70</v>
      </c>
      <c r="AL554" s="33" t="s">
        <v>70</v>
      </c>
      <c r="AM554" s="35" t="s">
        <v>175</v>
      </c>
      <c r="AN554" s="32" t="s">
        <v>9</v>
      </c>
      <c r="AO554" s="35" t="s">
        <v>548</v>
      </c>
      <c r="AP554" s="35" t="s">
        <v>548</v>
      </c>
      <c r="AQ554" s="35" t="s">
        <v>548</v>
      </c>
      <c r="AR554" s="35" t="s">
        <v>175</v>
      </c>
      <c r="AS554" s="26" t="s">
        <v>175</v>
      </c>
      <c r="AT554" s="26" t="s">
        <v>70</v>
      </c>
      <c r="AU554" s="26" t="s">
        <v>70</v>
      </c>
      <c r="AV554" s="26">
        <v>9</v>
      </c>
    </row>
    <row r="555" spans="1:48">
      <c r="A555" s="27">
        <v>554</v>
      </c>
      <c r="B555" s="97" t="s">
        <v>256</v>
      </c>
      <c r="C555" s="64">
        <v>2012</v>
      </c>
      <c r="D555" s="40" t="s">
        <v>252</v>
      </c>
      <c r="E555" s="26" t="s">
        <v>565</v>
      </c>
      <c r="F555" s="77" t="s">
        <v>175</v>
      </c>
      <c r="G555" s="74" t="s">
        <v>149</v>
      </c>
      <c r="H555" s="2" t="s">
        <v>30</v>
      </c>
      <c r="I555" s="2" t="s">
        <v>548</v>
      </c>
      <c r="J555" s="2" t="s">
        <v>604</v>
      </c>
      <c r="K555" s="2" t="s">
        <v>548</v>
      </c>
      <c r="L555" s="74" t="s">
        <v>548</v>
      </c>
      <c r="M555" s="2" t="s">
        <v>175</v>
      </c>
      <c r="N555" s="2" t="s">
        <v>62</v>
      </c>
      <c r="O555" s="2" t="s">
        <v>43</v>
      </c>
      <c r="P555" s="2" t="s">
        <v>62</v>
      </c>
      <c r="Q555" s="26" t="s">
        <v>247</v>
      </c>
      <c r="R555" s="79" t="s">
        <v>613</v>
      </c>
      <c r="S555" s="2">
        <v>0</v>
      </c>
      <c r="T555" s="4">
        <v>110</v>
      </c>
      <c r="U555" s="77">
        <v>1</v>
      </c>
      <c r="V555" s="26">
        <v>1</v>
      </c>
      <c r="W555" s="26">
        <v>1</v>
      </c>
      <c r="X555" s="26">
        <v>1</v>
      </c>
      <c r="Y555" s="26">
        <v>1</v>
      </c>
      <c r="Z555" s="26">
        <v>0</v>
      </c>
      <c r="AA555" s="26">
        <v>1</v>
      </c>
      <c r="AB555" s="26">
        <v>1</v>
      </c>
      <c r="AC555" s="26" t="s">
        <v>70</v>
      </c>
      <c r="AD555" s="26" t="s">
        <v>70</v>
      </c>
      <c r="AE555" s="26" t="s">
        <v>70</v>
      </c>
      <c r="AF555" s="26" t="s">
        <v>70</v>
      </c>
      <c r="AG555" s="26" t="s">
        <v>70</v>
      </c>
      <c r="AH555" s="26" t="s">
        <v>70</v>
      </c>
      <c r="AI555" s="26" t="s">
        <v>70</v>
      </c>
      <c r="AJ555" s="26" t="s">
        <v>70</v>
      </c>
      <c r="AK555" s="26" t="s">
        <v>70</v>
      </c>
      <c r="AL555" s="26" t="s">
        <v>70</v>
      </c>
      <c r="AM555" s="35" t="s">
        <v>548</v>
      </c>
      <c r="AN555" s="26" t="s">
        <v>274</v>
      </c>
      <c r="AO555" s="35" t="s">
        <v>548</v>
      </c>
      <c r="AP555" s="35" t="s">
        <v>548</v>
      </c>
      <c r="AQ555" s="35" t="s">
        <v>548</v>
      </c>
      <c r="AR555" s="35" t="s">
        <v>548</v>
      </c>
      <c r="AS555" s="26" t="s">
        <v>175</v>
      </c>
      <c r="AT555" s="26" t="s">
        <v>70</v>
      </c>
      <c r="AU555" s="26" t="s">
        <v>70</v>
      </c>
      <c r="AV555" s="26">
        <v>9</v>
      </c>
    </row>
    <row r="556" spans="1:48">
      <c r="A556" s="27">
        <v>555</v>
      </c>
      <c r="B556" s="27" t="s">
        <v>525</v>
      </c>
      <c r="C556" s="27">
        <v>2011</v>
      </c>
      <c r="D556" s="26" t="s">
        <v>59</v>
      </c>
      <c r="E556" s="26" t="s">
        <v>563</v>
      </c>
      <c r="F556" s="77" t="s">
        <v>175</v>
      </c>
      <c r="G556" s="2" t="s">
        <v>105</v>
      </c>
      <c r="H556" s="2" t="s">
        <v>30</v>
      </c>
      <c r="I556" s="2" t="s">
        <v>548</v>
      </c>
      <c r="J556" s="2" t="s">
        <v>604</v>
      </c>
      <c r="K556" s="2" t="s">
        <v>548</v>
      </c>
      <c r="L556" s="2" t="s">
        <v>548</v>
      </c>
      <c r="M556" s="2" t="s">
        <v>175</v>
      </c>
      <c r="N556" s="2" t="s">
        <v>62</v>
      </c>
      <c r="O556" s="2" t="s">
        <v>43</v>
      </c>
      <c r="P556" s="2" t="s">
        <v>62</v>
      </c>
      <c r="Q556" s="26" t="s">
        <v>606</v>
      </c>
      <c r="R556" s="102" t="s">
        <v>614</v>
      </c>
      <c r="S556" s="90">
        <v>4.2134831460674156E-2</v>
      </c>
      <c r="T556" s="26">
        <v>89</v>
      </c>
      <c r="U556" s="77">
        <v>1</v>
      </c>
      <c r="V556" s="26">
        <v>0</v>
      </c>
      <c r="W556" s="26">
        <v>1</v>
      </c>
      <c r="X556" s="26">
        <v>1</v>
      </c>
      <c r="Y556" s="26">
        <v>1</v>
      </c>
      <c r="Z556" s="26">
        <v>1</v>
      </c>
      <c r="AA556" s="26">
        <v>1</v>
      </c>
      <c r="AB556" s="26">
        <v>1</v>
      </c>
      <c r="AC556" s="26" t="s">
        <v>70</v>
      </c>
      <c r="AD556" s="26" t="s">
        <v>70</v>
      </c>
      <c r="AE556" s="26" t="s">
        <v>70</v>
      </c>
      <c r="AF556" s="26" t="s">
        <v>70</v>
      </c>
      <c r="AG556" s="26" t="s">
        <v>70</v>
      </c>
      <c r="AH556" s="26" t="s">
        <v>70</v>
      </c>
      <c r="AI556" s="26" t="s">
        <v>70</v>
      </c>
      <c r="AJ556" s="26" t="s">
        <v>70</v>
      </c>
      <c r="AK556" s="26" t="s">
        <v>70</v>
      </c>
      <c r="AL556" s="26" t="s">
        <v>70</v>
      </c>
      <c r="AM556" s="35" t="s">
        <v>175</v>
      </c>
      <c r="AN556" s="26" t="s">
        <v>617</v>
      </c>
      <c r="AO556" s="35" t="s">
        <v>548</v>
      </c>
      <c r="AP556" s="35" t="s">
        <v>548</v>
      </c>
      <c r="AQ556" s="35" t="s">
        <v>548</v>
      </c>
      <c r="AR556" s="35" t="s">
        <v>548</v>
      </c>
      <c r="AS556" s="26" t="s">
        <v>175</v>
      </c>
      <c r="AT556" s="26" t="s">
        <v>70</v>
      </c>
      <c r="AU556" s="26" t="s">
        <v>70</v>
      </c>
      <c r="AV556" s="26">
        <v>10</v>
      </c>
    </row>
    <row r="559" spans="1:48">
      <c r="N559" s="100"/>
    </row>
    <row r="561" spans="19:19">
      <c r="S561" s="101"/>
    </row>
  </sheetData>
  <sortState ref="A2:DE560">
    <sortCondition ref="B2:B560"/>
    <sortCondition ref="C2:C560"/>
    <sortCondition ref="P2:P560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38"/>
  <sheetViews>
    <sheetView workbookViewId="0">
      <selection activeCell="B3" sqref="B3:B438"/>
    </sheetView>
  </sheetViews>
  <sheetFormatPr baseColWidth="10" defaultRowHeight="15" x14ac:dyDescent="0"/>
  <sheetData>
    <row r="3" spans="1:2">
      <c r="A3">
        <v>118</v>
      </c>
      <c r="B3">
        <f>A3+2</f>
        <v>120</v>
      </c>
    </row>
    <row r="4" spans="1:2">
      <c r="A4">
        <v>119</v>
      </c>
      <c r="B4">
        <f t="shared" ref="B4:B67" si="0">A4+2</f>
        <v>121</v>
      </c>
    </row>
    <row r="5" spans="1:2">
      <c r="A5">
        <v>120</v>
      </c>
      <c r="B5">
        <f t="shared" si="0"/>
        <v>122</v>
      </c>
    </row>
    <row r="6" spans="1:2">
      <c r="A6">
        <v>121</v>
      </c>
      <c r="B6">
        <f t="shared" si="0"/>
        <v>123</v>
      </c>
    </row>
    <row r="7" spans="1:2">
      <c r="A7">
        <v>122</v>
      </c>
      <c r="B7">
        <f t="shared" si="0"/>
        <v>124</v>
      </c>
    </row>
    <row r="8" spans="1:2">
      <c r="A8">
        <v>123</v>
      </c>
      <c r="B8">
        <f t="shared" si="0"/>
        <v>125</v>
      </c>
    </row>
    <row r="9" spans="1:2">
      <c r="A9">
        <v>124</v>
      </c>
      <c r="B9">
        <f t="shared" si="0"/>
        <v>126</v>
      </c>
    </row>
    <row r="10" spans="1:2">
      <c r="A10">
        <v>125</v>
      </c>
      <c r="B10">
        <f t="shared" si="0"/>
        <v>127</v>
      </c>
    </row>
    <row r="11" spans="1:2">
      <c r="A11">
        <v>126</v>
      </c>
      <c r="B11">
        <f t="shared" si="0"/>
        <v>128</v>
      </c>
    </row>
    <row r="12" spans="1:2">
      <c r="A12">
        <v>127</v>
      </c>
      <c r="B12">
        <f t="shared" si="0"/>
        <v>129</v>
      </c>
    </row>
    <row r="13" spans="1:2">
      <c r="A13">
        <v>128</v>
      </c>
      <c r="B13">
        <f t="shared" si="0"/>
        <v>130</v>
      </c>
    </row>
    <row r="14" spans="1:2">
      <c r="A14">
        <v>129</v>
      </c>
      <c r="B14">
        <f t="shared" si="0"/>
        <v>131</v>
      </c>
    </row>
    <row r="15" spans="1:2">
      <c r="A15">
        <v>130</v>
      </c>
      <c r="B15">
        <f t="shared" si="0"/>
        <v>132</v>
      </c>
    </row>
    <row r="16" spans="1:2">
      <c r="A16">
        <v>131</v>
      </c>
      <c r="B16">
        <f t="shared" si="0"/>
        <v>133</v>
      </c>
    </row>
    <row r="17" spans="1:2">
      <c r="A17">
        <v>132</v>
      </c>
      <c r="B17">
        <f t="shared" si="0"/>
        <v>134</v>
      </c>
    </row>
    <row r="18" spans="1:2">
      <c r="A18">
        <v>133</v>
      </c>
      <c r="B18">
        <f t="shared" si="0"/>
        <v>135</v>
      </c>
    </row>
    <row r="19" spans="1:2">
      <c r="A19">
        <v>134</v>
      </c>
      <c r="B19">
        <f t="shared" si="0"/>
        <v>136</v>
      </c>
    </row>
    <row r="20" spans="1:2">
      <c r="A20">
        <v>135</v>
      </c>
      <c r="B20">
        <f t="shared" si="0"/>
        <v>137</v>
      </c>
    </row>
    <row r="21" spans="1:2">
      <c r="A21">
        <v>136</v>
      </c>
      <c r="B21">
        <f t="shared" si="0"/>
        <v>138</v>
      </c>
    </row>
    <row r="22" spans="1:2">
      <c r="A22">
        <v>137</v>
      </c>
      <c r="B22">
        <f t="shared" si="0"/>
        <v>139</v>
      </c>
    </row>
    <row r="23" spans="1:2">
      <c r="A23">
        <v>138</v>
      </c>
      <c r="B23">
        <f t="shared" si="0"/>
        <v>140</v>
      </c>
    </row>
    <row r="24" spans="1:2">
      <c r="A24">
        <v>139</v>
      </c>
      <c r="B24">
        <f t="shared" si="0"/>
        <v>141</v>
      </c>
    </row>
    <row r="25" spans="1:2">
      <c r="A25">
        <v>140</v>
      </c>
      <c r="B25">
        <f t="shared" si="0"/>
        <v>142</v>
      </c>
    </row>
    <row r="26" spans="1:2">
      <c r="A26">
        <v>141</v>
      </c>
      <c r="B26">
        <f t="shared" si="0"/>
        <v>143</v>
      </c>
    </row>
    <row r="27" spans="1:2">
      <c r="A27">
        <v>142</v>
      </c>
      <c r="B27">
        <f t="shared" si="0"/>
        <v>144</v>
      </c>
    </row>
    <row r="28" spans="1:2">
      <c r="A28">
        <v>143</v>
      </c>
      <c r="B28">
        <f t="shared" si="0"/>
        <v>145</v>
      </c>
    </row>
    <row r="29" spans="1:2">
      <c r="A29">
        <v>144</v>
      </c>
      <c r="B29">
        <f t="shared" si="0"/>
        <v>146</v>
      </c>
    </row>
    <row r="30" spans="1:2">
      <c r="A30">
        <v>145</v>
      </c>
      <c r="B30">
        <f t="shared" si="0"/>
        <v>147</v>
      </c>
    </row>
    <row r="31" spans="1:2">
      <c r="A31">
        <v>146</v>
      </c>
      <c r="B31">
        <f t="shared" si="0"/>
        <v>148</v>
      </c>
    </row>
    <row r="32" spans="1:2">
      <c r="A32">
        <v>147</v>
      </c>
      <c r="B32">
        <f t="shared" si="0"/>
        <v>149</v>
      </c>
    </row>
    <row r="33" spans="1:2">
      <c r="A33">
        <v>148</v>
      </c>
      <c r="B33">
        <f t="shared" si="0"/>
        <v>150</v>
      </c>
    </row>
    <row r="34" spans="1:2">
      <c r="A34">
        <v>149</v>
      </c>
      <c r="B34">
        <f t="shared" si="0"/>
        <v>151</v>
      </c>
    </row>
    <row r="35" spans="1:2">
      <c r="A35">
        <v>150</v>
      </c>
      <c r="B35">
        <f t="shared" si="0"/>
        <v>152</v>
      </c>
    </row>
    <row r="36" spans="1:2">
      <c r="A36">
        <v>151</v>
      </c>
      <c r="B36">
        <f t="shared" si="0"/>
        <v>153</v>
      </c>
    </row>
    <row r="37" spans="1:2">
      <c r="A37">
        <v>152</v>
      </c>
      <c r="B37">
        <f t="shared" si="0"/>
        <v>154</v>
      </c>
    </row>
    <row r="38" spans="1:2">
      <c r="A38">
        <v>153</v>
      </c>
      <c r="B38">
        <f t="shared" si="0"/>
        <v>155</v>
      </c>
    </row>
    <row r="39" spans="1:2">
      <c r="A39">
        <v>154</v>
      </c>
      <c r="B39">
        <f t="shared" si="0"/>
        <v>156</v>
      </c>
    </row>
    <row r="40" spans="1:2">
      <c r="A40">
        <v>155</v>
      </c>
      <c r="B40">
        <f t="shared" si="0"/>
        <v>157</v>
      </c>
    </row>
    <row r="41" spans="1:2">
      <c r="A41">
        <v>156</v>
      </c>
      <c r="B41">
        <f t="shared" si="0"/>
        <v>158</v>
      </c>
    </row>
    <row r="42" spans="1:2">
      <c r="A42">
        <v>157</v>
      </c>
      <c r="B42">
        <f t="shared" si="0"/>
        <v>159</v>
      </c>
    </row>
    <row r="43" spans="1:2">
      <c r="A43">
        <v>158</v>
      </c>
      <c r="B43">
        <f t="shared" si="0"/>
        <v>160</v>
      </c>
    </row>
    <row r="44" spans="1:2">
      <c r="A44">
        <v>159</v>
      </c>
      <c r="B44">
        <f t="shared" si="0"/>
        <v>161</v>
      </c>
    </row>
    <row r="45" spans="1:2">
      <c r="A45">
        <v>160</v>
      </c>
      <c r="B45">
        <f t="shared" si="0"/>
        <v>162</v>
      </c>
    </row>
    <row r="46" spans="1:2">
      <c r="A46">
        <v>161</v>
      </c>
      <c r="B46">
        <f t="shared" si="0"/>
        <v>163</v>
      </c>
    </row>
    <row r="47" spans="1:2">
      <c r="A47">
        <v>162</v>
      </c>
      <c r="B47">
        <f t="shared" si="0"/>
        <v>164</v>
      </c>
    </row>
    <row r="48" spans="1:2">
      <c r="A48">
        <v>163</v>
      </c>
      <c r="B48">
        <f t="shared" si="0"/>
        <v>165</v>
      </c>
    </row>
    <row r="49" spans="1:2">
      <c r="A49">
        <v>164</v>
      </c>
      <c r="B49">
        <f t="shared" si="0"/>
        <v>166</v>
      </c>
    </row>
    <row r="50" spans="1:2">
      <c r="A50">
        <v>165</v>
      </c>
      <c r="B50">
        <f t="shared" si="0"/>
        <v>167</v>
      </c>
    </row>
    <row r="51" spans="1:2">
      <c r="A51">
        <v>166</v>
      </c>
      <c r="B51">
        <f t="shared" si="0"/>
        <v>168</v>
      </c>
    </row>
    <row r="52" spans="1:2">
      <c r="A52">
        <v>167</v>
      </c>
      <c r="B52">
        <f t="shared" si="0"/>
        <v>169</v>
      </c>
    </row>
    <row r="53" spans="1:2">
      <c r="A53">
        <v>168</v>
      </c>
      <c r="B53">
        <f t="shared" si="0"/>
        <v>170</v>
      </c>
    </row>
    <row r="54" spans="1:2">
      <c r="A54">
        <v>169</v>
      </c>
      <c r="B54">
        <f t="shared" si="0"/>
        <v>171</v>
      </c>
    </row>
    <row r="55" spans="1:2">
      <c r="A55">
        <v>170</v>
      </c>
      <c r="B55">
        <f t="shared" si="0"/>
        <v>172</v>
      </c>
    </row>
    <row r="56" spans="1:2">
      <c r="A56">
        <v>171</v>
      </c>
      <c r="B56">
        <f t="shared" si="0"/>
        <v>173</v>
      </c>
    </row>
    <row r="57" spans="1:2">
      <c r="A57">
        <v>172</v>
      </c>
      <c r="B57">
        <f t="shared" si="0"/>
        <v>174</v>
      </c>
    </row>
    <row r="58" spans="1:2">
      <c r="A58">
        <v>173</v>
      </c>
      <c r="B58">
        <f t="shared" si="0"/>
        <v>175</v>
      </c>
    </row>
    <row r="59" spans="1:2">
      <c r="A59">
        <v>174</v>
      </c>
      <c r="B59">
        <f t="shared" si="0"/>
        <v>176</v>
      </c>
    </row>
    <row r="60" spans="1:2">
      <c r="A60">
        <v>175</v>
      </c>
      <c r="B60">
        <f t="shared" si="0"/>
        <v>177</v>
      </c>
    </row>
    <row r="61" spans="1:2">
      <c r="A61">
        <v>176</v>
      </c>
      <c r="B61">
        <f t="shared" si="0"/>
        <v>178</v>
      </c>
    </row>
    <row r="62" spans="1:2">
      <c r="A62">
        <v>177</v>
      </c>
      <c r="B62">
        <f t="shared" si="0"/>
        <v>179</v>
      </c>
    </row>
    <row r="63" spans="1:2">
      <c r="A63">
        <v>178</v>
      </c>
      <c r="B63">
        <f t="shared" si="0"/>
        <v>180</v>
      </c>
    </row>
    <row r="64" spans="1:2">
      <c r="A64">
        <v>179</v>
      </c>
      <c r="B64">
        <f t="shared" si="0"/>
        <v>181</v>
      </c>
    </row>
    <row r="65" spans="1:2">
      <c r="A65">
        <v>180</v>
      </c>
      <c r="B65">
        <f t="shared" si="0"/>
        <v>182</v>
      </c>
    </row>
    <row r="66" spans="1:2">
      <c r="A66">
        <v>181</v>
      </c>
      <c r="B66">
        <f t="shared" si="0"/>
        <v>183</v>
      </c>
    </row>
    <row r="67" spans="1:2">
      <c r="A67">
        <v>182</v>
      </c>
      <c r="B67">
        <f t="shared" si="0"/>
        <v>184</v>
      </c>
    </row>
    <row r="68" spans="1:2">
      <c r="A68">
        <v>183</v>
      </c>
      <c r="B68">
        <f t="shared" ref="B68:B131" si="1">A68+2</f>
        <v>185</v>
      </c>
    </row>
    <row r="69" spans="1:2">
      <c r="A69">
        <v>184</v>
      </c>
      <c r="B69">
        <f t="shared" si="1"/>
        <v>186</v>
      </c>
    </row>
    <row r="70" spans="1:2">
      <c r="A70">
        <v>185</v>
      </c>
      <c r="B70">
        <f t="shared" si="1"/>
        <v>187</v>
      </c>
    </row>
    <row r="71" spans="1:2">
      <c r="A71">
        <v>186</v>
      </c>
      <c r="B71">
        <f t="shared" si="1"/>
        <v>188</v>
      </c>
    </row>
    <row r="72" spans="1:2">
      <c r="A72">
        <v>187</v>
      </c>
      <c r="B72">
        <f t="shared" si="1"/>
        <v>189</v>
      </c>
    </row>
    <row r="73" spans="1:2">
      <c r="A73">
        <v>188</v>
      </c>
      <c r="B73">
        <f t="shared" si="1"/>
        <v>190</v>
      </c>
    </row>
    <row r="74" spans="1:2">
      <c r="A74">
        <v>189</v>
      </c>
      <c r="B74">
        <f t="shared" si="1"/>
        <v>191</v>
      </c>
    </row>
    <row r="75" spans="1:2">
      <c r="A75">
        <v>190</v>
      </c>
      <c r="B75">
        <f t="shared" si="1"/>
        <v>192</v>
      </c>
    </row>
    <row r="76" spans="1:2">
      <c r="A76">
        <v>191</v>
      </c>
      <c r="B76">
        <f t="shared" si="1"/>
        <v>193</v>
      </c>
    </row>
    <row r="77" spans="1:2">
      <c r="A77">
        <v>192</v>
      </c>
      <c r="B77">
        <f t="shared" si="1"/>
        <v>194</v>
      </c>
    </row>
    <row r="78" spans="1:2">
      <c r="A78">
        <v>193</v>
      </c>
      <c r="B78">
        <f t="shared" si="1"/>
        <v>195</v>
      </c>
    </row>
    <row r="79" spans="1:2">
      <c r="A79">
        <v>194</v>
      </c>
      <c r="B79">
        <f t="shared" si="1"/>
        <v>196</v>
      </c>
    </row>
    <row r="80" spans="1:2">
      <c r="A80">
        <v>195</v>
      </c>
      <c r="B80">
        <f t="shared" si="1"/>
        <v>197</v>
      </c>
    </row>
    <row r="81" spans="1:2">
      <c r="A81">
        <v>196</v>
      </c>
      <c r="B81">
        <f t="shared" si="1"/>
        <v>198</v>
      </c>
    </row>
    <row r="82" spans="1:2">
      <c r="A82">
        <v>197</v>
      </c>
      <c r="B82">
        <f t="shared" si="1"/>
        <v>199</v>
      </c>
    </row>
    <row r="83" spans="1:2">
      <c r="A83">
        <v>198</v>
      </c>
      <c r="B83">
        <f t="shared" si="1"/>
        <v>200</v>
      </c>
    </row>
    <row r="84" spans="1:2">
      <c r="A84">
        <v>199</v>
      </c>
      <c r="B84">
        <f t="shared" si="1"/>
        <v>201</v>
      </c>
    </row>
    <row r="85" spans="1:2">
      <c r="A85">
        <v>200</v>
      </c>
      <c r="B85">
        <f t="shared" si="1"/>
        <v>202</v>
      </c>
    </row>
    <row r="86" spans="1:2">
      <c r="A86">
        <v>201</v>
      </c>
      <c r="B86">
        <f t="shared" si="1"/>
        <v>203</v>
      </c>
    </row>
    <row r="87" spans="1:2">
      <c r="A87">
        <v>202</v>
      </c>
      <c r="B87">
        <f t="shared" si="1"/>
        <v>204</v>
      </c>
    </row>
    <row r="88" spans="1:2">
      <c r="A88">
        <v>203</v>
      </c>
      <c r="B88">
        <f t="shared" si="1"/>
        <v>205</v>
      </c>
    </row>
    <row r="89" spans="1:2">
      <c r="A89">
        <v>204</v>
      </c>
      <c r="B89">
        <f t="shared" si="1"/>
        <v>206</v>
      </c>
    </row>
    <row r="90" spans="1:2">
      <c r="A90">
        <v>205</v>
      </c>
      <c r="B90">
        <f t="shared" si="1"/>
        <v>207</v>
      </c>
    </row>
    <row r="91" spans="1:2">
      <c r="A91">
        <v>206</v>
      </c>
      <c r="B91">
        <f t="shared" si="1"/>
        <v>208</v>
      </c>
    </row>
    <row r="92" spans="1:2">
      <c r="A92">
        <v>207</v>
      </c>
      <c r="B92">
        <f t="shared" si="1"/>
        <v>209</v>
      </c>
    </row>
    <row r="93" spans="1:2">
      <c r="A93">
        <v>208</v>
      </c>
      <c r="B93">
        <f t="shared" si="1"/>
        <v>210</v>
      </c>
    </row>
    <row r="94" spans="1:2">
      <c r="A94">
        <v>209</v>
      </c>
      <c r="B94">
        <f t="shared" si="1"/>
        <v>211</v>
      </c>
    </row>
    <row r="95" spans="1:2">
      <c r="A95">
        <v>210</v>
      </c>
      <c r="B95">
        <f t="shared" si="1"/>
        <v>212</v>
      </c>
    </row>
    <row r="96" spans="1:2">
      <c r="A96">
        <v>211</v>
      </c>
      <c r="B96">
        <f t="shared" si="1"/>
        <v>213</v>
      </c>
    </row>
    <row r="97" spans="1:2">
      <c r="A97">
        <v>212</v>
      </c>
      <c r="B97">
        <f t="shared" si="1"/>
        <v>214</v>
      </c>
    </row>
    <row r="98" spans="1:2">
      <c r="A98">
        <v>213</v>
      </c>
      <c r="B98">
        <f t="shared" si="1"/>
        <v>215</v>
      </c>
    </row>
    <row r="99" spans="1:2">
      <c r="A99">
        <v>214</v>
      </c>
      <c r="B99">
        <f t="shared" si="1"/>
        <v>216</v>
      </c>
    </row>
    <row r="100" spans="1:2">
      <c r="A100">
        <v>215</v>
      </c>
      <c r="B100">
        <f t="shared" si="1"/>
        <v>217</v>
      </c>
    </row>
    <row r="101" spans="1:2">
      <c r="A101">
        <v>216</v>
      </c>
      <c r="B101">
        <f t="shared" si="1"/>
        <v>218</v>
      </c>
    </row>
    <row r="102" spans="1:2">
      <c r="A102">
        <v>217</v>
      </c>
      <c r="B102">
        <f t="shared" si="1"/>
        <v>219</v>
      </c>
    </row>
    <row r="103" spans="1:2">
      <c r="A103">
        <v>218</v>
      </c>
      <c r="B103">
        <f t="shared" si="1"/>
        <v>220</v>
      </c>
    </row>
    <row r="104" spans="1:2">
      <c r="A104">
        <v>219</v>
      </c>
      <c r="B104">
        <f t="shared" si="1"/>
        <v>221</v>
      </c>
    </row>
    <row r="105" spans="1:2">
      <c r="A105">
        <v>220</v>
      </c>
      <c r="B105">
        <f t="shared" si="1"/>
        <v>222</v>
      </c>
    </row>
    <row r="106" spans="1:2">
      <c r="A106">
        <v>221</v>
      </c>
      <c r="B106">
        <f t="shared" si="1"/>
        <v>223</v>
      </c>
    </row>
    <row r="107" spans="1:2">
      <c r="A107">
        <v>222</v>
      </c>
      <c r="B107">
        <f t="shared" si="1"/>
        <v>224</v>
      </c>
    </row>
    <row r="108" spans="1:2">
      <c r="A108">
        <v>223</v>
      </c>
      <c r="B108">
        <f t="shared" si="1"/>
        <v>225</v>
      </c>
    </row>
    <row r="109" spans="1:2">
      <c r="A109">
        <v>224</v>
      </c>
      <c r="B109">
        <f t="shared" si="1"/>
        <v>226</v>
      </c>
    </row>
    <row r="110" spans="1:2">
      <c r="A110">
        <v>225</v>
      </c>
      <c r="B110">
        <f t="shared" si="1"/>
        <v>227</v>
      </c>
    </row>
    <row r="111" spans="1:2">
      <c r="A111">
        <v>226</v>
      </c>
      <c r="B111">
        <f t="shared" si="1"/>
        <v>228</v>
      </c>
    </row>
    <row r="112" spans="1:2">
      <c r="A112">
        <v>227</v>
      </c>
      <c r="B112">
        <f t="shared" si="1"/>
        <v>229</v>
      </c>
    </row>
    <row r="113" spans="1:2">
      <c r="A113">
        <v>228</v>
      </c>
      <c r="B113">
        <f t="shared" si="1"/>
        <v>230</v>
      </c>
    </row>
    <row r="114" spans="1:2">
      <c r="A114">
        <v>229</v>
      </c>
      <c r="B114">
        <f t="shared" si="1"/>
        <v>231</v>
      </c>
    </row>
    <row r="115" spans="1:2">
      <c r="A115">
        <v>230</v>
      </c>
      <c r="B115">
        <f t="shared" si="1"/>
        <v>232</v>
      </c>
    </row>
    <row r="116" spans="1:2">
      <c r="A116">
        <v>231</v>
      </c>
      <c r="B116">
        <f t="shared" si="1"/>
        <v>233</v>
      </c>
    </row>
    <row r="117" spans="1:2">
      <c r="A117">
        <v>232</v>
      </c>
      <c r="B117">
        <f t="shared" si="1"/>
        <v>234</v>
      </c>
    </row>
    <row r="118" spans="1:2">
      <c r="A118">
        <v>233</v>
      </c>
      <c r="B118">
        <f t="shared" si="1"/>
        <v>235</v>
      </c>
    </row>
    <row r="119" spans="1:2">
      <c r="A119">
        <v>234</v>
      </c>
      <c r="B119">
        <f t="shared" si="1"/>
        <v>236</v>
      </c>
    </row>
    <row r="120" spans="1:2">
      <c r="A120">
        <v>235</v>
      </c>
      <c r="B120">
        <f t="shared" si="1"/>
        <v>237</v>
      </c>
    </row>
    <row r="121" spans="1:2">
      <c r="A121">
        <v>236</v>
      </c>
      <c r="B121">
        <f t="shared" si="1"/>
        <v>238</v>
      </c>
    </row>
    <row r="122" spans="1:2">
      <c r="A122">
        <v>237</v>
      </c>
      <c r="B122">
        <f t="shared" si="1"/>
        <v>239</v>
      </c>
    </row>
    <row r="123" spans="1:2">
      <c r="A123">
        <v>238</v>
      </c>
      <c r="B123">
        <f t="shared" si="1"/>
        <v>240</v>
      </c>
    </row>
    <row r="124" spans="1:2">
      <c r="A124">
        <v>239</v>
      </c>
      <c r="B124">
        <f t="shared" si="1"/>
        <v>241</v>
      </c>
    </row>
    <row r="125" spans="1:2">
      <c r="A125">
        <v>240</v>
      </c>
      <c r="B125">
        <f t="shared" si="1"/>
        <v>242</v>
      </c>
    </row>
    <row r="126" spans="1:2">
      <c r="A126">
        <v>241</v>
      </c>
      <c r="B126">
        <f t="shared" si="1"/>
        <v>243</v>
      </c>
    </row>
    <row r="127" spans="1:2">
      <c r="A127">
        <v>242</v>
      </c>
      <c r="B127">
        <f t="shared" si="1"/>
        <v>244</v>
      </c>
    </row>
    <row r="128" spans="1:2">
      <c r="A128">
        <v>243</v>
      </c>
      <c r="B128">
        <f t="shared" si="1"/>
        <v>245</v>
      </c>
    </row>
    <row r="129" spans="1:2">
      <c r="A129">
        <v>244</v>
      </c>
      <c r="B129">
        <f t="shared" si="1"/>
        <v>246</v>
      </c>
    </row>
    <row r="130" spans="1:2">
      <c r="A130">
        <v>245</v>
      </c>
      <c r="B130">
        <f t="shared" si="1"/>
        <v>247</v>
      </c>
    </row>
    <row r="131" spans="1:2">
      <c r="A131">
        <v>246</v>
      </c>
      <c r="B131">
        <f t="shared" si="1"/>
        <v>248</v>
      </c>
    </row>
    <row r="132" spans="1:2">
      <c r="A132">
        <v>247</v>
      </c>
      <c r="B132">
        <f t="shared" ref="B132:B195" si="2">A132+2</f>
        <v>249</v>
      </c>
    </row>
    <row r="133" spans="1:2">
      <c r="A133">
        <v>248</v>
      </c>
      <c r="B133">
        <f t="shared" si="2"/>
        <v>250</v>
      </c>
    </row>
    <row r="134" spans="1:2">
      <c r="A134">
        <v>249</v>
      </c>
      <c r="B134">
        <f t="shared" si="2"/>
        <v>251</v>
      </c>
    </row>
    <row r="135" spans="1:2">
      <c r="A135">
        <v>250</v>
      </c>
      <c r="B135">
        <f t="shared" si="2"/>
        <v>252</v>
      </c>
    </row>
    <row r="136" spans="1:2">
      <c r="A136">
        <v>251</v>
      </c>
      <c r="B136">
        <f t="shared" si="2"/>
        <v>253</v>
      </c>
    </row>
    <row r="137" spans="1:2">
      <c r="A137">
        <v>252</v>
      </c>
      <c r="B137">
        <f t="shared" si="2"/>
        <v>254</v>
      </c>
    </row>
    <row r="138" spans="1:2">
      <c r="A138">
        <v>253</v>
      </c>
      <c r="B138">
        <f t="shared" si="2"/>
        <v>255</v>
      </c>
    </row>
    <row r="139" spans="1:2">
      <c r="A139">
        <v>254</v>
      </c>
      <c r="B139">
        <f t="shared" si="2"/>
        <v>256</v>
      </c>
    </row>
    <row r="140" spans="1:2">
      <c r="A140">
        <v>255</v>
      </c>
      <c r="B140">
        <f t="shared" si="2"/>
        <v>257</v>
      </c>
    </row>
    <row r="141" spans="1:2">
      <c r="A141">
        <v>256</v>
      </c>
      <c r="B141">
        <f t="shared" si="2"/>
        <v>258</v>
      </c>
    </row>
    <row r="142" spans="1:2">
      <c r="A142">
        <v>257</v>
      </c>
      <c r="B142">
        <f t="shared" si="2"/>
        <v>259</v>
      </c>
    </row>
    <row r="143" spans="1:2">
      <c r="A143">
        <v>258</v>
      </c>
      <c r="B143">
        <f t="shared" si="2"/>
        <v>260</v>
      </c>
    </row>
    <row r="144" spans="1:2">
      <c r="A144">
        <v>259</v>
      </c>
      <c r="B144">
        <f t="shared" si="2"/>
        <v>261</v>
      </c>
    </row>
    <row r="145" spans="1:2">
      <c r="A145">
        <v>260</v>
      </c>
      <c r="B145">
        <f t="shared" si="2"/>
        <v>262</v>
      </c>
    </row>
    <row r="146" spans="1:2">
      <c r="A146">
        <v>261</v>
      </c>
      <c r="B146">
        <f t="shared" si="2"/>
        <v>263</v>
      </c>
    </row>
    <row r="147" spans="1:2">
      <c r="A147">
        <v>262</v>
      </c>
      <c r="B147">
        <f t="shared" si="2"/>
        <v>264</v>
      </c>
    </row>
    <row r="148" spans="1:2">
      <c r="A148">
        <v>263</v>
      </c>
      <c r="B148">
        <f t="shared" si="2"/>
        <v>265</v>
      </c>
    </row>
    <row r="149" spans="1:2">
      <c r="A149">
        <v>264</v>
      </c>
      <c r="B149">
        <f t="shared" si="2"/>
        <v>266</v>
      </c>
    </row>
    <row r="150" spans="1:2">
      <c r="A150">
        <v>265</v>
      </c>
      <c r="B150">
        <f t="shared" si="2"/>
        <v>267</v>
      </c>
    </row>
    <row r="151" spans="1:2">
      <c r="A151">
        <v>266</v>
      </c>
      <c r="B151">
        <f t="shared" si="2"/>
        <v>268</v>
      </c>
    </row>
    <row r="152" spans="1:2">
      <c r="A152">
        <v>267</v>
      </c>
      <c r="B152">
        <f t="shared" si="2"/>
        <v>269</v>
      </c>
    </row>
    <row r="153" spans="1:2">
      <c r="A153">
        <v>268</v>
      </c>
      <c r="B153">
        <f t="shared" si="2"/>
        <v>270</v>
      </c>
    </row>
    <row r="154" spans="1:2">
      <c r="A154">
        <v>269</v>
      </c>
      <c r="B154">
        <f t="shared" si="2"/>
        <v>271</v>
      </c>
    </row>
    <row r="155" spans="1:2">
      <c r="A155">
        <v>270</v>
      </c>
      <c r="B155">
        <f t="shared" si="2"/>
        <v>272</v>
      </c>
    </row>
    <row r="156" spans="1:2">
      <c r="A156">
        <v>271</v>
      </c>
      <c r="B156">
        <f t="shared" si="2"/>
        <v>273</v>
      </c>
    </row>
    <row r="157" spans="1:2">
      <c r="A157">
        <v>272</v>
      </c>
      <c r="B157">
        <f t="shared" si="2"/>
        <v>274</v>
      </c>
    </row>
    <row r="158" spans="1:2">
      <c r="A158">
        <v>273</v>
      </c>
      <c r="B158">
        <f t="shared" si="2"/>
        <v>275</v>
      </c>
    </row>
    <row r="159" spans="1:2">
      <c r="A159">
        <v>274</v>
      </c>
      <c r="B159">
        <f t="shared" si="2"/>
        <v>276</v>
      </c>
    </row>
    <row r="160" spans="1:2">
      <c r="A160">
        <v>275</v>
      </c>
      <c r="B160">
        <f t="shared" si="2"/>
        <v>277</v>
      </c>
    </row>
    <row r="161" spans="1:2">
      <c r="A161">
        <v>276</v>
      </c>
      <c r="B161">
        <f t="shared" si="2"/>
        <v>278</v>
      </c>
    </row>
    <row r="162" spans="1:2">
      <c r="A162">
        <v>277</v>
      </c>
      <c r="B162">
        <f t="shared" si="2"/>
        <v>279</v>
      </c>
    </row>
    <row r="163" spans="1:2">
      <c r="A163">
        <v>278</v>
      </c>
      <c r="B163">
        <f t="shared" si="2"/>
        <v>280</v>
      </c>
    </row>
    <row r="164" spans="1:2">
      <c r="A164">
        <v>279</v>
      </c>
      <c r="B164">
        <f t="shared" si="2"/>
        <v>281</v>
      </c>
    </row>
    <row r="165" spans="1:2">
      <c r="A165">
        <v>280</v>
      </c>
      <c r="B165">
        <f t="shared" si="2"/>
        <v>282</v>
      </c>
    </row>
    <row r="166" spans="1:2">
      <c r="A166">
        <v>281</v>
      </c>
      <c r="B166">
        <f t="shared" si="2"/>
        <v>283</v>
      </c>
    </row>
    <row r="167" spans="1:2">
      <c r="A167">
        <v>282</v>
      </c>
      <c r="B167">
        <f t="shared" si="2"/>
        <v>284</v>
      </c>
    </row>
    <row r="168" spans="1:2">
      <c r="A168">
        <v>283</v>
      </c>
      <c r="B168">
        <f t="shared" si="2"/>
        <v>285</v>
      </c>
    </row>
    <row r="169" spans="1:2">
      <c r="A169">
        <v>284</v>
      </c>
      <c r="B169">
        <f t="shared" si="2"/>
        <v>286</v>
      </c>
    </row>
    <row r="170" spans="1:2">
      <c r="A170">
        <v>285</v>
      </c>
      <c r="B170">
        <f t="shared" si="2"/>
        <v>287</v>
      </c>
    </row>
    <row r="171" spans="1:2">
      <c r="A171">
        <v>286</v>
      </c>
      <c r="B171">
        <f t="shared" si="2"/>
        <v>288</v>
      </c>
    </row>
    <row r="172" spans="1:2">
      <c r="A172">
        <v>287</v>
      </c>
      <c r="B172">
        <f t="shared" si="2"/>
        <v>289</v>
      </c>
    </row>
    <row r="173" spans="1:2">
      <c r="A173">
        <v>288</v>
      </c>
      <c r="B173">
        <f t="shared" si="2"/>
        <v>290</v>
      </c>
    </row>
    <row r="174" spans="1:2">
      <c r="A174">
        <v>289</v>
      </c>
      <c r="B174">
        <f t="shared" si="2"/>
        <v>291</v>
      </c>
    </row>
    <row r="175" spans="1:2">
      <c r="A175">
        <v>290</v>
      </c>
      <c r="B175">
        <f t="shared" si="2"/>
        <v>292</v>
      </c>
    </row>
    <row r="176" spans="1:2">
      <c r="A176">
        <v>291</v>
      </c>
      <c r="B176">
        <f t="shared" si="2"/>
        <v>293</v>
      </c>
    </row>
    <row r="177" spans="1:2">
      <c r="A177">
        <v>292</v>
      </c>
      <c r="B177">
        <f t="shared" si="2"/>
        <v>294</v>
      </c>
    </row>
    <row r="178" spans="1:2">
      <c r="A178">
        <v>293</v>
      </c>
      <c r="B178">
        <f t="shared" si="2"/>
        <v>295</v>
      </c>
    </row>
    <row r="179" spans="1:2">
      <c r="A179">
        <v>294</v>
      </c>
      <c r="B179">
        <f t="shared" si="2"/>
        <v>296</v>
      </c>
    </row>
    <row r="180" spans="1:2">
      <c r="A180">
        <v>295</v>
      </c>
      <c r="B180">
        <f t="shared" si="2"/>
        <v>297</v>
      </c>
    </row>
    <row r="181" spans="1:2">
      <c r="A181">
        <v>296</v>
      </c>
      <c r="B181">
        <f t="shared" si="2"/>
        <v>298</v>
      </c>
    </row>
    <row r="182" spans="1:2">
      <c r="A182">
        <v>297</v>
      </c>
      <c r="B182">
        <f t="shared" si="2"/>
        <v>299</v>
      </c>
    </row>
    <row r="183" spans="1:2">
      <c r="A183">
        <v>298</v>
      </c>
      <c r="B183">
        <f t="shared" si="2"/>
        <v>300</v>
      </c>
    </row>
    <row r="184" spans="1:2">
      <c r="A184">
        <v>299</v>
      </c>
      <c r="B184">
        <f t="shared" si="2"/>
        <v>301</v>
      </c>
    </row>
    <row r="185" spans="1:2">
      <c r="A185">
        <v>300</v>
      </c>
      <c r="B185">
        <f t="shared" si="2"/>
        <v>302</v>
      </c>
    </row>
    <row r="186" spans="1:2">
      <c r="A186">
        <v>301</v>
      </c>
      <c r="B186">
        <f t="shared" si="2"/>
        <v>303</v>
      </c>
    </row>
    <row r="187" spans="1:2">
      <c r="A187">
        <v>302</v>
      </c>
      <c r="B187">
        <f t="shared" si="2"/>
        <v>304</v>
      </c>
    </row>
    <row r="188" spans="1:2">
      <c r="A188">
        <v>303</v>
      </c>
      <c r="B188">
        <f t="shared" si="2"/>
        <v>305</v>
      </c>
    </row>
    <row r="189" spans="1:2">
      <c r="A189">
        <v>304</v>
      </c>
      <c r="B189">
        <f t="shared" si="2"/>
        <v>306</v>
      </c>
    </row>
    <row r="190" spans="1:2">
      <c r="A190">
        <v>305</v>
      </c>
      <c r="B190">
        <f t="shared" si="2"/>
        <v>307</v>
      </c>
    </row>
    <row r="191" spans="1:2">
      <c r="A191">
        <v>306</v>
      </c>
      <c r="B191">
        <f t="shared" si="2"/>
        <v>308</v>
      </c>
    </row>
    <row r="192" spans="1:2">
      <c r="A192">
        <v>307</v>
      </c>
      <c r="B192">
        <f t="shared" si="2"/>
        <v>309</v>
      </c>
    </row>
    <row r="193" spans="1:2">
      <c r="A193">
        <v>308</v>
      </c>
      <c r="B193">
        <f t="shared" si="2"/>
        <v>310</v>
      </c>
    </row>
    <row r="194" spans="1:2">
      <c r="A194">
        <v>309</v>
      </c>
      <c r="B194">
        <f t="shared" si="2"/>
        <v>311</v>
      </c>
    </row>
    <row r="195" spans="1:2">
      <c r="A195">
        <v>310</v>
      </c>
      <c r="B195">
        <f t="shared" si="2"/>
        <v>312</v>
      </c>
    </row>
    <row r="196" spans="1:2">
      <c r="A196">
        <v>311</v>
      </c>
      <c r="B196">
        <f t="shared" ref="B196:B259" si="3">A196+2</f>
        <v>313</v>
      </c>
    </row>
    <row r="197" spans="1:2">
      <c r="A197">
        <v>312</v>
      </c>
      <c r="B197">
        <f t="shared" si="3"/>
        <v>314</v>
      </c>
    </row>
    <row r="198" spans="1:2">
      <c r="A198">
        <v>313</v>
      </c>
      <c r="B198">
        <f t="shared" si="3"/>
        <v>315</v>
      </c>
    </row>
    <row r="199" spans="1:2">
      <c r="A199">
        <v>314</v>
      </c>
      <c r="B199">
        <f t="shared" si="3"/>
        <v>316</v>
      </c>
    </row>
    <row r="200" spans="1:2">
      <c r="A200">
        <v>315</v>
      </c>
      <c r="B200">
        <f t="shared" si="3"/>
        <v>317</v>
      </c>
    </row>
    <row r="201" spans="1:2">
      <c r="A201">
        <v>316</v>
      </c>
      <c r="B201">
        <f t="shared" si="3"/>
        <v>318</v>
      </c>
    </row>
    <row r="202" spans="1:2">
      <c r="A202">
        <v>317</v>
      </c>
      <c r="B202">
        <f t="shared" si="3"/>
        <v>319</v>
      </c>
    </row>
    <row r="203" spans="1:2">
      <c r="A203">
        <v>318</v>
      </c>
      <c r="B203">
        <f t="shared" si="3"/>
        <v>320</v>
      </c>
    </row>
    <row r="204" spans="1:2">
      <c r="A204">
        <v>319</v>
      </c>
      <c r="B204">
        <f t="shared" si="3"/>
        <v>321</v>
      </c>
    </row>
    <row r="205" spans="1:2">
      <c r="A205">
        <v>320</v>
      </c>
      <c r="B205">
        <f t="shared" si="3"/>
        <v>322</v>
      </c>
    </row>
    <row r="206" spans="1:2">
      <c r="A206">
        <v>321</v>
      </c>
      <c r="B206">
        <f t="shared" si="3"/>
        <v>323</v>
      </c>
    </row>
    <row r="207" spans="1:2">
      <c r="A207">
        <v>322</v>
      </c>
      <c r="B207">
        <f t="shared" si="3"/>
        <v>324</v>
      </c>
    </row>
    <row r="208" spans="1:2">
      <c r="A208">
        <v>323</v>
      </c>
      <c r="B208">
        <f t="shared" si="3"/>
        <v>325</v>
      </c>
    </row>
    <row r="209" spans="1:2">
      <c r="A209">
        <v>324</v>
      </c>
      <c r="B209">
        <f t="shared" si="3"/>
        <v>326</v>
      </c>
    </row>
    <row r="210" spans="1:2">
      <c r="A210">
        <v>325</v>
      </c>
      <c r="B210">
        <f t="shared" si="3"/>
        <v>327</v>
      </c>
    </row>
    <row r="211" spans="1:2">
      <c r="A211">
        <v>326</v>
      </c>
      <c r="B211">
        <f t="shared" si="3"/>
        <v>328</v>
      </c>
    </row>
    <row r="212" spans="1:2">
      <c r="A212">
        <v>327</v>
      </c>
      <c r="B212">
        <f t="shared" si="3"/>
        <v>329</v>
      </c>
    </row>
    <row r="213" spans="1:2">
      <c r="A213">
        <v>328</v>
      </c>
      <c r="B213">
        <f t="shared" si="3"/>
        <v>330</v>
      </c>
    </row>
    <row r="214" spans="1:2">
      <c r="A214">
        <v>329</v>
      </c>
      <c r="B214">
        <f t="shared" si="3"/>
        <v>331</v>
      </c>
    </row>
    <row r="215" spans="1:2">
      <c r="A215">
        <v>330</v>
      </c>
      <c r="B215">
        <f t="shared" si="3"/>
        <v>332</v>
      </c>
    </row>
    <row r="216" spans="1:2">
      <c r="A216">
        <v>331</v>
      </c>
      <c r="B216">
        <f t="shared" si="3"/>
        <v>333</v>
      </c>
    </row>
    <row r="217" spans="1:2">
      <c r="A217">
        <v>332</v>
      </c>
      <c r="B217">
        <f t="shared" si="3"/>
        <v>334</v>
      </c>
    </row>
    <row r="218" spans="1:2">
      <c r="A218">
        <v>333</v>
      </c>
      <c r="B218">
        <f t="shared" si="3"/>
        <v>335</v>
      </c>
    </row>
    <row r="219" spans="1:2">
      <c r="A219">
        <v>334</v>
      </c>
      <c r="B219">
        <f t="shared" si="3"/>
        <v>336</v>
      </c>
    </row>
    <row r="220" spans="1:2">
      <c r="A220">
        <v>335</v>
      </c>
      <c r="B220">
        <f t="shared" si="3"/>
        <v>337</v>
      </c>
    </row>
    <row r="221" spans="1:2">
      <c r="A221">
        <v>336</v>
      </c>
      <c r="B221">
        <f t="shared" si="3"/>
        <v>338</v>
      </c>
    </row>
    <row r="222" spans="1:2">
      <c r="A222">
        <v>337</v>
      </c>
      <c r="B222">
        <f t="shared" si="3"/>
        <v>339</v>
      </c>
    </row>
    <row r="223" spans="1:2">
      <c r="A223">
        <v>338</v>
      </c>
      <c r="B223">
        <f t="shared" si="3"/>
        <v>340</v>
      </c>
    </row>
    <row r="224" spans="1:2">
      <c r="A224">
        <v>339</v>
      </c>
      <c r="B224">
        <f t="shared" si="3"/>
        <v>341</v>
      </c>
    </row>
    <row r="225" spans="1:2">
      <c r="A225">
        <v>340</v>
      </c>
      <c r="B225">
        <f t="shared" si="3"/>
        <v>342</v>
      </c>
    </row>
    <row r="226" spans="1:2">
      <c r="A226">
        <v>341</v>
      </c>
      <c r="B226">
        <f t="shared" si="3"/>
        <v>343</v>
      </c>
    </row>
    <row r="227" spans="1:2">
      <c r="A227">
        <v>342</v>
      </c>
      <c r="B227">
        <f t="shared" si="3"/>
        <v>344</v>
      </c>
    </row>
    <row r="228" spans="1:2">
      <c r="A228">
        <v>343</v>
      </c>
      <c r="B228">
        <f t="shared" si="3"/>
        <v>345</v>
      </c>
    </row>
    <row r="229" spans="1:2">
      <c r="A229">
        <v>344</v>
      </c>
      <c r="B229">
        <f t="shared" si="3"/>
        <v>346</v>
      </c>
    </row>
    <row r="230" spans="1:2">
      <c r="A230">
        <v>345</v>
      </c>
      <c r="B230">
        <f t="shared" si="3"/>
        <v>347</v>
      </c>
    </row>
    <row r="231" spans="1:2">
      <c r="A231">
        <v>346</v>
      </c>
      <c r="B231">
        <f t="shared" si="3"/>
        <v>348</v>
      </c>
    </row>
    <row r="232" spans="1:2">
      <c r="A232">
        <v>347</v>
      </c>
      <c r="B232">
        <f t="shared" si="3"/>
        <v>349</v>
      </c>
    </row>
    <row r="233" spans="1:2">
      <c r="A233">
        <v>348</v>
      </c>
      <c r="B233">
        <f t="shared" si="3"/>
        <v>350</v>
      </c>
    </row>
    <row r="234" spans="1:2">
      <c r="A234">
        <v>349</v>
      </c>
      <c r="B234">
        <f t="shared" si="3"/>
        <v>351</v>
      </c>
    </row>
    <row r="235" spans="1:2">
      <c r="A235">
        <v>350</v>
      </c>
      <c r="B235">
        <f t="shared" si="3"/>
        <v>352</v>
      </c>
    </row>
    <row r="236" spans="1:2">
      <c r="A236">
        <v>351</v>
      </c>
      <c r="B236">
        <f t="shared" si="3"/>
        <v>353</v>
      </c>
    </row>
    <row r="237" spans="1:2">
      <c r="A237">
        <v>352</v>
      </c>
      <c r="B237">
        <f t="shared" si="3"/>
        <v>354</v>
      </c>
    </row>
    <row r="238" spans="1:2">
      <c r="A238">
        <v>353</v>
      </c>
      <c r="B238">
        <f t="shared" si="3"/>
        <v>355</v>
      </c>
    </row>
    <row r="239" spans="1:2">
      <c r="A239">
        <v>354</v>
      </c>
      <c r="B239">
        <f t="shared" si="3"/>
        <v>356</v>
      </c>
    </row>
    <row r="240" spans="1:2">
      <c r="A240">
        <v>355</v>
      </c>
      <c r="B240">
        <f t="shared" si="3"/>
        <v>357</v>
      </c>
    </row>
    <row r="241" spans="1:2">
      <c r="A241">
        <v>356</v>
      </c>
      <c r="B241">
        <f t="shared" si="3"/>
        <v>358</v>
      </c>
    </row>
    <row r="242" spans="1:2">
      <c r="A242">
        <v>357</v>
      </c>
      <c r="B242">
        <f t="shared" si="3"/>
        <v>359</v>
      </c>
    </row>
    <row r="243" spans="1:2">
      <c r="A243">
        <v>358</v>
      </c>
      <c r="B243">
        <f t="shared" si="3"/>
        <v>360</v>
      </c>
    </row>
    <row r="244" spans="1:2">
      <c r="A244">
        <v>359</v>
      </c>
      <c r="B244">
        <f t="shared" si="3"/>
        <v>361</v>
      </c>
    </row>
    <row r="245" spans="1:2">
      <c r="A245">
        <v>360</v>
      </c>
      <c r="B245">
        <f t="shared" si="3"/>
        <v>362</v>
      </c>
    </row>
    <row r="246" spans="1:2">
      <c r="A246">
        <v>361</v>
      </c>
      <c r="B246">
        <f t="shared" si="3"/>
        <v>363</v>
      </c>
    </row>
    <row r="247" spans="1:2">
      <c r="A247">
        <v>362</v>
      </c>
      <c r="B247">
        <f t="shared" si="3"/>
        <v>364</v>
      </c>
    </row>
    <row r="248" spans="1:2">
      <c r="A248">
        <v>363</v>
      </c>
      <c r="B248">
        <f t="shared" si="3"/>
        <v>365</v>
      </c>
    </row>
    <row r="249" spans="1:2">
      <c r="A249">
        <v>364</v>
      </c>
      <c r="B249">
        <f t="shared" si="3"/>
        <v>366</v>
      </c>
    </row>
    <row r="250" spans="1:2">
      <c r="A250">
        <v>365</v>
      </c>
      <c r="B250">
        <f t="shared" si="3"/>
        <v>367</v>
      </c>
    </row>
    <row r="251" spans="1:2">
      <c r="A251">
        <v>366</v>
      </c>
      <c r="B251">
        <f t="shared" si="3"/>
        <v>368</v>
      </c>
    </row>
    <row r="252" spans="1:2">
      <c r="A252">
        <v>367</v>
      </c>
      <c r="B252">
        <f t="shared" si="3"/>
        <v>369</v>
      </c>
    </row>
    <row r="253" spans="1:2">
      <c r="A253">
        <v>368</v>
      </c>
      <c r="B253">
        <f t="shared" si="3"/>
        <v>370</v>
      </c>
    </row>
    <row r="254" spans="1:2">
      <c r="A254">
        <v>369</v>
      </c>
      <c r="B254">
        <f t="shared" si="3"/>
        <v>371</v>
      </c>
    </row>
    <row r="255" spans="1:2">
      <c r="A255">
        <v>370</v>
      </c>
      <c r="B255">
        <f t="shared" si="3"/>
        <v>372</v>
      </c>
    </row>
    <row r="256" spans="1:2">
      <c r="A256">
        <v>371</v>
      </c>
      <c r="B256">
        <f t="shared" si="3"/>
        <v>373</v>
      </c>
    </row>
    <row r="257" spans="1:2">
      <c r="A257">
        <v>372</v>
      </c>
      <c r="B257">
        <f t="shared" si="3"/>
        <v>374</v>
      </c>
    </row>
    <row r="258" spans="1:2">
      <c r="A258">
        <v>373</v>
      </c>
      <c r="B258">
        <f t="shared" si="3"/>
        <v>375</v>
      </c>
    </row>
    <row r="259" spans="1:2">
      <c r="A259">
        <v>374</v>
      </c>
      <c r="B259">
        <f t="shared" si="3"/>
        <v>376</v>
      </c>
    </row>
    <row r="260" spans="1:2">
      <c r="A260">
        <v>375</v>
      </c>
      <c r="B260">
        <f t="shared" ref="B260:B323" si="4">A260+2</f>
        <v>377</v>
      </c>
    </row>
    <row r="261" spans="1:2">
      <c r="A261">
        <v>376</v>
      </c>
      <c r="B261">
        <f t="shared" si="4"/>
        <v>378</v>
      </c>
    </row>
    <row r="262" spans="1:2">
      <c r="A262">
        <v>377</v>
      </c>
      <c r="B262">
        <f t="shared" si="4"/>
        <v>379</v>
      </c>
    </row>
    <row r="263" spans="1:2">
      <c r="A263">
        <v>378</v>
      </c>
      <c r="B263">
        <f t="shared" si="4"/>
        <v>380</v>
      </c>
    </row>
    <row r="264" spans="1:2">
      <c r="A264">
        <v>379</v>
      </c>
      <c r="B264">
        <f t="shared" si="4"/>
        <v>381</v>
      </c>
    </row>
    <row r="265" spans="1:2">
      <c r="A265">
        <v>380</v>
      </c>
      <c r="B265">
        <f t="shared" si="4"/>
        <v>382</v>
      </c>
    </row>
    <row r="266" spans="1:2">
      <c r="A266">
        <v>381</v>
      </c>
      <c r="B266">
        <f t="shared" si="4"/>
        <v>383</v>
      </c>
    </row>
    <row r="267" spans="1:2">
      <c r="A267">
        <v>382</v>
      </c>
      <c r="B267">
        <f t="shared" si="4"/>
        <v>384</v>
      </c>
    </row>
    <row r="268" spans="1:2">
      <c r="A268">
        <v>383</v>
      </c>
      <c r="B268">
        <f t="shared" si="4"/>
        <v>385</v>
      </c>
    </row>
    <row r="269" spans="1:2">
      <c r="A269">
        <v>384</v>
      </c>
      <c r="B269">
        <f t="shared" si="4"/>
        <v>386</v>
      </c>
    </row>
    <row r="270" spans="1:2">
      <c r="A270">
        <v>385</v>
      </c>
      <c r="B270">
        <f t="shared" si="4"/>
        <v>387</v>
      </c>
    </row>
    <row r="271" spans="1:2">
      <c r="A271">
        <v>386</v>
      </c>
      <c r="B271">
        <f t="shared" si="4"/>
        <v>388</v>
      </c>
    </row>
    <row r="272" spans="1:2">
      <c r="A272">
        <v>387</v>
      </c>
      <c r="B272">
        <f t="shared" si="4"/>
        <v>389</v>
      </c>
    </row>
    <row r="273" spans="1:2">
      <c r="A273">
        <v>388</v>
      </c>
      <c r="B273">
        <f t="shared" si="4"/>
        <v>390</v>
      </c>
    </row>
    <row r="274" spans="1:2">
      <c r="A274">
        <v>389</v>
      </c>
      <c r="B274">
        <f t="shared" si="4"/>
        <v>391</v>
      </c>
    </row>
    <row r="275" spans="1:2">
      <c r="A275">
        <v>390</v>
      </c>
      <c r="B275">
        <f t="shared" si="4"/>
        <v>392</v>
      </c>
    </row>
    <row r="276" spans="1:2">
      <c r="A276">
        <v>391</v>
      </c>
      <c r="B276">
        <f t="shared" si="4"/>
        <v>393</v>
      </c>
    </row>
    <row r="277" spans="1:2">
      <c r="A277">
        <v>392</v>
      </c>
      <c r="B277">
        <f t="shared" si="4"/>
        <v>394</v>
      </c>
    </row>
    <row r="278" spans="1:2">
      <c r="A278">
        <v>393</v>
      </c>
      <c r="B278">
        <f t="shared" si="4"/>
        <v>395</v>
      </c>
    </row>
    <row r="279" spans="1:2">
      <c r="A279">
        <v>394</v>
      </c>
      <c r="B279">
        <f t="shared" si="4"/>
        <v>396</v>
      </c>
    </row>
    <row r="280" spans="1:2">
      <c r="A280">
        <v>395</v>
      </c>
      <c r="B280">
        <f t="shared" si="4"/>
        <v>397</v>
      </c>
    </row>
    <row r="281" spans="1:2">
      <c r="A281">
        <v>396</v>
      </c>
      <c r="B281">
        <f t="shared" si="4"/>
        <v>398</v>
      </c>
    </row>
    <row r="282" spans="1:2">
      <c r="A282">
        <v>397</v>
      </c>
      <c r="B282">
        <f t="shared" si="4"/>
        <v>399</v>
      </c>
    </row>
    <row r="283" spans="1:2">
      <c r="A283">
        <v>398</v>
      </c>
      <c r="B283">
        <f t="shared" si="4"/>
        <v>400</v>
      </c>
    </row>
    <row r="284" spans="1:2">
      <c r="A284">
        <v>399</v>
      </c>
      <c r="B284">
        <f t="shared" si="4"/>
        <v>401</v>
      </c>
    </row>
    <row r="285" spans="1:2">
      <c r="A285">
        <v>400</v>
      </c>
      <c r="B285">
        <f t="shared" si="4"/>
        <v>402</v>
      </c>
    </row>
    <row r="286" spans="1:2">
      <c r="A286">
        <v>401</v>
      </c>
      <c r="B286">
        <f t="shared" si="4"/>
        <v>403</v>
      </c>
    </row>
    <row r="287" spans="1:2">
      <c r="A287">
        <v>402</v>
      </c>
      <c r="B287">
        <f t="shared" si="4"/>
        <v>404</v>
      </c>
    </row>
    <row r="288" spans="1:2">
      <c r="A288">
        <v>403</v>
      </c>
      <c r="B288">
        <f t="shared" si="4"/>
        <v>405</v>
      </c>
    </row>
    <row r="289" spans="1:2">
      <c r="A289">
        <v>404</v>
      </c>
      <c r="B289">
        <f t="shared" si="4"/>
        <v>406</v>
      </c>
    </row>
    <row r="290" spans="1:2">
      <c r="A290">
        <v>405</v>
      </c>
      <c r="B290">
        <f t="shared" si="4"/>
        <v>407</v>
      </c>
    </row>
    <row r="291" spans="1:2">
      <c r="A291">
        <v>406</v>
      </c>
      <c r="B291">
        <f t="shared" si="4"/>
        <v>408</v>
      </c>
    </row>
    <row r="292" spans="1:2">
      <c r="A292">
        <v>407</v>
      </c>
      <c r="B292">
        <f t="shared" si="4"/>
        <v>409</v>
      </c>
    </row>
    <row r="293" spans="1:2">
      <c r="A293">
        <v>408</v>
      </c>
      <c r="B293">
        <f t="shared" si="4"/>
        <v>410</v>
      </c>
    </row>
    <row r="294" spans="1:2">
      <c r="A294">
        <v>409</v>
      </c>
      <c r="B294">
        <f t="shared" si="4"/>
        <v>411</v>
      </c>
    </row>
    <row r="295" spans="1:2">
      <c r="A295">
        <v>410</v>
      </c>
      <c r="B295">
        <f t="shared" si="4"/>
        <v>412</v>
      </c>
    </row>
    <row r="296" spans="1:2">
      <c r="A296">
        <v>411</v>
      </c>
      <c r="B296">
        <f t="shared" si="4"/>
        <v>413</v>
      </c>
    </row>
    <row r="297" spans="1:2">
      <c r="A297">
        <v>412</v>
      </c>
      <c r="B297">
        <f t="shared" si="4"/>
        <v>414</v>
      </c>
    </row>
    <row r="298" spans="1:2">
      <c r="A298">
        <v>413</v>
      </c>
      <c r="B298">
        <f t="shared" si="4"/>
        <v>415</v>
      </c>
    </row>
    <row r="299" spans="1:2">
      <c r="A299">
        <v>414</v>
      </c>
      <c r="B299">
        <f t="shared" si="4"/>
        <v>416</v>
      </c>
    </row>
    <row r="300" spans="1:2">
      <c r="A300">
        <v>415</v>
      </c>
      <c r="B300">
        <f t="shared" si="4"/>
        <v>417</v>
      </c>
    </row>
    <row r="301" spans="1:2">
      <c r="A301">
        <v>416</v>
      </c>
      <c r="B301">
        <f t="shared" si="4"/>
        <v>418</v>
      </c>
    </row>
    <row r="302" spans="1:2">
      <c r="A302">
        <v>417</v>
      </c>
      <c r="B302">
        <f t="shared" si="4"/>
        <v>419</v>
      </c>
    </row>
    <row r="303" spans="1:2">
      <c r="A303">
        <v>418</v>
      </c>
      <c r="B303">
        <f t="shared" si="4"/>
        <v>420</v>
      </c>
    </row>
    <row r="304" spans="1:2">
      <c r="A304">
        <v>419</v>
      </c>
      <c r="B304">
        <f t="shared" si="4"/>
        <v>421</v>
      </c>
    </row>
    <row r="305" spans="1:2">
      <c r="A305">
        <v>420</v>
      </c>
      <c r="B305">
        <f t="shared" si="4"/>
        <v>422</v>
      </c>
    </row>
    <row r="306" spans="1:2">
      <c r="A306">
        <v>421</v>
      </c>
      <c r="B306">
        <f t="shared" si="4"/>
        <v>423</v>
      </c>
    </row>
    <row r="307" spans="1:2">
      <c r="A307">
        <v>422</v>
      </c>
      <c r="B307">
        <f t="shared" si="4"/>
        <v>424</v>
      </c>
    </row>
    <row r="308" spans="1:2">
      <c r="A308">
        <v>423</v>
      </c>
      <c r="B308">
        <f t="shared" si="4"/>
        <v>425</v>
      </c>
    </row>
    <row r="309" spans="1:2">
      <c r="A309">
        <v>424</v>
      </c>
      <c r="B309">
        <f t="shared" si="4"/>
        <v>426</v>
      </c>
    </row>
    <row r="310" spans="1:2">
      <c r="A310">
        <v>425</v>
      </c>
      <c r="B310">
        <f t="shared" si="4"/>
        <v>427</v>
      </c>
    </row>
    <row r="311" spans="1:2">
      <c r="A311">
        <v>426</v>
      </c>
      <c r="B311">
        <f t="shared" si="4"/>
        <v>428</v>
      </c>
    </row>
    <row r="312" spans="1:2">
      <c r="A312">
        <v>427</v>
      </c>
      <c r="B312">
        <f t="shared" si="4"/>
        <v>429</v>
      </c>
    </row>
    <row r="313" spans="1:2">
      <c r="A313">
        <v>428</v>
      </c>
      <c r="B313">
        <f t="shared" si="4"/>
        <v>430</v>
      </c>
    </row>
    <row r="314" spans="1:2">
      <c r="A314">
        <v>429</v>
      </c>
      <c r="B314">
        <f t="shared" si="4"/>
        <v>431</v>
      </c>
    </row>
    <row r="315" spans="1:2">
      <c r="A315">
        <v>430</v>
      </c>
      <c r="B315">
        <f t="shared" si="4"/>
        <v>432</v>
      </c>
    </row>
    <row r="316" spans="1:2">
      <c r="A316">
        <v>431</v>
      </c>
      <c r="B316">
        <f t="shared" si="4"/>
        <v>433</v>
      </c>
    </row>
    <row r="317" spans="1:2">
      <c r="A317">
        <v>432</v>
      </c>
      <c r="B317">
        <f t="shared" si="4"/>
        <v>434</v>
      </c>
    </row>
    <row r="318" spans="1:2">
      <c r="A318">
        <v>433</v>
      </c>
      <c r="B318">
        <f t="shared" si="4"/>
        <v>435</v>
      </c>
    </row>
    <row r="319" spans="1:2">
      <c r="A319">
        <v>434</v>
      </c>
      <c r="B319">
        <f t="shared" si="4"/>
        <v>436</v>
      </c>
    </row>
    <row r="320" spans="1:2">
      <c r="A320">
        <v>435</v>
      </c>
      <c r="B320">
        <f t="shared" si="4"/>
        <v>437</v>
      </c>
    </row>
    <row r="321" spans="1:2">
      <c r="A321">
        <v>436</v>
      </c>
      <c r="B321">
        <f t="shared" si="4"/>
        <v>438</v>
      </c>
    </row>
    <row r="322" spans="1:2">
      <c r="A322">
        <v>437</v>
      </c>
      <c r="B322">
        <f t="shared" si="4"/>
        <v>439</v>
      </c>
    </row>
    <row r="323" spans="1:2">
      <c r="A323">
        <v>438</v>
      </c>
      <c r="B323">
        <f t="shared" si="4"/>
        <v>440</v>
      </c>
    </row>
    <row r="324" spans="1:2">
      <c r="A324">
        <v>439</v>
      </c>
      <c r="B324">
        <f t="shared" ref="B324:B387" si="5">A324+2</f>
        <v>441</v>
      </c>
    </row>
    <row r="325" spans="1:2">
      <c r="A325">
        <v>440</v>
      </c>
      <c r="B325">
        <f t="shared" si="5"/>
        <v>442</v>
      </c>
    </row>
    <row r="326" spans="1:2">
      <c r="A326">
        <v>441</v>
      </c>
      <c r="B326">
        <f t="shared" si="5"/>
        <v>443</v>
      </c>
    </row>
    <row r="327" spans="1:2">
      <c r="A327">
        <v>442</v>
      </c>
      <c r="B327">
        <f t="shared" si="5"/>
        <v>444</v>
      </c>
    </row>
    <row r="328" spans="1:2">
      <c r="A328">
        <v>443</v>
      </c>
      <c r="B328">
        <f t="shared" si="5"/>
        <v>445</v>
      </c>
    </row>
    <row r="329" spans="1:2">
      <c r="A329">
        <v>444</v>
      </c>
      <c r="B329">
        <f t="shared" si="5"/>
        <v>446</v>
      </c>
    </row>
    <row r="330" spans="1:2">
      <c r="A330">
        <v>445</v>
      </c>
      <c r="B330">
        <f t="shared" si="5"/>
        <v>447</v>
      </c>
    </row>
    <row r="331" spans="1:2">
      <c r="A331">
        <v>446</v>
      </c>
      <c r="B331">
        <f t="shared" si="5"/>
        <v>448</v>
      </c>
    </row>
    <row r="332" spans="1:2">
      <c r="A332">
        <v>447</v>
      </c>
      <c r="B332">
        <f t="shared" si="5"/>
        <v>449</v>
      </c>
    </row>
    <row r="333" spans="1:2">
      <c r="A333">
        <v>448</v>
      </c>
      <c r="B333">
        <f t="shared" si="5"/>
        <v>450</v>
      </c>
    </row>
    <row r="334" spans="1:2">
      <c r="A334">
        <v>449</v>
      </c>
      <c r="B334">
        <f t="shared" si="5"/>
        <v>451</v>
      </c>
    </row>
    <row r="335" spans="1:2">
      <c r="A335">
        <v>450</v>
      </c>
      <c r="B335">
        <f t="shared" si="5"/>
        <v>452</v>
      </c>
    </row>
    <row r="336" spans="1:2">
      <c r="A336">
        <v>451</v>
      </c>
      <c r="B336">
        <f t="shared" si="5"/>
        <v>453</v>
      </c>
    </row>
    <row r="337" spans="1:2">
      <c r="A337">
        <v>452</v>
      </c>
      <c r="B337">
        <f t="shared" si="5"/>
        <v>454</v>
      </c>
    </row>
    <row r="338" spans="1:2">
      <c r="A338">
        <v>453</v>
      </c>
      <c r="B338">
        <f t="shared" si="5"/>
        <v>455</v>
      </c>
    </row>
    <row r="339" spans="1:2">
      <c r="A339">
        <v>454</v>
      </c>
      <c r="B339">
        <f t="shared" si="5"/>
        <v>456</v>
      </c>
    </row>
    <row r="340" spans="1:2">
      <c r="A340">
        <v>455</v>
      </c>
      <c r="B340">
        <f t="shared" si="5"/>
        <v>457</v>
      </c>
    </row>
    <row r="341" spans="1:2">
      <c r="A341">
        <v>456</v>
      </c>
      <c r="B341">
        <f t="shared" si="5"/>
        <v>458</v>
      </c>
    </row>
    <row r="342" spans="1:2">
      <c r="A342">
        <v>457</v>
      </c>
      <c r="B342">
        <f t="shared" si="5"/>
        <v>459</v>
      </c>
    </row>
    <row r="343" spans="1:2">
      <c r="A343">
        <v>458</v>
      </c>
      <c r="B343">
        <f t="shared" si="5"/>
        <v>460</v>
      </c>
    </row>
    <row r="344" spans="1:2">
      <c r="A344">
        <v>459</v>
      </c>
      <c r="B344">
        <f t="shared" si="5"/>
        <v>461</v>
      </c>
    </row>
    <row r="345" spans="1:2">
      <c r="A345">
        <v>460</v>
      </c>
      <c r="B345">
        <f t="shared" si="5"/>
        <v>462</v>
      </c>
    </row>
    <row r="346" spans="1:2">
      <c r="A346">
        <v>461</v>
      </c>
      <c r="B346">
        <f t="shared" si="5"/>
        <v>463</v>
      </c>
    </row>
    <row r="347" spans="1:2">
      <c r="A347">
        <v>462</v>
      </c>
      <c r="B347">
        <f t="shared" si="5"/>
        <v>464</v>
      </c>
    </row>
    <row r="348" spans="1:2">
      <c r="A348">
        <v>463</v>
      </c>
      <c r="B348">
        <f t="shared" si="5"/>
        <v>465</v>
      </c>
    </row>
    <row r="349" spans="1:2">
      <c r="A349">
        <v>464</v>
      </c>
      <c r="B349">
        <f t="shared" si="5"/>
        <v>466</v>
      </c>
    </row>
    <row r="350" spans="1:2">
      <c r="A350">
        <v>465</v>
      </c>
      <c r="B350">
        <f t="shared" si="5"/>
        <v>467</v>
      </c>
    </row>
    <row r="351" spans="1:2">
      <c r="A351">
        <v>466</v>
      </c>
      <c r="B351">
        <f t="shared" si="5"/>
        <v>468</v>
      </c>
    </row>
    <row r="352" spans="1:2">
      <c r="A352">
        <v>467</v>
      </c>
      <c r="B352">
        <f t="shared" si="5"/>
        <v>469</v>
      </c>
    </row>
    <row r="353" spans="1:2">
      <c r="A353">
        <v>468</v>
      </c>
      <c r="B353">
        <f t="shared" si="5"/>
        <v>470</v>
      </c>
    </row>
    <row r="354" spans="1:2">
      <c r="A354">
        <v>469</v>
      </c>
      <c r="B354">
        <f t="shared" si="5"/>
        <v>471</v>
      </c>
    </row>
    <row r="355" spans="1:2">
      <c r="A355">
        <v>470</v>
      </c>
      <c r="B355">
        <f t="shared" si="5"/>
        <v>472</v>
      </c>
    </row>
    <row r="356" spans="1:2">
      <c r="A356">
        <v>471</v>
      </c>
      <c r="B356">
        <f t="shared" si="5"/>
        <v>473</v>
      </c>
    </row>
    <row r="357" spans="1:2">
      <c r="A357">
        <v>472</v>
      </c>
      <c r="B357">
        <f t="shared" si="5"/>
        <v>474</v>
      </c>
    </row>
    <row r="358" spans="1:2">
      <c r="A358">
        <v>473</v>
      </c>
      <c r="B358">
        <f t="shared" si="5"/>
        <v>475</v>
      </c>
    </row>
    <row r="359" spans="1:2">
      <c r="A359">
        <v>474</v>
      </c>
      <c r="B359">
        <f t="shared" si="5"/>
        <v>476</v>
      </c>
    </row>
    <row r="360" spans="1:2">
      <c r="A360">
        <v>475</v>
      </c>
      <c r="B360">
        <f t="shared" si="5"/>
        <v>477</v>
      </c>
    </row>
    <row r="361" spans="1:2">
      <c r="A361">
        <v>476</v>
      </c>
      <c r="B361">
        <f t="shared" si="5"/>
        <v>478</v>
      </c>
    </row>
    <row r="362" spans="1:2">
      <c r="A362">
        <v>477</v>
      </c>
      <c r="B362">
        <f t="shared" si="5"/>
        <v>479</v>
      </c>
    </row>
    <row r="363" spans="1:2">
      <c r="A363">
        <v>478</v>
      </c>
      <c r="B363">
        <f t="shared" si="5"/>
        <v>480</v>
      </c>
    </row>
    <row r="364" spans="1:2">
      <c r="A364">
        <v>479</v>
      </c>
      <c r="B364">
        <f t="shared" si="5"/>
        <v>481</v>
      </c>
    </row>
    <row r="365" spans="1:2">
      <c r="A365">
        <v>480</v>
      </c>
      <c r="B365">
        <f t="shared" si="5"/>
        <v>482</v>
      </c>
    </row>
    <row r="366" spans="1:2">
      <c r="A366">
        <v>481</v>
      </c>
      <c r="B366">
        <f t="shared" si="5"/>
        <v>483</v>
      </c>
    </row>
    <row r="367" spans="1:2">
      <c r="A367">
        <v>482</v>
      </c>
      <c r="B367">
        <f t="shared" si="5"/>
        <v>484</v>
      </c>
    </row>
    <row r="368" spans="1:2">
      <c r="A368">
        <v>483</v>
      </c>
      <c r="B368">
        <f t="shared" si="5"/>
        <v>485</v>
      </c>
    </row>
    <row r="369" spans="1:2">
      <c r="A369">
        <v>484</v>
      </c>
      <c r="B369">
        <f t="shared" si="5"/>
        <v>486</v>
      </c>
    </row>
    <row r="370" spans="1:2">
      <c r="A370">
        <v>485</v>
      </c>
      <c r="B370">
        <f t="shared" si="5"/>
        <v>487</v>
      </c>
    </row>
    <row r="371" spans="1:2">
      <c r="A371">
        <v>486</v>
      </c>
      <c r="B371">
        <f t="shared" si="5"/>
        <v>488</v>
      </c>
    </row>
    <row r="372" spans="1:2">
      <c r="A372">
        <v>487</v>
      </c>
      <c r="B372">
        <f t="shared" si="5"/>
        <v>489</v>
      </c>
    </row>
    <row r="373" spans="1:2">
      <c r="A373">
        <v>488</v>
      </c>
      <c r="B373">
        <f t="shared" si="5"/>
        <v>490</v>
      </c>
    </row>
    <row r="374" spans="1:2">
      <c r="A374">
        <v>489</v>
      </c>
      <c r="B374">
        <f t="shared" si="5"/>
        <v>491</v>
      </c>
    </row>
    <row r="375" spans="1:2">
      <c r="A375">
        <v>490</v>
      </c>
      <c r="B375">
        <f t="shared" si="5"/>
        <v>492</v>
      </c>
    </row>
    <row r="376" spans="1:2">
      <c r="A376">
        <v>491</v>
      </c>
      <c r="B376">
        <f t="shared" si="5"/>
        <v>493</v>
      </c>
    </row>
    <row r="377" spans="1:2">
      <c r="A377">
        <v>492</v>
      </c>
      <c r="B377">
        <f t="shared" si="5"/>
        <v>494</v>
      </c>
    </row>
    <row r="378" spans="1:2">
      <c r="A378">
        <v>493</v>
      </c>
      <c r="B378">
        <f t="shared" si="5"/>
        <v>495</v>
      </c>
    </row>
    <row r="379" spans="1:2">
      <c r="A379">
        <v>494</v>
      </c>
      <c r="B379">
        <f t="shared" si="5"/>
        <v>496</v>
      </c>
    </row>
    <row r="380" spans="1:2">
      <c r="A380">
        <v>495</v>
      </c>
      <c r="B380">
        <f t="shared" si="5"/>
        <v>497</v>
      </c>
    </row>
    <row r="381" spans="1:2">
      <c r="A381">
        <v>496</v>
      </c>
      <c r="B381">
        <f t="shared" si="5"/>
        <v>498</v>
      </c>
    </row>
    <row r="382" spans="1:2">
      <c r="A382">
        <v>497</v>
      </c>
      <c r="B382">
        <f t="shared" si="5"/>
        <v>499</v>
      </c>
    </row>
    <row r="383" spans="1:2">
      <c r="A383">
        <v>498</v>
      </c>
      <c r="B383">
        <f t="shared" si="5"/>
        <v>500</v>
      </c>
    </row>
    <row r="384" spans="1:2">
      <c r="A384">
        <v>499</v>
      </c>
      <c r="B384">
        <f t="shared" si="5"/>
        <v>501</v>
      </c>
    </row>
    <row r="385" spans="1:2">
      <c r="A385">
        <v>500</v>
      </c>
      <c r="B385">
        <f t="shared" si="5"/>
        <v>502</v>
      </c>
    </row>
    <row r="386" spans="1:2">
      <c r="A386">
        <v>501</v>
      </c>
      <c r="B386">
        <f t="shared" si="5"/>
        <v>503</v>
      </c>
    </row>
    <row r="387" spans="1:2">
      <c r="A387">
        <v>502</v>
      </c>
      <c r="B387">
        <f t="shared" si="5"/>
        <v>504</v>
      </c>
    </row>
    <row r="388" spans="1:2">
      <c r="A388">
        <v>503</v>
      </c>
      <c r="B388">
        <f t="shared" ref="B388:B438" si="6">A388+2</f>
        <v>505</v>
      </c>
    </row>
    <row r="389" spans="1:2">
      <c r="A389">
        <v>504</v>
      </c>
      <c r="B389">
        <f t="shared" si="6"/>
        <v>506</v>
      </c>
    </row>
    <row r="390" spans="1:2">
      <c r="A390">
        <v>505</v>
      </c>
      <c r="B390">
        <f t="shared" si="6"/>
        <v>507</v>
      </c>
    </row>
    <row r="391" spans="1:2">
      <c r="A391">
        <v>506</v>
      </c>
      <c r="B391">
        <f t="shared" si="6"/>
        <v>508</v>
      </c>
    </row>
    <row r="392" spans="1:2">
      <c r="A392">
        <v>507</v>
      </c>
      <c r="B392">
        <f t="shared" si="6"/>
        <v>509</v>
      </c>
    </row>
    <row r="393" spans="1:2">
      <c r="A393">
        <v>508</v>
      </c>
      <c r="B393">
        <f t="shared" si="6"/>
        <v>510</v>
      </c>
    </row>
    <row r="394" spans="1:2">
      <c r="A394">
        <v>509</v>
      </c>
      <c r="B394">
        <f t="shared" si="6"/>
        <v>511</v>
      </c>
    </row>
    <row r="395" spans="1:2">
      <c r="A395">
        <v>510</v>
      </c>
      <c r="B395">
        <f t="shared" si="6"/>
        <v>512</v>
      </c>
    </row>
    <row r="396" spans="1:2">
      <c r="A396">
        <v>511</v>
      </c>
      <c r="B396">
        <f t="shared" si="6"/>
        <v>513</v>
      </c>
    </row>
    <row r="397" spans="1:2">
      <c r="A397">
        <v>512</v>
      </c>
      <c r="B397">
        <f t="shared" si="6"/>
        <v>514</v>
      </c>
    </row>
    <row r="398" spans="1:2">
      <c r="A398">
        <v>513</v>
      </c>
      <c r="B398">
        <f t="shared" si="6"/>
        <v>515</v>
      </c>
    </row>
    <row r="399" spans="1:2">
      <c r="A399">
        <v>514</v>
      </c>
      <c r="B399">
        <f t="shared" si="6"/>
        <v>516</v>
      </c>
    </row>
    <row r="400" spans="1:2">
      <c r="A400">
        <v>515</v>
      </c>
      <c r="B400">
        <f t="shared" si="6"/>
        <v>517</v>
      </c>
    </row>
    <row r="401" spans="1:2">
      <c r="A401">
        <v>516</v>
      </c>
      <c r="B401">
        <f t="shared" si="6"/>
        <v>518</v>
      </c>
    </row>
    <row r="402" spans="1:2">
      <c r="A402">
        <v>517</v>
      </c>
      <c r="B402">
        <f t="shared" si="6"/>
        <v>519</v>
      </c>
    </row>
    <row r="403" spans="1:2">
      <c r="A403">
        <v>518</v>
      </c>
      <c r="B403">
        <f t="shared" si="6"/>
        <v>520</v>
      </c>
    </row>
    <row r="404" spans="1:2">
      <c r="A404">
        <v>519</v>
      </c>
      <c r="B404">
        <f t="shared" si="6"/>
        <v>521</v>
      </c>
    </row>
    <row r="405" spans="1:2">
      <c r="A405">
        <v>520</v>
      </c>
      <c r="B405">
        <f t="shared" si="6"/>
        <v>522</v>
      </c>
    </row>
    <row r="406" spans="1:2">
      <c r="A406">
        <v>521</v>
      </c>
      <c r="B406">
        <f t="shared" si="6"/>
        <v>523</v>
      </c>
    </row>
    <row r="407" spans="1:2">
      <c r="A407">
        <v>522</v>
      </c>
      <c r="B407">
        <f t="shared" si="6"/>
        <v>524</v>
      </c>
    </row>
    <row r="408" spans="1:2">
      <c r="A408">
        <v>523</v>
      </c>
      <c r="B408">
        <f t="shared" si="6"/>
        <v>525</v>
      </c>
    </row>
    <row r="409" spans="1:2">
      <c r="A409">
        <v>524</v>
      </c>
      <c r="B409">
        <f t="shared" si="6"/>
        <v>526</v>
      </c>
    </row>
    <row r="410" spans="1:2">
      <c r="A410">
        <v>525</v>
      </c>
      <c r="B410">
        <f t="shared" si="6"/>
        <v>527</v>
      </c>
    </row>
    <row r="411" spans="1:2">
      <c r="A411">
        <v>526</v>
      </c>
      <c r="B411">
        <f t="shared" si="6"/>
        <v>528</v>
      </c>
    </row>
    <row r="412" spans="1:2">
      <c r="A412">
        <v>527</v>
      </c>
      <c r="B412">
        <f t="shared" si="6"/>
        <v>529</v>
      </c>
    </row>
    <row r="413" spans="1:2">
      <c r="A413">
        <v>528</v>
      </c>
      <c r="B413">
        <f t="shared" si="6"/>
        <v>530</v>
      </c>
    </row>
    <row r="414" spans="1:2">
      <c r="A414">
        <v>529</v>
      </c>
      <c r="B414">
        <f t="shared" si="6"/>
        <v>531</v>
      </c>
    </row>
    <row r="415" spans="1:2">
      <c r="A415">
        <v>530</v>
      </c>
      <c r="B415">
        <f t="shared" si="6"/>
        <v>532</v>
      </c>
    </row>
    <row r="416" spans="1:2">
      <c r="A416">
        <v>531</v>
      </c>
      <c r="B416">
        <f t="shared" si="6"/>
        <v>533</v>
      </c>
    </row>
    <row r="417" spans="1:2">
      <c r="A417">
        <v>532</v>
      </c>
      <c r="B417">
        <f t="shared" si="6"/>
        <v>534</v>
      </c>
    </row>
    <row r="418" spans="1:2">
      <c r="A418">
        <v>533</v>
      </c>
      <c r="B418">
        <f t="shared" si="6"/>
        <v>535</v>
      </c>
    </row>
    <row r="419" spans="1:2">
      <c r="A419">
        <v>534</v>
      </c>
      <c r="B419">
        <f t="shared" si="6"/>
        <v>536</v>
      </c>
    </row>
    <row r="420" spans="1:2">
      <c r="A420">
        <v>535</v>
      </c>
      <c r="B420">
        <f t="shared" si="6"/>
        <v>537</v>
      </c>
    </row>
    <row r="421" spans="1:2">
      <c r="A421">
        <v>536</v>
      </c>
      <c r="B421">
        <f t="shared" si="6"/>
        <v>538</v>
      </c>
    </row>
    <row r="422" spans="1:2">
      <c r="A422">
        <v>537</v>
      </c>
      <c r="B422">
        <f t="shared" si="6"/>
        <v>539</v>
      </c>
    </row>
    <row r="423" spans="1:2">
      <c r="A423">
        <v>538</v>
      </c>
      <c r="B423">
        <f t="shared" si="6"/>
        <v>540</v>
      </c>
    </row>
    <row r="424" spans="1:2">
      <c r="A424">
        <v>539</v>
      </c>
      <c r="B424">
        <f t="shared" si="6"/>
        <v>541</v>
      </c>
    </row>
    <row r="425" spans="1:2">
      <c r="A425">
        <v>540</v>
      </c>
      <c r="B425">
        <f t="shared" si="6"/>
        <v>542</v>
      </c>
    </row>
    <row r="426" spans="1:2">
      <c r="A426">
        <v>541</v>
      </c>
      <c r="B426">
        <f t="shared" si="6"/>
        <v>543</v>
      </c>
    </row>
    <row r="427" spans="1:2">
      <c r="A427">
        <v>542</v>
      </c>
      <c r="B427">
        <f t="shared" si="6"/>
        <v>544</v>
      </c>
    </row>
    <row r="428" spans="1:2">
      <c r="A428">
        <v>543</v>
      </c>
      <c r="B428">
        <f t="shared" si="6"/>
        <v>545</v>
      </c>
    </row>
    <row r="429" spans="1:2">
      <c r="A429">
        <v>544</v>
      </c>
      <c r="B429">
        <f t="shared" si="6"/>
        <v>546</v>
      </c>
    </row>
    <row r="430" spans="1:2">
      <c r="A430">
        <v>545</v>
      </c>
      <c r="B430">
        <f t="shared" si="6"/>
        <v>547</v>
      </c>
    </row>
    <row r="431" spans="1:2">
      <c r="A431">
        <v>546</v>
      </c>
      <c r="B431">
        <f t="shared" si="6"/>
        <v>548</v>
      </c>
    </row>
    <row r="432" spans="1:2">
      <c r="A432">
        <v>547</v>
      </c>
      <c r="B432">
        <f t="shared" si="6"/>
        <v>549</v>
      </c>
    </row>
    <row r="433" spans="1:2">
      <c r="A433">
        <v>548</v>
      </c>
      <c r="B433">
        <f t="shared" si="6"/>
        <v>550</v>
      </c>
    </row>
    <row r="434" spans="1:2">
      <c r="A434">
        <v>549</v>
      </c>
      <c r="B434">
        <f t="shared" si="6"/>
        <v>551</v>
      </c>
    </row>
    <row r="435" spans="1:2">
      <c r="A435">
        <v>550</v>
      </c>
      <c r="B435">
        <f t="shared" si="6"/>
        <v>552</v>
      </c>
    </row>
    <row r="436" spans="1:2">
      <c r="A436">
        <v>551</v>
      </c>
      <c r="B436">
        <f t="shared" si="6"/>
        <v>553</v>
      </c>
    </row>
    <row r="437" spans="1:2">
      <c r="A437">
        <v>552</v>
      </c>
      <c r="B437">
        <f t="shared" si="6"/>
        <v>554</v>
      </c>
    </row>
    <row r="438" spans="1:2">
      <c r="A438">
        <v>553</v>
      </c>
      <c r="B438">
        <f t="shared" si="6"/>
        <v>555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Characteristics</vt:lpstr>
      <vt:lpstr>Water quality database</vt:lpstr>
      <vt:lpstr>Sheet1</vt:lpstr>
    </vt:vector>
  </TitlesOfParts>
  <Company>UNC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Bain</dc:creator>
  <cp:lastModifiedBy>Rob Bain</cp:lastModifiedBy>
  <dcterms:created xsi:type="dcterms:W3CDTF">2013-01-12T16:15:41Z</dcterms:created>
  <dcterms:modified xsi:type="dcterms:W3CDTF">2014-03-23T14:39:43Z</dcterms:modified>
</cp:coreProperties>
</file>